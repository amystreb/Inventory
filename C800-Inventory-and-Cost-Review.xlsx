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aa28cac79b40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9753cfbc20547ea"/>
    <x:sheet xmlns:r="http://schemas.openxmlformats.org/officeDocument/2006/relationships" name="Current inventory" sheetId="2" r:id="R2bb5ee99374e49e7"/>
    <x:sheet xmlns:r="http://schemas.openxmlformats.org/officeDocument/2006/relationships" name="PO detail" sheetId="3" r:id="Rd514d2d743e548d6"/>
    <x:sheet xmlns:r="http://schemas.openxmlformats.org/officeDocument/2006/relationships" name="Monthly forecast" sheetId="4" r:id="R117fef8a532f41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mm/dd/yy"/>
    <x:numFmt numFmtId="201" formatCode="#,##0;(#,##0);&quot;–&quot;"/>
    <x:numFmt numFmtId="202" formatCode="#,##0.00"/>
    <x:numFmt numFmtId="203" formatCode="$#,##0;($#,##0);&quot;–&quot;"/>
    <x:numFmt numFmtId="204" formatCode="0.0000"/>
    <x:numFmt numFmtId="205" formatCode="mmm d, yyyy"/>
    <x:numFmt numFmtId="206" formatCode="0%"/>
    <x:numFmt numFmtId="207" formatCode="0.0%"/>
  </x:numFmts>
  <x:fonts count="9">
    <x:font>
      <x:sz val="11"/>
      <x:name val="Carlito"/>
    </x:font>
    <x:font>
      <x:sz val="10"/>
      <x:color rgb="FF17324D"/>
      <x:name val="Arial"/>
    </x:font>
    <x:font>
      <x:b/>
      <x:sz val="10"/>
      <x:color rgb="FFFFFFFF"/>
      <x:name val="Arial"/>
    </x:font>
    <x:font>
      <x:sz val="10"/>
      <x:color rgb="FF008000"/>
      <x:name val="Arial"/>
    </x:font>
    <x:font>
      <x:sz val="10"/>
      <x:color rgb="FF111111"/>
      <x:name val="Arial"/>
    </x:font>
    <x:font>
      <x:b/>
      <x:sz val="16"/>
      <x:color rgb="FF17324D"/>
      <x:name val="Arial"/>
    </x:font>
    <x:font>
      <x:sz val="10"/>
      <x:color rgb="FF0000FF"/>
      <x:name val="Arial"/>
    </x:font>
    <x:font>
      <x:b/>
      <x:sz val="10"/>
      <x:color rgb="FF17324D"/>
      <x:name val="Arial"/>
    </x:font>
    <x:font>
      <x:sz val="10"/>
      <x:color rgb="FF596774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FF1CB"/>
      </x:patternFill>
    </x:fill>
  </x:fills>
  <x:borders count="1">
    <x:border/>
  </x:borders>
  <x:cellStyleXfs count="1">
    <x:xf numFmtId="0" fontId="0" fillId="0" borderId="0"/>
  </x:cellStyleXfs>
  <x:cellXfs count="2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201" fontId="3" fillId="0" borderId="0" xfId="0" applyNumberFormat="1" applyFont="1" applyFill="1" applyBorder="1"/>
    <x:xf numFmtId="0" fontId="4" fillId="0" borderId="0" xfId="0" applyNumberFormat="1" applyFont="1" applyFill="1" applyBorder="1"/>
    <x:xf numFmtId="204" fontId="4" fillId="0" borderId="0" xfId="0" applyNumberFormat="1" applyFont="1" applyFill="1" applyBorder="1"/>
    <x:xf numFmtId="204" fontId="1" fillId="0" borderId="0" xfId="0" applyNumberFormat="1" applyFont="1" applyFill="1" applyBorder="1"/>
    <x:xf numFmtId="0" fontId="3" fillId="0" borderId="0" xfId="0" applyNumberFormat="1" applyFont="1" applyFill="1" applyBorder="1"/>
    <x:xf numFmtId="203" fontId="4" fillId="0" borderId="0" xfId="0" applyNumberFormat="1" applyFont="1" applyFill="1" applyBorder="1"/>
    <x:xf numFmtId="205" fontId="1" fillId="0" borderId="0" xfId="0" applyNumberFormat="1" applyFont="1" applyFill="1" applyBorder="1"/>
    <x:xf numFmtId="0" fontId="5" fillId="0" borderId="0" xfId="0" applyNumberFormat="1" applyFont="1" applyFill="1" applyBorder="1"/>
    <x:xf numFmtId="206" fontId="1" fillId="0" borderId="0" xfId="0" applyNumberFormat="1" applyFont="1" applyFill="1" applyBorder="1"/>
    <x:xf numFmtId="206" fontId="1" fillId="3" borderId="0" xfId="0" applyNumberFormat="1" applyFont="1" applyFill="1" applyBorder="1"/>
    <x:xf numFmtId="206" fontId="6" fillId="3" borderId="0" xfId="0" applyNumberFormat="1" applyFont="1" applyFill="1" applyBorder="1"/>
    <x:xf numFmtId="205" fontId="1" fillId="3" borderId="0" xfId="0" applyNumberFormat="1" applyFont="1" applyFill="1" applyBorder="1"/>
    <x:xf numFmtId="205" fontId="6" fillId="3" borderId="0" xfId="0" applyNumberFormat="1" applyFont="1" applyFill="1" applyBorder="1"/>
    <x:xf numFmtId="207" fontId="1" fillId="0" borderId="0" xfId="0" applyNumberFormat="1" applyFont="1" applyFill="1" applyBorder="1"/>
    <x:xf numFmtId="0" fontId="7" fillId="0" borderId="0" xfId="0" applyNumberFormat="1" applyFont="1" applyFill="1" applyBorder="1"/>
    <x:xf numFmtId="0" fontId="8" fillId="0" borderId="0" xfId="0" applyNumberFormat="1" applyFont="1" applyFill="1" applyBorder="1"/>
  </x:cellXfs>
  <x:cellStyles count="1">
    <x:cellStyle name="Normal" xfId="0"/>
  </x:cellStyles>
  <x:dxfs count="1">
    <x:dxf>
      <x:font>
        <x:color rgb="FFB42318"/>
      </x:font>
      <x:fill>
        <x:patternFill patternType="solid">
          <x:bgColor rgb="FFFDE9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6a432077404583" /><Relationship Type="http://schemas.openxmlformats.org/officeDocument/2006/relationships/theme" Target="/xl/theme/theme1.xml" Id="R4ec85368d15c4ac5" /><Relationship Type="http://schemas.openxmlformats.org/officeDocument/2006/relationships/sharedStrings" Target="/xl/sharedStrings.xml" Id="R40e1c2ea5d724a4a" /><Relationship Type="http://schemas.openxmlformats.org/officeDocument/2006/relationships/worksheet" Target="/xl/worksheets/sheet1.xml" Id="R69753cfbc20547ea" /><Relationship Type="http://schemas.openxmlformats.org/officeDocument/2006/relationships/worksheet" Target="/xl/worksheets/sheet2.xml" Id="R2bb5ee99374e49e7" /><Relationship Type="http://schemas.openxmlformats.org/officeDocument/2006/relationships/worksheet" Target="/xl/worksheets/sheet3.xml" Id="Rd514d2d743e548d6" /><Relationship Type="http://schemas.openxmlformats.org/officeDocument/2006/relationships/worksheet" Target="/xl/worksheets/sheet4.xml" Id="R117fef8a532f41a5" /></Relationships>
</file>

<file path=xl/tables/table1.xml><?xml version="1.0" encoding="utf-8"?>
<x:table xmlns:x="http://schemas.openxmlformats.org/spreadsheetml/2006/main" id="1" name="C800Inventory" displayName="C800Inventory" ref="A1:AD127" headerRowCount="1" totalsRowCount="0" totalsRowShown="0">
  <x:tableColumns count="30">
    <x:tableColumn id="1" name="Warehouse"/>
    <x:tableColumn id="2" name="Product"/>
    <x:tableColumn id="3" name="Vendor"/>
    <x:tableColumn id="4" name="On hand units"/>
    <x:tableColumn id="5" name="Monthly UsageRate"/>
    <x:tableColumn id="6" name="Reported on order units"/>
    <x:tableColumn id="7" name="Standard source cost"/>
    <x:tableColumn id="8" name="Replacement source cost"/>
    <x:tableColumn id="9" name="Units per cost"/>
    <x:tableColumn id="10" name="Reported standard value"/>
    <x:tableColumn id="11" name="Original PO source cost"/>
    <x:tableColumn id="12" name="Chris new PO source cost"/>
    <x:tableColumn id="13" name="Estimated old units"/>
    <x:tableColumn id="14" name="Estimated higher-cost units"/>
    <x:tableColumn id="15" name="Unclassified units"/>
    <x:tableColumn id="16" name="Layer coverage flag"/>
    <x:tableColumn id="17" name="Chris priced-cost flag"/>
    <x:tableColumn id="18" name="Layer review"/>
    <x:tableColumn id="19" name="Receipt units assigned"/>
    <x:tableColumn id="20" name="Last receipt date in inventory"/>
    <x:tableColumn id="21" name="Unit-basis evidence"/>
    <x:tableColumn id="22" name="Standard per stock unit"/>
    <x:tableColumn id="23" name="Proposed standard per unit"/>
    <x:tableColumn id="24" name="Calculated stock value"/>
    <x:tableColumn id="25" name="Old stock value"/>
    <x:tableColumn id="26" name="Higher-cost stock value"/>
    <x:tableColumn id="27" name="Unclassified stock value"/>
    <x:tableColumn id="28" name="Reported value difference"/>
    <x:tableColumn id="29" name="Current priced revaluation"/>
    <x:tableColumn id="30" name="On-order quantity gap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800PurchaseOrders" displayName="C800PurchaseOrders" ref="A1:X672" headerRowCount="1" totalsRowCount="0" totalsRowShown="0">
  <x:tableColumns count="24">
    <x:tableColumn id="1" name="Warehouse"/>
    <x:tableColumn id="2" name="Product"/>
    <x:tableColumn id="3" name="PO number"/>
    <x:tableColumn id="4" name="Suffix"/>
    <x:tableColumn id="5" name="Line"/>
    <x:tableColumn id="6" name="Receipt date"/>
    <x:tableColumn id="7" name="Expected date"/>
    <x:tableColumn id="8" name="Source qtyrcv"/>
    <x:tableColumn id="9" name="Ordered quantity"/>
    <x:tableColumn id="10" name="Unit conversion"/>
    <x:tableColumn id="11" name="PO source cost"/>
    <x:tableColumn id="12" name="Units per PO cost"/>
    <x:tableColumn id="13" name="Receipt GL cost"/>
    <x:tableColumn id="14" name="Status"/>
    <x:tableColumn id="15" name="Active undated flag"/>
    <x:tableColumn id="16" name="Estimated current FIFO units"/>
    <x:tableColumn id="17" name="Record or incoming price layer"/>
    <x:tableColumn id="18" name="Source file"/>
    <x:tableColumn id="19" name="Incoming stock units"/>
    <x:tableColumn id="20" name="PO cost per stock unit"/>
    <x:tableColumn id="21" name="Incoming old units"/>
    <x:tableColumn id="22" name="Incoming higher-cost units"/>
    <x:tableColumn id="23" name="Incoming unclassified units"/>
    <x:tableColumn id="24" name="Dated positive receipt unit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800MonthlyForecast" displayName="C800MonthlyForecast" ref="A1:Z757" headerRowCount="1" totalsRowCount="0" totalsRowShown="0">
  <x:tableColumns count="26">
    <x:tableColumn id="1" name="Forecast date"/>
    <x:tableColumn id="2" name="Warehouse"/>
    <x:tableColumn id="3" name="Product"/>
    <x:tableColumn id="4" name="Period start"/>
    <x:tableColumn id="5" name="Beginning old units"/>
    <x:tableColumn id="6" name="Beginning higher-cost units"/>
    <x:tableColumn id="7" name="Beginning unclassified units"/>
    <x:tableColumn id="8" name="Old-cost arrivals"/>
    <x:tableColumn id="9" name="Higher-cost arrivals"/>
    <x:tableColumn id="10" name="Unclassified arrivals"/>
    <x:tableColumn id="11" name="Planned usage units"/>
    <x:tableColumn id="12" name="Ending old units"/>
    <x:tableColumn id="13" name="Ending higher-cost units"/>
    <x:tableColumn id="14" name="Ending unclassified units"/>
    <x:tableColumn id="15" name="Ending total units"/>
    <x:tableColumn id="16" name="Current standard/unit"/>
    <x:tableColumn id="17" name="Proposed standard/unit"/>
    <x:tableColumn id="18" name="Old value at current standard"/>
    <x:tableColumn id="19" name="Higher-cost value at current standard"/>
    <x:tableColumn id="20" name="Unclassified value at current standard"/>
    <x:tableColumn id="21" name="Total value at current standard"/>
    <x:tableColumn id="22" name="Priced revaluation"/>
    <x:tableColumn id="23" name="Priced current-standard value"/>
    <x:tableColumn id="24" name="Demand exceeding available units"/>
    <x:tableColumn id="25" name="Review"/>
    <x:tableColumn id="26" name="Priced-cost available fla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afea7893273452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34875bc8967452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9d2a37de3254c3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</x:cols>
  <x:sheetData>
    <x:row r="2" ht="28" customHeight="1">
      <x:c r="B2" s="18" t="str">
        <x:v>C800 inventory and standard-cost review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21" customHeight="1">
      <x:c r="B3" s="1" t="str">
        <x:v>Uploaded inventory used as of October 9, 2026. Values in dollars at current standards.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 ht="21" customHeight="1"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21" customHeight="1">
      <x:c r="B5" s="1" t="str">
        <x:v>Snapshot date</x:v>
      </x:c>
      <x:c r="C5" s="1"/>
      <x:c r="D5" s="7" t="n">
        <x:v>46304</x:v>
      </x:c>
      <x:c r="E5" s="1"/>
      <x:c r="F5" s="1"/>
      <x:c r="G5" s="1"/>
      <x:c r="H5" s="1" t="str">
        <x:v>PO add-on</x:v>
      </x:c>
      <x:c r="I5" s="1"/>
      <x:c r="J5" s="21" t="n">
        <x:v>0.05</x:v>
      </x:c>
      <x:c r="K5" s="1"/>
      <x:c r="L5" s="1"/>
      <x:c r="M5" s="1"/>
    </x:row>
    <x:row r="6" ht="21" customHeight="1">
      <x:c r="B6" s="1" t="str">
        <x:v>Usage factor</x:v>
      </x:c>
      <x:c r="C6" s="1"/>
      <x:c r="D6" s="21" t="n">
        <x:v>1</x:v>
      </x:c>
      <x:c r="E6" s="1"/>
      <x:c r="F6" s="1"/>
      <x:c r="G6" s="1"/>
      <x:c r="H6" s="1" t="str">
        <x:v>Change date</x:v>
      </x:c>
      <x:c r="I6" s="1"/>
      <x:c r="J6" s="23" t="n">
        <x:v>46388</x:v>
      </x:c>
      <x:c r="K6" s="1"/>
      <x:c r="L6" s="1"/>
      <x:c r="M6" s="1"/>
    </x:row>
    <x:row r="7" ht="21" customHeight="1">
      <x:c r="B7" s="1" t="str">
        <x:v>Amber cells are editable. Change date must be one of the forecast dates below.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</x:row>
    <x:row r="8" ht="21" customHeight="1">
      <x:c r="B8" s="1" t="str">
        <x:v>Reported inventory</x:v>
      </x:c>
      <x:c r="C8" s="1"/>
      <x:c r="D8" s="10" t="n">
        <x:f>SUM('Current inventory'!$J$2:$J$127)</x:f>
        <x:v>253666.09223999985</x:v>
      </x:c>
      <x:c r="E8" s="1"/>
      <x:c r="F8" s="1"/>
      <x:c r="G8" s="1"/>
      <x:c r="H8" s="1" t="str">
        <x:v>Estimated old stock</x:v>
      </x:c>
      <x:c r="I8" s="1"/>
      <x:c r="J8" s="10" t="n">
        <x:f>SUM('Current inventory'!$Y$2:$Y$127)</x:f>
        <x:v>237394.68223999997</x:v>
      </x:c>
      <x:c r="K8" s="1"/>
      <x:c r="L8" s="1"/>
      <x:c r="M8" s="1"/>
    </x:row>
    <x:row r="9" ht="21" customHeight="1">
      <x:c r="B9" s="1" t="str">
        <x:v>Calculated inventory</x:v>
      </x:c>
      <x:c r="C9" s="1"/>
      <x:c r="D9" s="10" t="n">
        <x:f>SUM('Current inventory'!$X$2:$X$127)</x:f>
        <x:v>252154.93223999988</x:v>
      </x:c>
      <x:c r="E9" s="1"/>
      <x:c r="F9" s="1"/>
      <x:c r="G9" s="1"/>
      <x:c r="H9" s="1" t="str">
        <x:v>Higher-cost stock</x:v>
      </x:c>
      <x:c r="I9" s="1"/>
      <x:c r="J9" s="10" t="n">
        <x:f>SUM('Current inventory'!$Z$2:$Z$127)</x:f>
        <x:v>0</x:v>
      </x:c>
      <x:c r="K9" s="1"/>
      <x:c r="L9" s="1"/>
      <x:c r="M9" s="1"/>
    </x:row>
    <x:row r="10" ht="21" customHeight="1">
      <x:c r="B10" s="1" t="str">
        <x:v>Valuation difference</x:v>
      </x:c>
      <x:c r="C10" s="1"/>
      <x:c r="D10" s="10" t="n">
        <x:f>SUM('Current inventory'!$AB$2:$AB$127)</x:f>
        <x:v>1511.159999999999</x:v>
      </x:c>
      <x:c r="E10" s="1"/>
      <x:c r="F10" s="1"/>
      <x:c r="G10" s="1"/>
      <x:c r="H10" s="1" t="str">
        <x:v>Unclassified stock</x:v>
      </x:c>
      <x:c r="I10" s="1"/>
      <x:c r="J10" s="10" t="n">
        <x:f>SUM('Current inventory'!$AA$2:$AA$127)</x:f>
        <x:v>14760.250000000004</x:v>
      </x:c>
      <x:c r="K10" s="1"/>
      <x:c r="L10" s="1"/>
      <x:c r="M10" s="1"/>
    </x:row>
    <x:row r="11" ht="21" customHeight="1"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</x:row>
    <x:row r="12" ht="21" customHeight="1">
      <x:c r="B12" s="1" t="str">
        <x:v>Current priced cost adjustment</x:v>
      </x:c>
      <x:c r="C12" s="1"/>
      <x:c r="D12" s="1"/>
      <x:c r="E12" s="10" t="n">
        <x:f>SUM('Current inventory'!$AC$2:$AC$127)</x:f>
        <x:v>10657.72537000002</x:v>
      </x:c>
      <x:c r="F12" s="1"/>
      <x:c r="G12" s="1"/>
      <x:c r="H12" s="1" t="str">
        <x:v>Higher-priced POs due</x:v>
      </x:c>
      <x:c r="I12" s="1"/>
      <x:c r="J12" s="17" t="n">
        <x:v>46367</x:v>
      </x:c>
      <x:c r="K12" s="1"/>
      <x:c r="L12" s="1"/>
      <x:c r="M12" s="1"/>
    </x:row>
    <x:row r="13" ht="21" customHeight="1"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</x:row>
    <x:row r="14" ht="66" customHeight="1">
      <x:c r="B14" s="6" t="str">
        <x:v>Forecast date</x:v>
      </x:c>
      <x:c r="C14" s="6" t="str">
        <x:v>Old stock value</x:v>
      </x:c>
      <x:c r="D14" s="6" t="str">
        <x:v>Higher-cost stock value</x:v>
      </x:c>
      <x:c r="E14" s="6" t="str">
        <x:v>Unclassified value</x:v>
      </x:c>
      <x:c r="F14" s="6" t="str">
        <x:v>Total projected value</x:v>
      </x:c>
      <x:c r="G14" s="6" t="str">
        <x:v>Higher-cost share of classified stock</x:v>
      </x:c>
      <x:c r="H14" s="6" t="str">
        <x:v>Higher-cost share of all stock</x:v>
      </x:c>
      <x:c r="I14" s="6" t="str">
        <x:v>Old stock share of all stock</x:v>
      </x:c>
      <x:c r="J14" s="6" t="str">
        <x:v>Priced revaluation</x:v>
      </x:c>
      <x:c r="K14" s="6" t="str">
        <x:v>Stock without proposed cost</x:v>
      </x:c>
      <x:c r="L14" s="6" t="str">
        <x:v>Unfilled demand units</x:v>
      </x:c>
      <x:c r="M14" s="6" t="str">
        <x:v>Ending stock units</x:v>
      </x:c>
    </x:row>
    <x:row r="15" ht="21" customHeight="1">
      <x:c r="B15" s="17" t="n">
        <x:v>46327</x:v>
      </x:c>
      <x:c r="C15" s="10" t="n">
        <x:f>SUMIFS('Monthly forecast'!$R$2:$R$757,'Monthly forecast'!$A$2:$A$757,B15)</x:f>
        <x:v>243993.0064674727</x:v>
      </x:c>
      <x:c r="D15" s="10" t="n">
        <x:f>SUMIFS('Monthly forecast'!$S$2:$S$757,'Monthly forecast'!$A$2:$A$757,B15)</x:f>
        <x:v>0</x:v>
      </x:c>
      <x:c r="E15" s="10" t="n">
        <x:f>SUMIFS('Monthly forecast'!$T$2:$T$757,'Monthly forecast'!$A$2:$A$757,B15)</x:f>
        <x:v>12160.586978398354</x:v>
      </x:c>
      <x:c r="F15" s="10" t="n">
        <x:f>SUMIFS('Monthly forecast'!$U$2:$U$757,'Monthly forecast'!$A$2:$A$757,B15)</x:f>
        <x:v>256153.59344587117</x:v>
      </x:c>
      <x:c r="G15" s="24" t="n">
        <x:f>IF(C15+D15=0,"n.a.",D15/(C15+D15))</x:f>
        <x:v>0</x:v>
      </x:c>
      <x:c r="H15" s="24" t="n">
        <x:f>IF(F15=0,"n.a.",D15/F15)</x:f>
        <x:v>0</x:v>
      </x:c>
      <x:c r="I15" s="24" t="n">
        <x:f>IF(F15=0,"n.a.",C15/F15)</x:f>
        <x:v>0.9525261901860917</x:v>
      </x:c>
      <x:c r="J15" s="10" t="n">
        <x:f>SUMIFS('Monthly forecast'!$V$2:$V$757,'Monthly forecast'!$A$2:$A$757,B15)</x:f>
        <x:v>10957.569056944581</x:v>
      </x:c>
      <x:c r="K15" s="10" t="n">
        <x:f>SUMIFS('Monthly forecast'!$U$2:$U$757,'Monthly forecast'!$A$2:$A$757,B15,'Monthly forecast'!$Z$2:$Z$757,0)</x:f>
        <x:v>12160.586978398354</x:v>
      </x:c>
      <x:c r="L15" s="8" t="n">
        <x:f>SUMIFS('Monthly forecast'!$X$2:$X$757,'Monthly forecast'!$A$2:$A$757,B15)</x:f>
        <x:v>12947.646160164271</x:v>
      </x:c>
      <x:c r="M15" s="8" t="n">
        <x:f>SUMIFS('Monthly forecast'!$O$2:$O$757,'Monthly forecast'!$A$2:$A$757,B15)</x:f>
        <x:v>1404825.6550308003</x:v>
      </x:c>
    </x:row>
    <x:row r="16" ht="21" customHeight="1">
      <x:c r="B16" s="17" t="n">
        <x:v>46357</x:v>
      </x:c>
      <x:c r="C16" s="10" t="n">
        <x:f>SUMIFS('Monthly forecast'!$R$2:$R$757,'Monthly forecast'!$A$2:$A$757,B16)</x:f>
        <x:v>174960.45092273346</x:v>
      </x:c>
      <x:c r="D16" s="10" t="n">
        <x:f>SUMIFS('Monthly forecast'!$S$2:$S$757,'Monthly forecast'!$A$2:$A$757,B16)</x:f>
        <x:v>0</x:v>
      </x:c>
      <x:c r="E16" s="10" t="n">
        <x:f>SUMIFS('Monthly forecast'!$T$2:$T$757,'Monthly forecast'!$A$2:$A$757,B16)</x:f>
        <x:v>8984.60390087885</x:v>
      </x:c>
      <x:c r="F16" s="10" t="n">
        <x:f>SUMIFS('Monthly forecast'!$U$2:$U$757,'Monthly forecast'!$A$2:$A$757,B16)</x:f>
        <x:v>183945.0548236124</x:v>
      </x:c>
      <x:c r="G16" s="24" t="n">
        <x:f>IF(C16+D16=0,"n.a.",D16/(C16+D16))</x:f>
        <x:v>0</x:v>
      </x:c>
      <x:c r="H16" s="24" t="n">
        <x:f>IF(F16=0,"n.a.",D16/F16)</x:f>
        <x:v>0</x:v>
      </x:c>
      <x:c r="I16" s="24" t="n">
        <x:f>IF(F16=0,"n.a.",C16/F16)</x:f>
        <x:v>0.9511560454316405</x:v>
      </x:c>
      <x:c r="J16" s="10" t="n">
        <x:f>SUMIFS('Monthly forecast'!$V$2:$V$757,'Monthly forecast'!$A$2:$A$757,B16)</x:f>
        <x:v>7857.211966841902</x:v>
      </x:c>
      <x:c r="K16" s="10" t="n">
        <x:f>SUMIFS('Monthly forecast'!$U$2:$U$757,'Monthly forecast'!$A$2:$A$757,B16,'Monthly forecast'!$Z$2:$Z$757,0)</x:f>
        <x:v>8984.60390087885</x:v>
      </x:c>
      <x:c r="L16" s="8" t="n">
        <x:f>SUMIFS('Monthly forecast'!$X$2:$X$757,'Monthly forecast'!$A$2:$A$757,B16)</x:f>
        <x:v>22659.278521560576</x:v>
      </x:c>
      <x:c r="M16" s="8" t="n">
        <x:f>SUMIFS('Monthly forecast'!$O$2:$O$757,'Monthly forecast'!$A$2:$A$757,B16)</x:f>
        <x:v>939022.3364271052</x:v>
      </x:c>
    </x:row>
    <x:row r="17" ht="21" customHeight="1">
      <x:c r="B17" s="17" t="n">
        <x:v>46388</x:v>
      </x:c>
      <x:c r="C17" s="10" t="n">
        <x:f>SUMIFS('Monthly forecast'!$R$2:$R$757,'Monthly forecast'!$A$2:$A$757,B17)</x:f>
        <x:v>112439.66557873016</x:v>
      </x:c>
      <x:c r="D17" s="10" t="n">
        <x:f>SUMIFS('Monthly forecast'!$S$2:$S$757,'Monthly forecast'!$A$2:$A$757,B17)</x:f>
        <x:v>206975.78154462422</x:v>
      </x:c>
      <x:c r="E17" s="10" t="n">
        <x:f>SUMIFS('Monthly forecast'!$T$2:$T$757,'Monthly forecast'!$A$2:$A$757,B17)</x:f>
        <x:v>6715.816594989733</x:v>
      </x:c>
      <x:c r="F17" s="10" t="n">
        <x:f>SUMIFS('Monthly forecast'!$U$2:$U$757,'Monthly forecast'!$A$2:$A$757,B17)</x:f>
        <x:v>326131.2637183442</x:v>
      </x:c>
      <x:c r="G17" s="24" t="n">
        <x:f>IF(C17+D17=0,"n.a.",D17/(C17+D17))</x:f>
        <x:v>0.6479830058584883</x:v>
      </x:c>
      <x:c r="H17" s="24" t="n">
        <x:f>IF(F17=0,"n.a.",D17/F17)</x:f>
        <x:v>0.6346394981726563</x:v>
      </x:c>
      <x:c r="I17" s="24" t="n">
        <x:f>IF(F17=0,"n.a.",C17/F17)</x:f>
        <x:v>0.3447681289330056</x:v>
      </x:c>
      <x:c r="J17" s="10" t="n">
        <x:f>SUMIFS('Monthly forecast'!$V$2:$V$757,'Monthly forecast'!$A$2:$A$757,B17)</x:f>
        <x:v>14345.967861141717</x:v>
      </x:c>
      <x:c r="K17" s="10" t="n">
        <x:f>SUMIFS('Monthly forecast'!$U$2:$U$757,'Monthly forecast'!$A$2:$A$757,B17,'Monthly forecast'!$Z$2:$Z$757,0)</x:f>
        <x:v>6715.816594989733</x:v>
      </x:c>
      <x:c r="L17" s="8" t="n">
        <x:f>SUMIFS('Monthly forecast'!$X$2:$X$757,'Monthly forecast'!$A$2:$A$757,B17)</x:f>
        <x:v>21568.4622587269</x:v>
      </x:c>
      <x:c r="M17" s="8" t="n">
        <x:f>SUMIFS('Monthly forecast'!$O$2:$O$757,'Monthly forecast'!$A$2:$A$757,B17)</x:f>
        <x:v>1798346.1149897324</x:v>
      </x:c>
    </x:row>
    <x:row r="18" ht="21" customHeight="1">
      <x:c r="B18" s="17" t="n">
        <x:v>46419</x:v>
      </x:c>
      <x:c r="C18" s="10" t="n">
        <x:f>SUMIFS('Monthly forecast'!$R$2:$R$757,'Monthly forecast'!$A$2:$A$757,B18)</x:f>
        <x:v>78289.19915116222</x:v>
      </x:c>
      <x:c r="D18" s="10" t="n">
        <x:f>SUMIFS('Monthly forecast'!$S$2:$S$757,'Monthly forecast'!$A$2:$A$757,B18)</x:f>
        <x:v>353279.4191728131</x:v>
      </x:c>
      <x:c r="E18" s="10" t="n">
        <x:f>SUMIFS('Monthly forecast'!$T$2:$T$757,'Monthly forecast'!$A$2:$A$757,B18)</x:f>
        <x:v>5471.074524845997</x:v>
      </x:c>
      <x:c r="F18" s="10" t="n">
        <x:f>SUMIFS('Monthly forecast'!$U$2:$U$757,'Monthly forecast'!$A$2:$A$757,B18)</x:f>
        <x:v>437039.6928488214</x:v>
      </x:c>
      <x:c r="G18" s="24" t="n">
        <x:f>IF(C18+D18=0,"n.a.",D18/(C18+D18))</x:f>
        <x:v>0.8185938554679824</x:v>
      </x:c>
      <x:c r="H18" s="24" t="n">
        <x:f>IF(F18=0,"n.a.",D18/F18)</x:f>
        <x:v>0.8083463011562608</x:v>
      </x:c>
      <x:c r="I18" s="24" t="n">
        <x:f>IF(F18=0,"n.a.",C18/F18)</x:f>
        <x:v>0.17913521456332257</x:v>
      </x:c>
      <x:c r="J18" s="10" t="n">
        <x:f>SUMIFS('Monthly forecast'!$V$2:$V$757,'Monthly forecast'!$A$2:$A$757,B18)</x:f>
        <x:v>19390.86125544153</x:v>
      </x:c>
      <x:c r="K18" s="10" t="n">
        <x:f>SUMIFS('Monthly forecast'!$U$2:$U$757,'Monthly forecast'!$A$2:$A$757,B18,'Monthly forecast'!$Z$2:$Z$757,0)</x:f>
        <x:v>5471.074524845997</x:v>
      </x:c>
      <x:c r="L18" s="8" t="n">
        <x:f>SUMIFS('Monthly forecast'!$X$2:$X$757,'Monthly forecast'!$A$2:$A$757,B18)</x:f>
        <x:v>26599.394168377825</x:v>
      </x:c>
      <x:c r="M18" s="8" t="n">
        <x:f>SUMIFS('Monthly forecast'!$O$2:$O$757,'Monthly forecast'!$A$2:$A$757,B18)</x:f>
        <x:v>2560200.825462012</x:v>
      </x:c>
    </x:row>
    <x:row r="19" ht="21" customHeight="1">
      <x:c r="B19" s="17" t="n">
        <x:v>46447</x:v>
      </x:c>
      <x:c r="C19" s="10" t="n">
        <x:f>SUMIFS('Monthly forecast'!$R$2:$R$757,'Monthly forecast'!$A$2:$A$757,B19)</x:f>
        <x:v>63705.27996835154</x:v>
      </x:c>
      <x:c r="D19" s="10" t="n">
        <x:f>SUMIFS('Monthly forecast'!$S$2:$S$757,'Monthly forecast'!$A$2:$A$757,B19)</x:f>
        <x:v>301488.138149733</x:v>
      </x:c>
      <x:c r="E19" s="10" t="n">
        <x:f>SUMIFS('Monthly forecast'!$T$2:$T$757,'Monthly forecast'!$A$2:$A$757,B19)</x:f>
        <x:v>4800.007800837783</x:v>
      </x:c>
      <x:c r="F19" s="10" t="n">
        <x:f>SUMIFS('Monthly forecast'!$U$2:$U$757,'Monthly forecast'!$A$2:$A$757,B19)</x:f>
        <x:v>369993.42591892235</x:v>
      </x:c>
      <x:c r="G19" s="24" t="n">
        <x:f>IF(C19+D19=0,"n.a.",D19/(C19+D19))</x:f>
        <x:v>0.8255574257152889</x:v>
      </x:c>
      <x:c r="H19" s="24" t="n">
        <x:f>IF(F19=0,"n.a.",D19/F19)</x:f>
        <x:v>0.8148472838428187</x:v>
      </x:c>
      <x:c r="I19" s="24" t="n">
        <x:f>IF(F19=0,"n.a.",C19/F19)</x:f>
        <x:v>0.1721794915953762</x:v>
      </x:c>
      <x:c r="J19" s="10" t="n">
        <x:f>SUMIFS('Monthly forecast'!$V$2:$V$757,'Monthly forecast'!$A$2:$A$757,B19)</x:f>
        <x:v>16409.758514809077</x:v>
      </x:c>
      <x:c r="K19" s="10" t="n">
        <x:f>SUMIFS('Monthly forecast'!$U$2:$U$757,'Monthly forecast'!$A$2:$A$757,B19,'Monthly forecast'!$Z$2:$Z$757,0)</x:f>
        <x:v>4800.007800837783</x:v>
      </x:c>
      <x:c r="L19" s="8" t="n">
        <x:f>SUMIFS('Monthly forecast'!$X$2:$X$757,'Monthly forecast'!$A$2:$A$757,B19)</x:f>
        <x:v>26529.335523613958</x:v>
      </x:c>
      <x:c r="M19" s="8" t="n">
        <x:f>SUMIFS('Monthly forecast'!$O$2:$O$757,'Monthly forecast'!$A$2:$A$757,B19)</x:f>
        <x:v>2130831.737002054</x:v>
      </x:c>
    </x:row>
    <x:row r="20" ht="21" customHeight="1">
      <x:c r="B20" s="17" t="n">
        <x:v>46478</x:v>
      </x:c>
      <x:c r="C20" s="10" t="n">
        <x:f>SUMIFS('Monthly forecast'!$R$2:$R$757,'Monthly forecast'!$A$2:$A$757,B20)</x:f>
        <x:v>51235.981096036136</x:v>
      </x:c>
      <x:c r="D20" s="10" t="n">
        <x:f>SUMIFS('Monthly forecast'!$S$2:$S$757,'Monthly forecast'!$A$2:$A$757,B20)</x:f>
        <x:v>240470.6082226694</x:v>
      </x:c>
      <x:c r="E20" s="10" t="n">
        <x:f>SUMIFS('Monthly forecast'!$T$2:$T$757,'Monthly forecast'!$A$2:$A$757,B20)</x:f>
        <x:v>4427.982299137578</x:v>
      </x:c>
      <x:c r="F20" s="10" t="n">
        <x:f>SUMIFS('Monthly forecast'!$U$2:$U$757,'Monthly forecast'!$A$2:$A$757,B20)</x:f>
        <x:v>296134.571617843</x:v>
      </x:c>
      <x:c r="G20" s="24" t="n">
        <x:f>IF(C20+D20=0,"n.a.",D20/(C20+D20))</x:f>
        <x:v>0.8243578205905455</x:v>
      </x:c>
      <x:c r="H20" s="24" t="n">
        <x:f>IF(F20=0,"n.a.",D20/F20)</x:f>
        <x:v>0.8120315264405972</x:v>
      </x:c>
      <x:c r="I20" s="24" t="n">
        <x:f>IF(F20=0,"n.a.",C20/F20)</x:f>
        <x:v>0.17301587185894446</x:v>
      </x:c>
      <x:c r="J20" s="10" t="n">
        <x:f>SUMIFS('Monthly forecast'!$V$2:$V$757,'Monthly forecast'!$A$2:$A$757,B20)</x:f>
        <x:v>13109.251909108865</x:v>
      </x:c>
      <x:c r="K20" s="10" t="n">
        <x:f>SUMIFS('Monthly forecast'!$U$2:$U$757,'Monthly forecast'!$A$2:$A$757,B20,'Monthly forecast'!$Z$2:$Z$757,0)</x:f>
        <x:v>4427.982299137578</x:v>
      </x:c>
      <x:c r="L20" s="8" t="n">
        <x:f>SUMIFS('Monthly forecast'!$X$2:$X$757,'Monthly forecast'!$A$2:$A$757,B20)</x:f>
        <x:v>31369.098316221764</x:v>
      </x:c>
      <x:c r="M20" s="8" t="n">
        <x:f>SUMIFS('Monthly forecast'!$O$2:$O$757,'Monthly forecast'!$A$2:$A$757,B20)</x:f>
        <x:v>1657456.1516221764</x:v>
      </x:c>
    </x:row>
    <x:row r="21" ht="21" customHeight="1"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</x:row>
    <x:row r="22" ht="21" customHeight="1">
      <x:c r="B22" s="25" t="str">
        <x:v>At selected change date</x:v>
      </x:c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</x:row>
    <x:row r="23" ht="21" customHeight="1">
      <x:c r="B23" s="1" t="str">
        <x:v>Priced cost adjustment</x:v>
      </x:c>
      <x:c r="C23" s="1"/>
      <x:c r="D23" s="1"/>
      <x:c r="E23" s="10" t="n">
        <x:f>IF(COUNTIFS('Monthly forecast'!$A$2:$A$757,$J$6)&gt;0,SUMIFS('Monthly forecast'!$V$2:$V$757,'Monthly forecast'!$A$2:$A$757,$J$6),"n.a.")</x:f>
        <x:v>14345.967861141717</x:v>
      </x:c>
      <x:c r="F23" s="1"/>
      <x:c r="G23" s="1"/>
      <x:c r="H23" s="1" t="str">
        <x:v>Higher-cost classified share</x:v>
      </x:c>
      <x:c r="I23" s="1"/>
      <x:c r="J23" s="1"/>
      <x:c r="K23" s="24" t="n">
        <x:f>IF(COUNTIFS('Monthly forecast'!$A$2:$A$757,$J$6)&gt;0,IF(SUMIFS('Monthly forecast'!$R$2:$R$757,'Monthly forecast'!$A$2:$A$757,$J$6)+SUMIFS('Monthly forecast'!$S$2:$S$757,'Monthly forecast'!$A$2:$A$757,$J$6)=0,"n.a.",SUMIFS('Monthly forecast'!$S$2:$S$757,'Monthly forecast'!$A$2:$A$757,$J$6)/(SUMIFS('Monthly forecast'!$R$2:$R$757,'Monthly forecast'!$A$2:$A$757,$J$6)+SUMIFS('Monthly forecast'!$S$2:$S$757,'Monthly forecast'!$A$2:$A$757,$J$6))),"n.a.")</x:f>
        <x:v>0.6479830058584883</x:v>
      </x:c>
      <x:c r="L23" s="1"/>
      <x:c r="M23" s="1"/>
    </x:row>
    <x:row r="24" ht="21" customHeight="1">
      <x:c r="B24" s="1" t="str">
        <x:v>Projected stock value</x:v>
      </x:c>
      <x:c r="C24" s="1"/>
      <x:c r="D24" s="1"/>
      <x:c r="E24" s="10" t="n">
        <x:f>IF(COUNTIFS('Monthly forecast'!$A$2:$A$757,$J$6)&gt;0,SUMIFS('Monthly forecast'!$U$2:$U$757,'Monthly forecast'!$A$2:$A$757,$J$6),"n.a.")</x:f>
        <x:v>326131.2637183442</x:v>
      </x:c>
      <x:c r="F24" s="1"/>
      <x:c r="G24" s="1"/>
      <x:c r="H24" s="1" t="str">
        <x:v>Old stock value</x:v>
      </x:c>
      <x:c r="I24" s="1"/>
      <x:c r="J24" s="1"/>
      <x:c r="K24" s="10" t="n">
        <x:f>IF(COUNTIFS('Monthly forecast'!$A$2:$A$757,$J$6)&gt;0,SUMIFS('Monthly forecast'!$R$2:$R$757,'Monthly forecast'!$A$2:$A$757,$J$6),"n.a.")</x:f>
        <x:v>112439.66557873016</x:v>
      </x:c>
      <x:c r="L24" s="1"/>
      <x:c r="M24" s="1"/>
    </x:row>
    <x:row r="25" ht="21" customHeight="1">
      <x:c r="B25" s="1" t="str">
        <x:v>Stock without proposed cost</x:v>
      </x:c>
      <x:c r="C25" s="1"/>
      <x:c r="D25" s="1"/>
      <x:c r="E25" s="10" t="n">
        <x:f>IF(COUNTIFS('Monthly forecast'!$A$2:$A$757,$J$6)&gt;0,SUMIFS('Monthly forecast'!$U$2:$U$757,'Monthly forecast'!$A$2:$A$757,$J$6,'Monthly forecast'!$Z$2:$Z$757,0),"n.a.")</x:f>
        <x:v>6715.816594989733</x:v>
      </x:c>
      <x:c r="F25" s="1"/>
      <x:c r="G25" s="1"/>
      <x:c r="H25" s="1" t="str">
        <x:v>Unclassified stock value</x:v>
      </x:c>
      <x:c r="I25" s="1"/>
      <x:c r="J25" s="1"/>
      <x:c r="K25" s="10" t="n">
        <x:f>IF(COUNTIFS('Monthly forecast'!$A$2:$A$757,$J$6)&gt;0,SUMIFS('Monthly forecast'!$T$2:$T$757,'Monthly forecast'!$A$2:$A$757,$J$6),"n.a.")</x:f>
        <x:v>6715.816594989733</x:v>
      </x:c>
      <x:c r="L25" s="1"/>
      <x:c r="M25" s="1"/>
    </x:row>
    <x:row r="26" ht="21" customHeight="1"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</x:row>
    <x:row r="27" ht="21" customHeight="1">
      <x:c r="B27" s="1" t="str">
        <x:f>IF(ISNUMBER(K23),IF(K23&gt;0.5,"More than half of the classified stock is at higher PO prices at the selected date.","Most classified stock is still at older PO prices at the selected date."),"Select a change date from the forecast table.")</x:f>
        <x:v>More than half of the classified stock is at higher PO prices at the selected date.</x:v>
      </x:c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</x:row>
    <x:row r="28" ht="21" customHeight="1"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</x:row>
    <x:row r="29" ht="21" customHeight="1">
      <x:c r="B29" s="26" t="str">
        <x:v>January 1 is the first forecast date with a majority at higher cost. February 1 reaches about 82% at 100% usage.</x:v>
      </x:c>
      <x:c r="C29" s="26"/>
      <x:c r="D29" s="26"/>
      <x:c r="E29" s="26"/>
      <x:c r="F29" s="26"/>
      <x:c r="G29" s="26"/>
      <x:c r="H29" s="26"/>
      <x:c r="I29" s="26"/>
      <x:c r="J29" s="26"/>
      <x:c r="K29" s="26"/>
      <x:c r="L29" s="26"/>
      <x:c r="M29" s="26"/>
    </x:row>
    <x:row r="30" ht="21" customHeight="1">
      <x:c r="B30" s="26" t="str">
        <x:v>Current old/new layers are FIFO estimates from dated receipts and current on-hand quantities. Transfers and adjustments are not provided.</x:v>
      </x:c>
      <x:c r="C30" s="26"/>
      <x:c r="D30" s="26"/>
      <x:c r="E30" s="26"/>
      <x:c r="F30" s="26"/>
      <x:c r="G30" s="26"/>
      <x:c r="H30" s="26"/>
      <x:c r="I30" s="26"/>
      <x:c r="J30" s="26"/>
      <x:c r="K30" s="26"/>
      <x:c r="L30" s="26"/>
      <x:c r="M30" s="26"/>
    </x:row>
    <x:row r="31" ht="21" customHeight="1">
      <x:c r="B31" s="26" t="str">
        <x:v>Only active a POs with blank receipt dates are incoming. Full ordered quantity is used, even where qtyrcv is populated.</x:v>
      </x:c>
      <x:c r="C31" s="26"/>
      <x:c r="D31" s="26"/>
      <x:c r="E31" s="26"/>
      <x:c r="F31" s="26"/>
      <x:c r="G31" s="26"/>
      <x:c r="H31" s="26"/>
      <x:c r="I31" s="26"/>
      <x:c r="J31" s="26"/>
      <x:c r="K31" s="26"/>
      <x:c r="L31" s="26"/>
      <x:c r="M31" s="26"/>
    </x:row>
    <x:row r="32" ht="21" customHeight="1">
      <x:c r="B32" s="26" t="str">
        <x:v>Comb costs use /100. End strips and 800BLKTB use /1000, inferred from receipt GL and reported valuation. PrcCostPer is not supplied.</x:v>
      </x:c>
      <x:c r="C32" s="26"/>
      <x:c r="D32" s="26"/>
      <x:c r="E32" s="26"/>
      <x:c r="F32" s="26"/>
      <x:c r="G32" s="26"/>
      <x:c r="H32" s="26"/>
      <x:c r="I32" s="26"/>
      <x:c r="J32" s="26"/>
      <x:c r="K32" s="26"/>
      <x:c r="L32" s="26"/>
      <x:c r="M32" s="26"/>
    </x:row>
    <x:row r="33" ht="21" customHeight="1">
      <x:c r="B33" s="26" t="str">
        <x:v>Monthly FIFO roll-forward caps stock at zero and drops demand beyond available stock. Daily stockout timing is not simulated.</x:v>
      </x:c>
      <x:c r="C33" s="26"/>
      <x:c r="D33" s="26"/>
      <x:c r="E33" s="26"/>
      <x:c r="F33" s="26"/>
      <x:c r="G33" s="26"/>
      <x:c r="H33" s="26"/>
      <x:c r="I33" s="26"/>
      <x:c r="J33" s="26"/>
      <x:c r="K33" s="26"/>
      <x:c r="L33" s="26"/>
      <x:c r="M33" s="26"/>
    </x:row>
    <x:row r="34" ht="21" customHeight="1">
      <x:c r="B34" s="26" t="str">
        <x:v>QtyOnOrder includes 10,000 units of 800BBLKBRC in warehouse 10 absent from the open-PO export. These arrivals are not forecast.</x:v>
      </x:c>
      <x:c r="C34" s="26"/>
      <x:c r="D34" s="26"/>
      <x:c r="E34" s="26"/>
      <x:c r="F34" s="26"/>
      <x:c r="G34" s="26"/>
      <x:c r="H34" s="26"/>
      <x:c r="I34" s="26"/>
      <x:c r="J34" s="26"/>
      <x:c r="K34" s="26"/>
      <x:c r="L34" s="26"/>
      <x:c r="M34" s="26"/>
    </x:row>
    <x:row r="35" ht="21" customHeight="1">
      <x:c r="B35" s="26" t="str">
        <x:v>New standards use replacement cost × (1 + PO add-on) for the eight products priced in Chris’s C800 worksheet. Other costs stay unavailable.</x:v>
      </x:c>
      <x:c r="C35" s="26"/>
      <x:c r="D35" s="26"/>
      <x:c r="E35" s="26"/>
      <x:c r="F35" s="26"/>
      <x:c r="G35" s="26"/>
      <x:c r="H35" s="26"/>
      <x:c r="I35" s="26"/>
      <x:c r="J35" s="26"/>
      <x:c r="K35" s="26"/>
      <x:c r="L35" s="26"/>
      <x:c r="M35" s="26"/>
    </x:row>
    <x:row r="36" ht="21" customHeight="1">
      <x:c r="B36" s="26" t="str">
        <x:v>Incoming dates are expected. Only supplied orders are included; forecasts after January exclude unprovided future replenishment.</x:v>
      </x:c>
      <x:c r="C36" s="26"/>
      <x:c r="D36" s="26"/>
      <x:c r="E36" s="26"/>
      <x:c r="F36" s="26"/>
      <x:c r="G36" s="26"/>
      <x:c r="H36" s="26"/>
      <x:c r="I36" s="26"/>
      <x:c r="J36" s="26"/>
      <x:c r="K36" s="26"/>
      <x:c r="L36" s="26"/>
      <x:c r="M36" s="26"/>
    </x:row>
    <x:row r="37" ht="21" customHeight="1"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</x:row>
    <x:row r="38" ht="25" customHeight="1">
      <x:c r="B38" s="6" t="str">
        <x:v>Sources</x:v>
      </x:c>
      <x:c r="C38" s="6"/>
      <x:c r="D38" s="6"/>
      <x:c r="E38" s="6"/>
      <x:c r="F38" s="6"/>
      <x:c r="G38" s="6"/>
      <x:c r="H38" s="6"/>
      <x:c r="I38" s="6"/>
      <x:c r="J38" s="6"/>
      <x:c r="K38" s="6"/>
      <x:c r="L38" s="6"/>
      <x:c r="M38" s="6"/>
    </x:row>
    <x:row r="39" ht="21" customHeight="1">
      <x:c r="B39" s="1" t="str">
        <x:v>C800 Product Info.csv: 126 product/warehouse rows. Current inventory, usage, standard and replacement costs.</x:v>
      </x:c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</x:row>
    <x:row r="40" ht="21" customHeight="1">
      <x:c r="B40" s="1" t="str">
        <x:v>Receipts data film c400 c800 plastic.csv: 562 C800 dated rows. Blank-date history replaced with the latest PO export.</x:v>
      </x:c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</x:row>
    <x:row r="41" ht="21" customHeight="1">
      <x:c r="B41" s="1" t="str">
        <x:v>updated receipts.csv: 109 C800 undated rows, including 28 active incoming lines.</x:v>
      </x:c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</x:row>
    <x:row r="42" ht="21" customHeight="1">
      <x:c r="B42" s="1" t="str">
        <x:v>Chris Price Increases.xlsx, Ecological C800: eight priced products, original/new PO prices and a 5% proposed add-on.</x:v>
      </x:c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</x:row>
    <x:row r="43" ht="21" customHeight="1"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</x:row>
    <x:row r="44" ht="21" customHeight="1"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</x:row>
    <x:row r="45" ht="21" customHeight="1"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</x:row>
  </x:sheetData>
  <x:dataValidations count="2">
    <x:dataValidation type="decimal" operator="between" sqref="D6">
      <x:formula1>0</x:formula1>
      <x:formula2>2</x:formula2>
    </x:dataValidation>
    <x:dataValidation type="decimal" operator="between" sqref="J5">
      <x:formula1>0</x:formula1>
      <x:formula2>1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8" hidden="0" customWidth="1"/>
    <x:col min="2" max="2" width="22" hidden="0" customWidth="1"/>
    <x:col min="3" max="3" width="30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38" hidden="0" customWidth="1"/>
    <x:col min="19" max="19" width="18" hidden="0" customWidth="1"/>
    <x:col min="20" max="20" width="18" hidden="0" customWidth="1"/>
    <x:col min="21" max="21" width="45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</x:cols>
  <x:sheetData>
    <x:row r="1" ht="44" customHeight="1">
      <x:c r="A1" s="6" t="str">
        <x:v>Warehouse</x:v>
      </x:c>
      <x:c r="B1" s="6" t="str">
        <x:v>Product</x:v>
      </x:c>
      <x:c r="C1" s="6" t="str">
        <x:v>Vendor</x:v>
      </x:c>
      <x:c r="D1" s="6" t="str">
        <x:v>On hand units</x:v>
      </x:c>
      <x:c r="E1" s="6" t="str">
        <x:v>Monthly UsageRate</x:v>
      </x:c>
      <x:c r="F1" s="6" t="str">
        <x:v>Reported on order units</x:v>
      </x:c>
      <x:c r="G1" s="6" t="str">
        <x:v>Standard source cost</x:v>
      </x:c>
      <x:c r="H1" s="6" t="str">
        <x:v>Replacement source cost</x:v>
      </x:c>
      <x:c r="I1" s="6" t="str">
        <x:v>Units per cost</x:v>
      </x:c>
      <x:c r="J1" s="6" t="str">
        <x:v>Reported standard value</x:v>
      </x:c>
      <x:c r="K1" s="6" t="str">
        <x:v>Original PO source cost</x:v>
      </x:c>
      <x:c r="L1" s="6" t="str">
        <x:v>Chris new PO source cost</x:v>
      </x:c>
      <x:c r="M1" s="6" t="str">
        <x:v>Estimated old units</x:v>
      </x:c>
      <x:c r="N1" s="6" t="str">
        <x:v>Estimated higher-cost units</x:v>
      </x:c>
      <x:c r="O1" s="6" t="str">
        <x:v>Unclassified units</x:v>
      </x:c>
      <x:c r="P1" s="6" t="str">
        <x:v>Layer coverage flag</x:v>
      </x:c>
      <x:c r="Q1" s="6" t="str">
        <x:v>Chris priced-cost flag</x:v>
      </x:c>
      <x:c r="R1" s="6" t="str">
        <x:v>Layer review</x:v>
      </x:c>
      <x:c r="S1" s="6" t="str">
        <x:v>Receipt units assigned</x:v>
      </x:c>
      <x:c r="T1" s="6" t="str">
        <x:v>Last receipt date in inventory</x:v>
      </x:c>
      <x:c r="U1" s="6" t="str">
        <x:v>Unit-basis evidence</x:v>
      </x:c>
      <x:c r="V1" s="6" t="str">
        <x:v>Standard per stock unit</x:v>
      </x:c>
      <x:c r="W1" s="6" t="str">
        <x:v>Proposed standard per unit</x:v>
      </x:c>
      <x:c r="X1" s="6" t="str">
        <x:v>Calculated stock value</x:v>
      </x:c>
      <x:c r="Y1" s="6" t="str">
        <x:v>Old stock value</x:v>
      </x:c>
      <x:c r="Z1" s="6" t="str">
        <x:v>Higher-cost stock value</x:v>
      </x:c>
      <x:c r="AA1" s="6" t="str">
        <x:v>Unclassified stock value</x:v>
      </x:c>
      <x:c r="AB1" s="6" t="str">
        <x:v>Reported value difference</x:v>
      </x:c>
      <x:c r="AC1" s="6" t="str">
        <x:v>Current priced revaluation</x:v>
      </x:c>
      <x:c r="AD1" s="6" t="str">
        <x:v>On-order quantity gap</x:v>
      </x:c>
    </x:row>
    <x:row r="2" ht="21" customHeight="1">
      <x:c r="A2" s="1" t="str">
        <x:v>10</x:v>
      </x:c>
      <x:c r="B2" s="1" t="str">
        <x:v>800BBLKASC</x:v>
      </x:c>
      <x:c r="C2" s="1" t="str">
        <x:v>ECOLOGICAL FIBERS, INC</x:v>
      </x:c>
      <x:c r="D2" s="8" t="n">
        <x:v>499100</x:v>
      </x:c>
      <x:c r="E2" s="8" t="n">
        <x:v>154516.67</x:v>
      </x:c>
      <x:c r="F2" s="8" t="n">
        <x:v>720000</x:v>
      </x:c>
      <x:c r="G2" s="9" t="n">
        <x:v>12.29</x:v>
      </x:c>
      <x:c r="H2" s="9" t="n">
        <x:v>12.23</x:v>
      </x:c>
      <x:c r="I2" s="1" t="n">
        <x:v>100</x:v>
      </x:c>
      <x:c r="J2" s="10" t="n">
        <x:v>61855.57</x:v>
      </x:c>
      <x:c r="K2" s="9" t="n">
        <x:v>11.7</x:v>
      </x:c>
      <x:c r="L2" s="9" t="n">
        <x:v>12.23</x:v>
      </x:c>
      <x:c r="M2" s="11" t="n">
        <x:f>IF(P2=1,SUMIFS('PO detail'!$P$2:$P$672,'PO detail'!$A$2:$A$672,A2,'PO detail'!$B$2:$B$672,B2,'PO detail'!$K$2:$K$672,"&lt;="&amp;(K2*1.01)),0)</x:f>
        <x:v>499100</x:v>
      </x:c>
      <x:c r="N2" s="11" t="n">
        <x:f>IF(P2=1,D2-M2,0)</x:f>
        <x:v>0</x:v>
      </x:c>
      <x:c r="O2" s="11" t="n">
        <x:f>D2-M2-N2</x:f>
        <x:v>0</x:v>
      </x:c>
      <x:c r="P2" s="15" t="n">
        <x:f>IF(AND(K2&gt;0,ABS(D2-SUMIFS('PO detail'!$P$2:$P$672,'PO detail'!$A$2:$A$672,A2,'PO detail'!$B$2:$B$672,B2))&lt;0.01),1,0)</x:f>
        <x:v>1</x:v>
      </x:c>
      <x:c r="Q2" s="15" t="n">
        <x:f>IF(AND(L2&gt;0,H2&gt;0,ABS(H2-L2)&lt;0.01),1,0)</x:f>
        <x:v>1</x:v>
      </x:c>
      <x:c r="R2" s="15" t="str">
        <x:f>IF(P2=1,"Estimated FIFO layers covered",IF(K2="","No original PO-price baseline","Insufficient dated receipt quantity"))</x:f>
        <x:v>Estimated FIFO layers covered</x:v>
      </x:c>
      <x:c r="S2" s="15" t="n">
        <x:f>SUMIFS('PO detail'!$P$2:$P$672,'PO detail'!$A$2:$A$672,A2,'PO detail'!$B$2:$B$672,B2)</x:f>
        <x:v>499100</x:v>
      </x:c>
      <x:c r="T2" s="1" t="str">
        <x:v>2026-09-24 00:00:00</x:v>
      </x:c>
      <x:c r="U2" s="1" t="str">
        <x:v>Receipt GL and reported valuation; inferred, PrcCostPer not supplied</x:v>
      </x:c>
      <x:c r="V2" s="13" t="n">
        <x:f>G2/I2</x:f>
        <x:v>0.1229</x:v>
      </x:c>
      <x:c r="W2" s="13" t="n">
        <x:f>IF(Q2=1,H2*(1+Summary!$J$5)/I2,"n.a.")</x:f>
        <x:v>0.12841500000000003</x:v>
      </x:c>
      <x:c r="X2" s="16" t="n">
        <x:f>D2*V2</x:f>
        <x:v>61339.39</x:v>
      </x:c>
      <x:c r="Y2" s="16" t="n">
        <x:f>M2*V2</x:f>
        <x:v>61339.39</x:v>
      </x:c>
      <x:c r="Z2" s="16" t="n">
        <x:f>N2*V2</x:f>
        <x:v>0</x:v>
      </x:c>
      <x:c r="AA2" s="16" t="n">
        <x:f>O2*V2</x:f>
        <x:v>0</x:v>
      </x:c>
      <x:c r="AB2" s="16" t="n">
        <x:f>J2-X2</x:f>
        <x:v>516.1800000000003</x:v>
      </x:c>
      <x:c r="AC2" s="16" t="n">
        <x:f>IF(ISNUMBER(W2),D2*(W2-V2),"n.a.")</x:f>
        <x:v>2752.536500000017</x:v>
      </x:c>
      <x:c r="AD2" s="12" t="n">
        <x:f>F2-SUMIFS('PO detail'!$S$2:$S$672,'PO detail'!$A$2:$A$672,A2,'PO detail'!$B$2:$B$672,B2)</x:f>
        <x:v>0</x:v>
      </x:c>
    </x:row>
    <x:row r="3" ht="21" customHeight="1">
      <x:c r="A3" s="1" t="str">
        <x:v>60</x:v>
      </x:c>
      <x:c r="B3" s="1" t="str">
        <x:v>800BBLKASC</x:v>
      </x:c>
      <x:c r="C3" s="1" t="str">
        <x:v>ECOLOGICAL FIBERS, INC</x:v>
      </x:c>
      <x:c r="D3" s="8" t="n">
        <x:v>49800</x:v>
      </x:c>
      <x:c r="E3" s="8" t="n">
        <x:v>144616.67</x:v>
      </x:c>
      <x:c r="F3" s="8" t="n">
        <x:v>1080000</x:v>
      </x:c>
      <x:c r="G3" s="9" t="n">
        <x:v>12.29</x:v>
      </x:c>
      <x:c r="H3" s="9" t="n">
        <x:v>12.23</x:v>
      </x:c>
      <x:c r="I3" s="1" t="n">
        <x:v>100</x:v>
      </x:c>
      <x:c r="J3" s="10" t="n">
        <x:v>6698.05</x:v>
      </x:c>
      <x:c r="K3" s="9" t="n">
        <x:v>11.7</x:v>
      </x:c>
      <x:c r="L3" s="9" t="n">
        <x:v>12.23</x:v>
      </x:c>
      <x:c r="M3" s="11" t="n">
        <x:f>IF(P3=1,SUMIFS('PO detail'!$P$2:$P$672,'PO detail'!$A$2:$A$672,A3,'PO detail'!$B$2:$B$672,B3,'PO detail'!$K$2:$K$672,"&lt;="&amp;(K3*1.01)),0)</x:f>
        <x:v>49800</x:v>
      </x:c>
      <x:c r="N3" s="11" t="n">
        <x:f>IF(P3=1,D3-M3,0)</x:f>
        <x:v>0</x:v>
      </x:c>
      <x:c r="O3" s="11" t="n">
        <x:f>D3-M3-N3</x:f>
        <x:v>0</x:v>
      </x:c>
      <x:c r="P3" s="15" t="n">
        <x:f>IF(AND(K3&gt;0,ABS(D3-SUMIFS('PO detail'!$P$2:$P$672,'PO detail'!$A$2:$A$672,A3,'PO detail'!$B$2:$B$672,B3))&lt;0.01),1,0)</x:f>
        <x:v>1</x:v>
      </x:c>
      <x:c r="Q3" s="15" t="n">
        <x:f>IF(AND(L3&gt;0,H3&gt;0,ABS(H3-L3)&lt;0.01),1,0)</x:f>
        <x:v>1</x:v>
      </x:c>
      <x:c r="R3" s="15" t="str">
        <x:f>IF(P3=1,"Estimated FIFO layers covered",IF(K3="","No original PO-price baseline","Insufficient dated receipt quantity"))</x:f>
        <x:v>Estimated FIFO layers covered</x:v>
      </x:c>
      <x:c r="S3" s="15" t="n">
        <x:f>SUMIFS('PO detail'!$P$2:$P$672,'PO detail'!$A$2:$A$672,A3,'PO detail'!$B$2:$B$672,B3)</x:f>
        <x:v>49800</x:v>
      </x:c>
      <x:c r="T3" s="1" t="str">
        <x:v>2026-06-09 00:00:00</x:v>
      </x:c>
      <x:c r="U3" s="1" t="str">
        <x:v>Receipt GL and reported valuation; inferred, PrcCostPer not supplied</x:v>
      </x:c>
      <x:c r="V3" s="13" t="n">
        <x:f>G3/I3</x:f>
        <x:v>0.1229</x:v>
      </x:c>
      <x:c r="W3" s="13" t="n">
        <x:f>IF(Q3=1,H3*(1+Summary!$J$5)/I3,"n.a.")</x:f>
        <x:v>0.12841500000000003</x:v>
      </x:c>
      <x:c r="X3" s="16" t="n">
        <x:f>D3*V3</x:f>
        <x:v>6120.42</x:v>
      </x:c>
      <x:c r="Y3" s="16" t="n">
        <x:f>M3*V3</x:f>
        <x:v>6120.42</x:v>
      </x:c>
      <x:c r="Z3" s="16" t="n">
        <x:f>N3*V3</x:f>
        <x:v>0</x:v>
      </x:c>
      <x:c r="AA3" s="16" t="n">
        <x:f>O3*V3</x:f>
        <x:v>0</x:v>
      </x:c>
      <x:c r="AB3" s="16" t="n">
        <x:f>J3-X3</x:f>
        <x:v>577.6300000000001</x:v>
      </x:c>
      <x:c r="AC3" s="16" t="n">
        <x:f>IF(ISNUMBER(W3),D3*(W3-V3),"n.a.")</x:f>
        <x:v>274.6470000000017</x:v>
      </x:c>
      <x:c r="AD3" s="12" t="n">
        <x:f>F3-SUMIFS('PO detail'!$S$2:$S$672,'PO detail'!$A$2:$A$672,A3,'PO detail'!$B$2:$B$672,B3)</x:f>
        <x:v>0</x:v>
      </x:c>
    </x:row>
    <x:row r="4" ht="21" customHeight="1">
      <x:c r="A4" s="1" t="str">
        <x:v>30</x:v>
      </x:c>
      <x:c r="B4" s="1" t="str">
        <x:v>800BBLKASC</x:v>
      </x:c>
      <x:c r="C4" s="1" t="str">
        <x:v>ECOLOGICAL FIBERS, INC</x:v>
      </x:c>
      <x:c r="D4" s="8" t="n">
        <x:v>191400</x:v>
      </x:c>
      <x:c r="E4" s="8" t="n">
        <x:v>53275</x:v>
      </x:c>
      <x:c r="F4" s="8" t="n">
        <x:v>360000</x:v>
      </x:c>
      <x:c r="G4" s="9" t="n">
        <x:v>12.29</x:v>
      </x:c>
      <x:c r="H4" s="9" t="n">
        <x:v>12.23</x:v>
      </x:c>
      <x:c r="I4" s="1" t="n">
        <x:v>100</x:v>
      </x:c>
      <x:c r="J4" s="10" t="n">
        <x:v>23523.06</x:v>
      </x:c>
      <x:c r="K4" s="9" t="n">
        <x:v>11.7</x:v>
      </x:c>
      <x:c r="L4" s="9" t="n">
        <x:v>12.23</x:v>
      </x:c>
      <x:c r="M4" s="11" t="n">
        <x:f>IF(P4=1,SUMIFS('PO detail'!$P$2:$P$672,'PO detail'!$A$2:$A$672,A4,'PO detail'!$B$2:$B$672,B4,'PO detail'!$K$2:$K$672,"&lt;="&amp;(K4*1.01)),0)</x:f>
        <x:v>191400</x:v>
      </x:c>
      <x:c r="N4" s="11" t="n">
        <x:f>IF(P4=1,D4-M4,0)</x:f>
        <x:v>0</x:v>
      </x:c>
      <x:c r="O4" s="11" t="n">
        <x:f>D4-M4-N4</x:f>
        <x:v>0</x:v>
      </x:c>
      <x:c r="P4" s="15" t="n">
        <x:f>IF(AND(K4&gt;0,ABS(D4-SUMIFS('PO detail'!$P$2:$P$672,'PO detail'!$A$2:$A$672,A4,'PO detail'!$B$2:$B$672,B4))&lt;0.01),1,0)</x:f>
        <x:v>1</x:v>
      </x:c>
      <x:c r="Q4" s="15" t="n">
        <x:f>IF(AND(L4&gt;0,H4&gt;0,ABS(H4-L4)&lt;0.01),1,0)</x:f>
        <x:v>1</x:v>
      </x:c>
      <x:c r="R4" s="15" t="str">
        <x:f>IF(P4=1,"Estimated FIFO layers covered",IF(K4="","No original PO-price baseline","Insufficient dated receipt quantity"))</x:f>
        <x:v>Estimated FIFO layers covered</x:v>
      </x:c>
      <x:c r="S4" s="15" t="n">
        <x:f>SUMIFS('PO detail'!$P$2:$P$672,'PO detail'!$A$2:$A$672,A4,'PO detail'!$B$2:$B$672,B4)</x:f>
        <x:v>191400</x:v>
      </x:c>
      <x:c r="T4" s="1" t="str">
        <x:v>2026-10-07 00:00:00</x:v>
      </x:c>
      <x:c r="U4" s="1" t="str">
        <x:v>Receipt GL and reported valuation; inferred, PrcCostPer not supplied</x:v>
      </x:c>
      <x:c r="V4" s="13" t="n">
        <x:f>G4/I4</x:f>
        <x:v>0.1229</x:v>
      </x:c>
      <x:c r="W4" s="13" t="n">
        <x:f>IF(Q4=1,H4*(1+Summary!$J$5)/I4,"n.a.")</x:f>
        <x:v>0.12841500000000003</x:v>
      </x:c>
      <x:c r="X4" s="16" t="n">
        <x:f>D4*V4</x:f>
        <x:v>23523.059999999998</x:v>
      </x:c>
      <x:c r="Y4" s="16" t="n">
        <x:f>M4*V4</x:f>
        <x:v>23523.059999999998</x:v>
      </x:c>
      <x:c r="Z4" s="16" t="n">
        <x:f>N4*V4</x:f>
        <x:v>0</x:v>
      </x:c>
      <x:c r="AA4" s="16" t="n">
        <x:f>O4*V4</x:f>
        <x:v>0</x:v>
      </x:c>
      <x:c r="AB4" s="16" t="n">
        <x:f>J4-X4</x:f>
        <x:v>3.637978807091713e-12</x:v>
      </x:c>
      <x:c r="AC4" s="16" t="n">
        <x:f>IF(ISNUMBER(W4),D4*(W4-V4),"n.a.")</x:f>
        <x:v>1055.5710000000065</x:v>
      </x:c>
      <x:c r="AD4" s="12" t="n">
        <x:f>F4-SUMIFS('PO detail'!$S$2:$S$672,'PO detail'!$A$2:$A$672,A4,'PO detail'!$B$2:$B$672,B4)</x:f>
        <x:v>0</x:v>
      </x:c>
    </x:row>
    <x:row r="5" ht="21" customHeight="1">
      <x:c r="A5" s="1" t="str">
        <x:v>60</x:v>
      </x:c>
      <x:c r="B5" s="1" t="str">
        <x:v>800BNAVASC</x:v>
      </x:c>
      <x:c r="C5" s="1" t="str">
        <x:v>ECOLOGICAL FIBERS, INC</x:v>
      </x:c>
      <x:c r="D5" s="8" t="n">
        <x:v>35000</x:v>
      </x:c>
      <x:c r="E5" s="8" t="n">
        <x:v>20125</x:v>
      </x:c>
      <x:c r="F5" s="8" t="n">
        <x:v>210000</x:v>
      </x:c>
      <x:c r="G5" s="9" t="n">
        <x:v>15.15</x:v>
      </x:c>
      <x:c r="H5" s="9" t="n">
        <x:v>15.08</x:v>
      </x:c>
      <x:c r="I5" s="1" t="n">
        <x:v>100</x:v>
      </x:c>
      <x:c r="J5" s="10" t="n">
        <x:v>5302.5</x:v>
      </x:c>
      <x:c r="K5" s="9" t="n">
        <x:v>14.43</x:v>
      </x:c>
      <x:c r="L5" s="9" t="n">
        <x:v>15.08</x:v>
      </x:c>
      <x:c r="M5" s="11" t="n">
        <x:f>IF(P5=1,SUMIFS('PO detail'!$P$2:$P$672,'PO detail'!$A$2:$A$672,A5,'PO detail'!$B$2:$B$672,B5,'PO detail'!$K$2:$K$672,"&lt;="&amp;(K5*1.01)),0)</x:f>
        <x:v>35000</x:v>
      </x:c>
      <x:c r="N5" s="11" t="n">
        <x:f>IF(P5=1,D5-M5,0)</x:f>
        <x:v>0</x:v>
      </x:c>
      <x:c r="O5" s="11" t="n">
        <x:f>D5-M5-N5</x:f>
        <x:v>0</x:v>
      </x:c>
      <x:c r="P5" s="15" t="n">
        <x:f>IF(AND(K5&gt;0,ABS(D5-SUMIFS('PO detail'!$P$2:$P$672,'PO detail'!$A$2:$A$672,A5,'PO detail'!$B$2:$B$672,B5))&lt;0.01),1,0)</x:f>
        <x:v>1</x:v>
      </x:c>
      <x:c r="Q5" s="15" t="n">
        <x:f>IF(AND(L5&gt;0,H5&gt;0,ABS(H5-L5)&lt;0.01),1,0)</x:f>
        <x:v>1</x:v>
      </x:c>
      <x:c r="R5" s="15" t="str">
        <x:f>IF(P5=1,"Estimated FIFO layers covered",IF(K5="","No original PO-price baseline","Insufficient dated receipt quantity"))</x:f>
        <x:v>Estimated FIFO layers covered</x:v>
      </x:c>
      <x:c r="S5" s="15" t="n">
        <x:f>SUMIFS('PO detail'!$P$2:$P$672,'PO detail'!$A$2:$A$672,A5,'PO detail'!$B$2:$B$672,B5)</x:f>
        <x:v>35000</x:v>
      </x:c>
      <x:c r="T5" s="1" t="str">
        <x:v>2026-09-16 00:00:00</x:v>
      </x:c>
      <x:c r="U5" s="1" t="str">
        <x:v>Receipt GL and reported valuation; inferred, PrcCostPer not supplied</x:v>
      </x:c>
      <x:c r="V5" s="13" t="n">
        <x:f>G5/I5</x:f>
        <x:v>0.1515</x:v>
      </x:c>
      <x:c r="W5" s="13" t="n">
        <x:f>IF(Q5=1,H5*(1+Summary!$J$5)/I5,"n.a.")</x:f>
        <x:v>0.15834</x:v>
      </x:c>
      <x:c r="X5" s="16" t="n">
        <x:f>D5*V5</x:f>
        <x:v>5302.5</x:v>
      </x:c>
      <x:c r="Y5" s="16" t="n">
        <x:f>M5*V5</x:f>
        <x:v>5302.5</x:v>
      </x:c>
      <x:c r="Z5" s="16" t="n">
        <x:f>N5*V5</x:f>
        <x:v>0</x:v>
      </x:c>
      <x:c r="AA5" s="16" t="n">
        <x:f>O5*V5</x:f>
        <x:v>0</x:v>
      </x:c>
      <x:c r="AB5" s="16" t="n">
        <x:f>J5-X5</x:f>
        <x:v>0</x:v>
      </x:c>
      <x:c r="AC5" s="16" t="n">
        <x:f>IF(ISNUMBER(W5),D5*(W5-V5),"n.a.")</x:f>
        <x:v>239.40000000000043</x:v>
      </x:c>
      <x:c r="AD5" s="12" t="n">
        <x:f>F5-SUMIFS('PO detail'!$S$2:$S$672,'PO detail'!$A$2:$A$672,A5,'PO detail'!$B$2:$B$672,B5)</x:f>
        <x:v>0</x:v>
      </x:c>
    </x:row>
    <x:row r="6" ht="21" customHeight="1">
      <x:c r="A6" s="1" t="str">
        <x:v>10</x:v>
      </x:c>
      <x:c r="B6" s="1" t="str">
        <x:v>800BNAVASC</x:v>
      </x:c>
      <x:c r="C6" s="1" t="str">
        <x:v>ECOLOGICAL FIBERS, INC</x:v>
      </x:c>
      <x:c r="D6" s="8" t="n">
        <x:v>2000</x:v>
      </x:c>
      <x:c r="E6" s="8" t="n">
        <x:v>13958.33</x:v>
      </x:c>
      <x:c r="F6" s="8" t="n">
        <x:v>250000</x:v>
      </x:c>
      <x:c r="G6" s="9" t="n">
        <x:v>15.15</x:v>
      </x:c>
      <x:c r="H6" s="9" t="n">
        <x:v>15.08</x:v>
      </x:c>
      <x:c r="I6" s="1" t="n">
        <x:v>100</x:v>
      </x:c>
      <x:c r="J6" s="10" t="n">
        <x:v>303</x:v>
      </x:c>
      <x:c r="K6" s="9" t="n">
        <x:v>14.43</x:v>
      </x:c>
      <x:c r="L6" s="9" t="n">
        <x:v>15.08</x:v>
      </x:c>
      <x:c r="M6" s="11" t="n">
        <x:f>IF(P6=1,SUMIFS('PO detail'!$P$2:$P$672,'PO detail'!$A$2:$A$672,A6,'PO detail'!$B$2:$B$672,B6,'PO detail'!$K$2:$K$672,"&lt;="&amp;(K6*1.01)),0)</x:f>
        <x:v>2000</x:v>
      </x:c>
      <x:c r="N6" s="11" t="n">
        <x:f>IF(P6=1,D6-M6,0)</x:f>
        <x:v>0</x:v>
      </x:c>
      <x:c r="O6" s="11" t="n">
        <x:f>D6-M6-N6</x:f>
        <x:v>0</x:v>
      </x:c>
      <x:c r="P6" s="15" t="n">
        <x:f>IF(AND(K6&gt;0,ABS(D6-SUMIFS('PO detail'!$P$2:$P$672,'PO detail'!$A$2:$A$672,A6,'PO detail'!$B$2:$B$672,B6))&lt;0.01),1,0)</x:f>
        <x:v>1</x:v>
      </x:c>
      <x:c r="Q6" s="15" t="n">
        <x:f>IF(AND(L6&gt;0,H6&gt;0,ABS(H6-L6)&lt;0.01),1,0)</x:f>
        <x:v>1</x:v>
      </x:c>
      <x:c r="R6" s="15" t="str">
        <x:f>IF(P6=1,"Estimated FIFO layers covered",IF(K6="","No original PO-price baseline","Insufficient dated receipt quantity"))</x:f>
        <x:v>Estimated FIFO layers covered</x:v>
      </x:c>
      <x:c r="S6" s="15" t="n">
        <x:f>SUMIFS('PO detail'!$P$2:$P$672,'PO detail'!$A$2:$A$672,A6,'PO detail'!$B$2:$B$672,B6)</x:f>
        <x:v>2000</x:v>
      </x:c>
      <x:c r="T6" s="1" t="str">
        <x:v>2026-10-09 00:00:00</x:v>
      </x:c>
      <x:c r="U6" s="1" t="str">
        <x:v>Receipt GL and reported valuation; inferred, PrcCostPer not supplied</x:v>
      </x:c>
      <x:c r="V6" s="13" t="n">
        <x:f>G6/I6</x:f>
        <x:v>0.1515</x:v>
      </x:c>
      <x:c r="W6" s="13" t="n">
        <x:f>IF(Q6=1,H6*(1+Summary!$J$5)/I6,"n.a.")</x:f>
        <x:v>0.15834</x:v>
      </x:c>
      <x:c r="X6" s="16" t="n">
        <x:f>D6*V6</x:f>
        <x:v>303</x:v>
      </x:c>
      <x:c r="Y6" s="16" t="n">
        <x:f>M6*V6</x:f>
        <x:v>303</x:v>
      </x:c>
      <x:c r="Z6" s="16" t="n">
        <x:f>N6*V6</x:f>
        <x:v>0</x:v>
      </x:c>
      <x:c r="AA6" s="16" t="n">
        <x:f>O6*V6</x:f>
        <x:v>0</x:v>
      </x:c>
      <x:c r="AB6" s="16" t="n">
        <x:f>J6-X6</x:f>
        <x:v>0</x:v>
      </x:c>
      <x:c r="AC6" s="16" t="n">
        <x:f>IF(ISNUMBER(W6),D6*(W6-V6),"n.a.")</x:f>
        <x:v>13.680000000000025</x:v>
      </x:c>
      <x:c r="AD6" s="12" t="n">
        <x:f>F6-SUMIFS('PO detail'!$S$2:$S$672,'PO detail'!$A$2:$A$672,A6,'PO detail'!$B$2:$B$672,B6)</x:f>
        <x:v>0</x:v>
      </x:c>
    </x:row>
    <x:row r="7" ht="21" customHeight="1">
      <x:c r="A7" s="1" t="str">
        <x:v>10</x:v>
      </x:c>
      <x:c r="B7" s="1" t="str">
        <x:v>800BBLKISC</x:v>
      </x:c>
      <x:c r="C7" s="1" t="str">
        <x:v>ECOLOGICAL FIBERS, INC</x:v>
      </x:c>
      <x:c r="D7" s="8" t="n">
        <x:v>96300</x:v>
      </x:c>
      <x:c r="E7" s="8" t="n">
        <x:v>12475</x:v>
      </x:c>
      <x:c r="F7" s="8" t="n">
        <x:v>0</x:v>
      </x:c>
      <x:c r="G7" s="9" t="n">
        <x:v>16.12</x:v>
      </x:c>
      <x:c r="H7" s="9" t="n">
        <x:v>16.04</x:v>
      </x:c>
      <x:c r="I7" s="1" t="n">
        <x:v>100</x:v>
      </x:c>
      <x:c r="J7" s="10" t="n">
        <x:v>15523.56</x:v>
      </x:c>
      <x:c r="K7" s="9" t="n">
        <x:v>15.35</x:v>
      </x:c>
      <x:c r="L7" s="9" t="n">
        <x:v>16.04</x:v>
      </x:c>
      <x:c r="M7" s="11" t="n">
        <x:f>IF(P7=1,SUMIFS('PO detail'!$P$2:$P$672,'PO detail'!$A$2:$A$672,A7,'PO detail'!$B$2:$B$672,B7,'PO detail'!$K$2:$K$672,"&lt;="&amp;(K7*1.01)),0)</x:f>
        <x:v>96300</x:v>
      </x:c>
      <x:c r="N7" s="11" t="n">
        <x:f>IF(P7=1,D7-M7,0)</x:f>
        <x:v>0</x:v>
      </x:c>
      <x:c r="O7" s="11" t="n">
        <x:f>D7-M7-N7</x:f>
        <x:v>0</x:v>
      </x:c>
      <x:c r="P7" s="15" t="n">
        <x:f>IF(AND(K7&gt;0,ABS(D7-SUMIFS('PO detail'!$P$2:$P$672,'PO detail'!$A$2:$A$672,A7,'PO detail'!$B$2:$B$672,B7))&lt;0.01),1,0)</x:f>
        <x:v>1</x:v>
      </x:c>
      <x:c r="Q7" s="15" t="n">
        <x:f>IF(AND(L7&gt;0,H7&gt;0,ABS(H7-L7)&lt;0.01),1,0)</x:f>
        <x:v>1</x:v>
      </x:c>
      <x:c r="R7" s="15" t="str">
        <x:f>IF(P7=1,"Estimated FIFO layers covered",IF(K7="","No original PO-price baseline","Insufficient dated receipt quantity"))</x:f>
        <x:v>Estimated FIFO layers covered</x:v>
      </x:c>
      <x:c r="S7" s="15" t="n">
        <x:f>SUMIFS('PO detail'!$P$2:$P$672,'PO detail'!$A$2:$A$672,A7,'PO detail'!$B$2:$B$672,B7)</x:f>
        <x:v>96300</x:v>
      </x:c>
      <x:c r="T7" s="1" t="str">
        <x:v>2026-08-17 00:00:00</x:v>
      </x:c>
      <x:c r="U7" s="1" t="str">
        <x:v>Receipt GL and reported valuation; inferred, PrcCostPer not supplied</x:v>
      </x:c>
      <x:c r="V7" s="13" t="n">
        <x:f>G7/I7</x:f>
        <x:v>0.1612</x:v>
      </x:c>
      <x:c r="W7" s="13" t="n">
        <x:f>IF(Q7=1,H7*(1+Summary!$J$5)/I7,"n.a.")</x:f>
        <x:v>0.16842</x:v>
      </x:c>
      <x:c r="X7" s="16" t="n">
        <x:f>D7*V7</x:f>
        <x:v>15523.560000000001</x:v>
      </x:c>
      <x:c r="Y7" s="16" t="n">
        <x:f>M7*V7</x:f>
        <x:v>15523.560000000001</x:v>
      </x:c>
      <x:c r="Z7" s="16" t="n">
        <x:f>N7*V7</x:f>
        <x:v>0</x:v>
      </x:c>
      <x:c r="AA7" s="16" t="n">
        <x:f>O7*V7</x:f>
        <x:v>0</x:v>
      </x:c>
      <x:c r="AB7" s="16" t="n">
        <x:f>J7-X7</x:f>
        <x:v>-1.8189894035458565e-12</x:v>
      </x:c>
      <x:c r="AC7" s="16" t="n">
        <x:f>IF(ISNUMBER(W7),D7*(W7-V7),"n.a.")</x:f>
        <x:v>695.2859999999978</x:v>
      </x:c>
      <x:c r="AD7" s="12" t="n">
        <x:f>F7-SUMIFS('PO detail'!$S$2:$S$672,'PO detail'!$A$2:$A$672,A7,'PO detail'!$B$2:$B$672,B7)</x:f>
        <x:v>0</x:v>
      </x:c>
    </x:row>
    <x:row r="8" ht="21" customHeight="1">
      <x:c r="A8" s="1" t="str">
        <x:v>60</x:v>
      </x:c>
      <x:c r="B8" s="1" t="str">
        <x:v>800BBLKDSC</x:v>
      </x:c>
      <x:c r="C8" s="1" t="str">
        <x:v>ECOLOGICAL FIBERS, INC</x:v>
      </x:c>
      <x:c r="D8" s="8" t="n">
        <x:v>43300</x:v>
      </x:c>
      <x:c r="E8" s="8" t="n">
        <x:v>11275</x:v>
      </x:c>
      <x:c r="F8" s="8" t="n">
        <x:v>80000</x:v>
      </x:c>
      <x:c r="G8" s="9" t="n">
        <x:v>33.32</x:v>
      </x:c>
      <x:c r="H8" s="9" t="n">
        <x:v>33.16</x:v>
      </x:c>
      <x:c r="I8" s="1" t="n">
        <x:v>100</x:v>
      </x:c>
      <x:c r="J8" s="10" t="n">
        <x:v>14527.52</x:v>
      </x:c>
      <x:c r="K8" s="9" t="n">
        <x:v>31.73</x:v>
      </x:c>
      <x:c r="L8" s="9" t="n">
        <x:v>33.16</x:v>
      </x:c>
      <x:c r="M8" s="11" t="n">
        <x:f>IF(P8=1,SUMIFS('PO detail'!$P$2:$P$672,'PO detail'!$A$2:$A$672,A8,'PO detail'!$B$2:$B$672,B8,'PO detail'!$K$2:$K$672,"&lt;="&amp;(K8*1.01)),0)</x:f>
        <x:v>43300</x:v>
      </x:c>
      <x:c r="N8" s="11" t="n">
        <x:f>IF(P8=1,D8-M8,0)</x:f>
        <x:v>0</x:v>
      </x:c>
      <x:c r="O8" s="11" t="n">
        <x:f>D8-M8-N8</x:f>
        <x:v>0</x:v>
      </x:c>
      <x:c r="P8" s="15" t="n">
        <x:f>IF(AND(K8&gt;0,ABS(D8-SUMIFS('PO detail'!$P$2:$P$672,'PO detail'!$A$2:$A$672,A8,'PO detail'!$B$2:$B$672,B8))&lt;0.01),1,0)</x:f>
        <x:v>1</x:v>
      </x:c>
      <x:c r="Q8" s="15" t="n">
        <x:f>IF(AND(L8&gt;0,H8&gt;0,ABS(H8-L8)&lt;0.01),1,0)</x:f>
        <x:v>1</x:v>
      </x:c>
      <x:c r="R8" s="15" t="str">
        <x:f>IF(P8=1,"Estimated FIFO layers covered",IF(K8="","No original PO-price baseline","Insufficient dated receipt quantity"))</x:f>
        <x:v>Estimated FIFO layers covered</x:v>
      </x:c>
      <x:c r="S8" s="15" t="n">
        <x:f>SUMIFS('PO detail'!$P$2:$P$672,'PO detail'!$A$2:$A$672,A8,'PO detail'!$B$2:$B$672,B8)</x:f>
        <x:v>43300</x:v>
      </x:c>
      <x:c r="T8" s="1" t="str">
        <x:v>2026-06-09 00:00:00</x:v>
      </x:c>
      <x:c r="U8" s="1" t="str">
        <x:v>Receipt GL and reported valuation; inferred, PrcCostPer not supplied</x:v>
      </x:c>
      <x:c r="V8" s="13" t="n">
        <x:f>G8/I8</x:f>
        <x:v>0.3332</x:v>
      </x:c>
      <x:c r="W8" s="13" t="n">
        <x:f>IF(Q8=1,H8*(1+Summary!$J$5)/I8,"n.a.")</x:f>
        <x:v>0.34818</x:v>
      </x:c>
      <x:c r="X8" s="16" t="n">
        <x:f>D8*V8</x:f>
        <x:v>14427.56</x:v>
      </x:c>
      <x:c r="Y8" s="16" t="n">
        <x:f>M8*V8</x:f>
        <x:v>14427.56</x:v>
      </x:c>
      <x:c r="Z8" s="16" t="n">
        <x:f>N8*V8</x:f>
        <x:v>0</x:v>
      </x:c>
      <x:c r="AA8" s="16" t="n">
        <x:f>O8*V8</x:f>
        <x:v>0</x:v>
      </x:c>
      <x:c r="AB8" s="16" t="n">
        <x:f>J8-X8</x:f>
        <x:v>99.96000000000095</x:v>
      </x:c>
      <x:c r="AC8" s="16" t="n">
        <x:f>IF(ISNUMBER(W8),D8*(W8-V8),"n.a.")</x:f>
        <x:v>648.6339999999997</x:v>
      </x:c>
      <x:c r="AD8" s="12" t="n">
        <x:f>F8-SUMIFS('PO detail'!$S$2:$S$672,'PO detail'!$A$2:$A$672,A8,'PO detail'!$B$2:$B$672,B8)</x:f>
        <x:v>0</x:v>
      </x:c>
    </x:row>
    <x:row r="9" ht="21" customHeight="1">
      <x:c r="A9" s="1" t="str">
        <x:v>10</x:v>
      </x:c>
      <x:c r="B9" s="1" t="str">
        <x:v>800BBLKDSC</x:v>
      </x:c>
      <x:c r="C9" s="1" t="str">
        <x:v>ECOLOGICAL FIBERS, INC</x:v>
      </x:c>
      <x:c r="D9" s="8" t="n">
        <x:v>47900</x:v>
      </x:c>
      <x:c r="E9" s="8" t="n">
        <x:v>10225</x:v>
      </x:c>
      <x:c r="F9" s="8" t="n">
        <x:v>80000</x:v>
      </x:c>
      <x:c r="G9" s="9" t="n">
        <x:v>33.32</x:v>
      </x:c>
      <x:c r="H9" s="9" t="n">
        <x:v>33.16</x:v>
      </x:c>
      <x:c r="I9" s="1" t="n">
        <x:v>100</x:v>
      </x:c>
      <x:c r="J9" s="10" t="n">
        <x:v>16160.2</x:v>
      </x:c>
      <x:c r="K9" s="9" t="n">
        <x:v>31.73</x:v>
      </x:c>
      <x:c r="L9" s="9" t="n">
        <x:v>33.16</x:v>
      </x:c>
      <x:c r="M9" s="11" t="n">
        <x:f>IF(P9=1,SUMIFS('PO detail'!$P$2:$P$672,'PO detail'!$A$2:$A$672,A9,'PO detail'!$B$2:$B$672,B9,'PO detail'!$K$2:$K$672,"&lt;="&amp;(K9*1.01)),0)</x:f>
        <x:v>47900</x:v>
      </x:c>
      <x:c r="N9" s="11" t="n">
        <x:f>IF(P9=1,D9-M9,0)</x:f>
        <x:v>0</x:v>
      </x:c>
      <x:c r="O9" s="11" t="n">
        <x:f>D9-M9-N9</x:f>
        <x:v>0</x:v>
      </x:c>
      <x:c r="P9" s="15" t="n">
        <x:f>IF(AND(K9&gt;0,ABS(D9-SUMIFS('PO detail'!$P$2:$P$672,'PO detail'!$A$2:$A$672,A9,'PO detail'!$B$2:$B$672,B9))&lt;0.01),1,0)</x:f>
        <x:v>1</x:v>
      </x:c>
      <x:c r="Q9" s="15" t="n">
        <x:f>IF(AND(L9&gt;0,H9&gt;0,ABS(H9-L9)&lt;0.01),1,0)</x:f>
        <x:v>1</x:v>
      </x:c>
      <x:c r="R9" s="15" t="str">
        <x:f>IF(P9=1,"Estimated FIFO layers covered",IF(K9="","No original PO-price baseline","Insufficient dated receipt quantity"))</x:f>
        <x:v>Estimated FIFO layers covered</x:v>
      </x:c>
      <x:c r="S9" s="15" t="n">
        <x:f>SUMIFS('PO detail'!$P$2:$P$672,'PO detail'!$A$2:$A$672,A9,'PO detail'!$B$2:$B$672,B9)</x:f>
        <x:v>47900</x:v>
      </x:c>
      <x:c r="T9" s="1" t="str">
        <x:v>2026-06-10 00:00:00</x:v>
      </x:c>
      <x:c r="U9" s="1" t="str">
        <x:v>Receipt GL and reported valuation; inferred, PrcCostPer not supplied</x:v>
      </x:c>
      <x:c r="V9" s="13" t="n">
        <x:f>G9/I9</x:f>
        <x:v>0.3332</x:v>
      </x:c>
      <x:c r="W9" s="13" t="n">
        <x:f>IF(Q9=1,H9*(1+Summary!$J$5)/I9,"n.a.")</x:f>
        <x:v>0.34818</x:v>
      </x:c>
      <x:c r="X9" s="16" t="n">
        <x:f>D9*V9</x:f>
        <x:v>15960.28</x:v>
      </x:c>
      <x:c r="Y9" s="16" t="n">
        <x:f>M9*V9</x:f>
        <x:v>15960.28</x:v>
      </x:c>
      <x:c r="Z9" s="16" t="n">
        <x:f>N9*V9</x:f>
        <x:v>0</x:v>
      </x:c>
      <x:c r="AA9" s="16" t="n">
        <x:f>O9*V9</x:f>
        <x:v>0</x:v>
      </x:c>
      <x:c r="AB9" s="16" t="n">
        <x:f>J9-X9</x:f>
        <x:v>199.92000000000007</x:v>
      </x:c>
      <x:c r="AC9" s="16" t="n">
        <x:f>IF(ISNUMBER(W9),D9*(W9-V9),"n.a.")</x:f>
        <x:v>717.5419999999997</x:v>
      </x:c>
      <x:c r="AD9" s="12" t="n">
        <x:f>F9-SUMIFS('PO detail'!$S$2:$S$672,'PO detail'!$A$2:$A$672,A9,'PO detail'!$B$2:$B$672,B9)</x:f>
        <x:v>0</x:v>
      </x:c>
    </x:row>
    <x:row r="10" ht="21" customHeight="1">
      <x:c r="A10" s="1" t="str">
        <x:v>60</x:v>
      </x:c>
      <x:c r="B10" s="1" t="str">
        <x:v>800BBLKISC</x:v>
      </x:c>
      <x:c r="C10" s="1" t="str">
        <x:v>ECOLOGICAL FIBERS, INC</x:v>
      </x:c>
      <x:c r="D10" s="8" t="n">
        <x:v>105200</x:v>
      </x:c>
      <x:c r="E10" s="8" t="n">
        <x:v>9058.33</x:v>
      </x:c>
      <x:c r="F10" s="8" t="n">
        <x:v>0</x:v>
      </x:c>
      <x:c r="G10" s="9" t="n">
        <x:v>16.12</x:v>
      </x:c>
      <x:c r="H10" s="9" t="n">
        <x:v>16.04</x:v>
      </x:c>
      <x:c r="I10" s="1" t="n">
        <x:v>100</x:v>
      </x:c>
      <x:c r="J10" s="10" t="n">
        <x:v>16958.24</x:v>
      </x:c>
      <x:c r="K10" s="9" t="n">
        <x:v>15.35</x:v>
      </x:c>
      <x:c r="L10" s="9" t="n">
        <x:v>16.04</x:v>
      </x:c>
      <x:c r="M10" s="11" t="n">
        <x:f>IF(P10=1,SUMIFS('PO detail'!$P$2:$P$672,'PO detail'!$A$2:$A$672,A10,'PO detail'!$B$2:$B$672,B10,'PO detail'!$K$2:$K$672,"&lt;="&amp;(K10*1.01)),0)</x:f>
        <x:v>105200</x:v>
      </x:c>
      <x:c r="N10" s="11" t="n">
        <x:f>IF(P10=1,D10-M10,0)</x:f>
        <x:v>0</x:v>
      </x:c>
      <x:c r="O10" s="11" t="n">
        <x:f>D10-M10-N10</x:f>
        <x:v>0</x:v>
      </x:c>
      <x:c r="P10" s="15" t="n">
        <x:f>IF(AND(K10&gt;0,ABS(D10-SUMIFS('PO detail'!$P$2:$P$672,'PO detail'!$A$2:$A$672,A10,'PO detail'!$B$2:$B$672,B10))&lt;0.01),1,0)</x:f>
        <x:v>1</x:v>
      </x:c>
      <x:c r="Q10" s="15" t="n">
        <x:f>IF(AND(L10&gt;0,H10&gt;0,ABS(H10-L10)&lt;0.01),1,0)</x:f>
        <x:v>1</x:v>
      </x:c>
      <x:c r="R10" s="15" t="str">
        <x:f>IF(P10=1,"Estimated FIFO layers covered",IF(K10="","No original PO-price baseline","Insufficient dated receipt quantity"))</x:f>
        <x:v>Estimated FIFO layers covered</x:v>
      </x:c>
      <x:c r="S10" s="15" t="n">
        <x:f>SUMIFS('PO detail'!$P$2:$P$672,'PO detail'!$A$2:$A$672,A10,'PO detail'!$B$2:$B$672,B10)</x:f>
        <x:v>105200</x:v>
      </x:c>
      <x:c r="T10" s="1" t="str">
        <x:v>2026-08-13 00:00:00</x:v>
      </x:c>
      <x:c r="U10" s="1" t="str">
        <x:v>Receipt GL and reported valuation; inferred, PrcCostPer not supplied</x:v>
      </x:c>
      <x:c r="V10" s="13" t="n">
        <x:f>G10/I10</x:f>
        <x:v>0.1612</x:v>
      </x:c>
      <x:c r="W10" s="13" t="n">
        <x:f>IF(Q10=1,H10*(1+Summary!$J$5)/I10,"n.a.")</x:f>
        <x:v>0.16842</x:v>
      </x:c>
      <x:c r="X10" s="16" t="n">
        <x:f>D10*V10</x:f>
        <x:v>16958.24</x:v>
      </x:c>
      <x:c r="Y10" s="16" t="n">
        <x:f>M10*V10</x:f>
        <x:v>16958.24</x:v>
      </x:c>
      <x:c r="Z10" s="16" t="n">
        <x:f>N10*V10</x:f>
        <x:v>0</x:v>
      </x:c>
      <x:c r="AA10" s="16" t="n">
        <x:f>O10*V10</x:f>
        <x:v>0</x:v>
      </x:c>
      <x:c r="AB10" s="16" t="n">
        <x:f>J10-X10</x:f>
        <x:v>0</x:v>
      </x:c>
      <x:c r="AC10" s="16" t="n">
        <x:f>IF(ISNUMBER(W10),D10*(W10-V10),"n.a.")</x:f>
        <x:v>759.5439999999975</x:v>
      </x:c>
      <x:c r="AD10" s="12" t="n">
        <x:f>F10-SUMIFS('PO detail'!$S$2:$S$672,'PO detail'!$A$2:$A$672,A10,'PO detail'!$B$2:$B$672,B10)</x:f>
        <x:v>0</x:v>
      </x:c>
    </x:row>
    <x:row r="11" ht="21" customHeight="1">
      <x:c r="A11" s="1" t="str">
        <x:v>30</x:v>
      </x:c>
      <x:c r="B11" s="1" t="str">
        <x:v>800BNAVASC</x:v>
      </x:c>
      <x:c r="C11" s="1" t="str">
        <x:v>ECOLOGICAL FIBERS, INC</x:v>
      </x:c>
      <x:c r="D11" s="8" t="n">
        <x:v>800</x:v>
      </x:c>
      <x:c r="E11" s="8" t="n">
        <x:v>8816.67</x:v>
      </x:c>
      <x:c r="F11" s="8" t="n">
        <x:v>80000</x:v>
      </x:c>
      <x:c r="G11" s="9" t="n">
        <x:v>15.15</x:v>
      </x:c>
      <x:c r="H11" s="9" t="n">
        <x:v>15.08</x:v>
      </x:c>
      <x:c r="I11" s="1" t="n">
        <x:v>100</x:v>
      </x:c>
      <x:c r="J11" s="10" t="n">
        <x:v>121.2</x:v>
      </x:c>
      <x:c r="K11" s="9" t="n">
        <x:v>14.43</x:v>
      </x:c>
      <x:c r="L11" s="9" t="n">
        <x:v>15.08</x:v>
      </x:c>
      <x:c r="M11" s="11" t="n">
        <x:f>IF(P11=1,SUMIFS('PO detail'!$P$2:$P$672,'PO detail'!$A$2:$A$672,A11,'PO detail'!$B$2:$B$672,B11,'PO detail'!$K$2:$K$672,"&lt;="&amp;(K11*1.01)),0)</x:f>
        <x:v>800</x:v>
      </x:c>
      <x:c r="N11" s="11" t="n">
        <x:f>IF(P11=1,D11-M11,0)</x:f>
        <x:v>0</x:v>
      </x:c>
      <x:c r="O11" s="11" t="n">
        <x:f>D11-M11-N11</x:f>
        <x:v>0</x:v>
      </x:c>
      <x:c r="P11" s="15" t="n">
        <x:f>IF(AND(K11&gt;0,ABS(D11-SUMIFS('PO detail'!$P$2:$P$672,'PO detail'!$A$2:$A$672,A11,'PO detail'!$B$2:$B$672,B11))&lt;0.01),1,0)</x:f>
        <x:v>1</x:v>
      </x:c>
      <x:c r="Q11" s="15" t="n">
        <x:f>IF(AND(L11&gt;0,H11&gt;0,ABS(H11-L11)&lt;0.01),1,0)</x:f>
        <x:v>1</x:v>
      </x:c>
      <x:c r="R11" s="15" t="str">
        <x:f>IF(P11=1,"Estimated FIFO layers covered",IF(K11="","No original PO-price baseline","Insufficient dated receipt quantity"))</x:f>
        <x:v>Estimated FIFO layers covered</x:v>
      </x:c>
      <x:c r="S11" s="15" t="n">
        <x:f>SUMIFS('PO detail'!$P$2:$P$672,'PO detail'!$A$2:$A$672,A11,'PO detail'!$B$2:$B$672,B11)</x:f>
        <x:v>800</x:v>
      </x:c>
      <x:c r="T11" s="1" t="str">
        <x:v>2026-05-27 00:00:00</x:v>
      </x:c>
      <x:c r="U11" s="1" t="str">
        <x:v>Receipt GL and reported valuation; inferred, PrcCostPer not supplied</x:v>
      </x:c>
      <x:c r="V11" s="13" t="n">
        <x:f>G11/I11</x:f>
        <x:v>0.1515</x:v>
      </x:c>
      <x:c r="W11" s="13" t="n">
        <x:f>IF(Q11=1,H11*(1+Summary!$J$5)/I11,"n.a.")</x:f>
        <x:v>0.15834</x:v>
      </x:c>
      <x:c r="X11" s="16" t="n">
        <x:f>D11*V11</x:f>
        <x:v>121.2</x:v>
      </x:c>
      <x:c r="Y11" s="16" t="n">
        <x:f>M11*V11</x:f>
        <x:v>121.2</x:v>
      </x:c>
      <x:c r="Z11" s="16" t="n">
        <x:f>N11*V11</x:f>
        <x:v>0</x:v>
      </x:c>
      <x:c r="AA11" s="16" t="n">
        <x:f>O11*V11</x:f>
        <x:v>0</x:v>
      </x:c>
      <x:c r="AB11" s="16" t="n">
        <x:f>J11-X11</x:f>
        <x:v>0</x:v>
      </x:c>
      <x:c r="AC11" s="16" t="n">
        <x:f>IF(ISNUMBER(W11),D11*(W11-V11),"n.a.")</x:f>
        <x:v>5.47200000000001</x:v>
      </x:c>
      <x:c r="AD11" s="12" t="n">
        <x:f>F11-SUMIFS('PO detail'!$S$2:$S$672,'PO detail'!$A$2:$A$672,A11,'PO detail'!$B$2:$B$672,B11)</x:f>
        <x:v>0</x:v>
      </x:c>
    </x:row>
    <x:row r="12" ht="21" customHeight="1">
      <x:c r="A12" s="1" t="str">
        <x:v>30</x:v>
      </x:c>
      <x:c r="B12" s="1" t="str">
        <x:v>800BBLKDSC</x:v>
      </x:c>
      <x:c r="C12" s="1" t="str">
        <x:v>ECOLOGICAL FIBERS, INC</x:v>
      </x:c>
      <x:c r="D12" s="8" t="n">
        <x:v>3500</x:v>
      </x:c>
      <x:c r="E12" s="8" t="n">
        <x:v>6325</x:v>
      </x:c>
      <x:c r="F12" s="8" t="n">
        <x:v>80000</x:v>
      </x:c>
      <x:c r="G12" s="9" t="n">
        <x:v>33.32</x:v>
      </x:c>
      <x:c r="H12" s="9" t="n">
        <x:v>33.16</x:v>
      </x:c>
      <x:c r="I12" s="1" t="n">
        <x:v>100</x:v>
      </x:c>
      <x:c r="J12" s="10" t="n">
        <x:v>1199.52</x:v>
      </x:c>
      <x:c r="K12" s="9" t="n">
        <x:v>31.73</x:v>
      </x:c>
      <x:c r="L12" s="9" t="n">
        <x:v>33.16</x:v>
      </x:c>
      <x:c r="M12" s="11" t="n">
        <x:f>IF(P12=1,SUMIFS('PO detail'!$P$2:$P$672,'PO detail'!$A$2:$A$672,A12,'PO detail'!$B$2:$B$672,B12,'PO detail'!$K$2:$K$672,"&lt;="&amp;(K12*1.01)),0)</x:f>
        <x:v>3500</x:v>
      </x:c>
      <x:c r="N12" s="11" t="n">
        <x:f>IF(P12=1,D12-M12,0)</x:f>
        <x:v>0</x:v>
      </x:c>
      <x:c r="O12" s="11" t="n">
        <x:f>D12-M12-N12</x:f>
        <x:v>0</x:v>
      </x:c>
      <x:c r="P12" s="15" t="n">
        <x:f>IF(AND(K12&gt;0,ABS(D12-SUMIFS('PO detail'!$P$2:$P$672,'PO detail'!$A$2:$A$672,A12,'PO detail'!$B$2:$B$672,B12))&lt;0.01),1,0)</x:f>
        <x:v>1</x:v>
      </x:c>
      <x:c r="Q12" s="15" t="n">
        <x:f>IF(AND(L12&gt;0,H12&gt;0,ABS(H12-L12)&lt;0.01),1,0)</x:f>
        <x:v>1</x:v>
      </x:c>
      <x:c r="R12" s="15" t="str">
        <x:f>IF(P12=1,"Estimated FIFO layers covered",IF(K12="","No original PO-price baseline","Insufficient dated receipt quantity"))</x:f>
        <x:v>Estimated FIFO layers covered</x:v>
      </x:c>
      <x:c r="S12" s="15" t="n">
        <x:f>SUMIFS('PO detail'!$P$2:$P$672,'PO detail'!$A$2:$A$672,A12,'PO detail'!$B$2:$B$672,B12)</x:f>
        <x:v>3500</x:v>
      </x:c>
      <x:c r="T12" s="1" t="str">
        <x:v>2026-06-17 00:00:00</x:v>
      </x:c>
      <x:c r="U12" s="1" t="str">
        <x:v>Receipt GL and reported valuation; inferred, PrcCostPer not supplied</x:v>
      </x:c>
      <x:c r="V12" s="13" t="n">
        <x:f>G12/I12</x:f>
        <x:v>0.3332</x:v>
      </x:c>
      <x:c r="W12" s="13" t="n">
        <x:f>IF(Q12=1,H12*(1+Summary!$J$5)/I12,"n.a.")</x:f>
        <x:v>0.34818</x:v>
      </x:c>
      <x:c r="X12" s="16" t="n">
        <x:f>D12*V12</x:f>
        <x:v>1166.2</x:v>
      </x:c>
      <x:c r="Y12" s="16" t="n">
        <x:f>M12*V12</x:f>
        <x:v>1166.2</x:v>
      </x:c>
      <x:c r="Z12" s="16" t="n">
        <x:f>N12*V12</x:f>
        <x:v>0</x:v>
      </x:c>
      <x:c r="AA12" s="16" t="n">
        <x:f>O12*V12</x:f>
        <x:v>0</x:v>
      </x:c>
      <x:c r="AB12" s="16" t="n">
        <x:f>J12-X12</x:f>
        <x:v>33.319999999999936</x:v>
      </x:c>
      <x:c r="AC12" s="16" t="n">
        <x:f>IF(ISNUMBER(W12),D12*(W12-V12),"n.a.")</x:f>
        <x:v>52.42999999999998</x:v>
      </x:c>
      <x:c r="AD12" s="12" t="n">
        <x:f>F12-SUMIFS('PO detail'!$S$2:$S$672,'PO detail'!$A$2:$A$672,A12,'PO detail'!$B$2:$B$672,B12)</x:f>
        <x:v>0</x:v>
      </x:c>
    </x:row>
    <x:row r="13" ht="21" customHeight="1">
      <x:c r="A13" s="1" t="str">
        <x:v>60</x:v>
      </x:c>
      <x:c r="B13" s="1" t="str">
        <x:v>800BBLKCSC</x:v>
      </x:c>
      <x:c r="C13" s="1" t="str">
        <x:v>SOUTHWEST CONVERSION</x:v>
      </x:c>
      <x:c r="D13" s="8" t="n">
        <x:v>10500</x:v>
      </x:c>
      <x:c r="E13" s="8" t="n">
        <x:v>4225</x:v>
      </x:c>
      <x:c r="F13" s="8" t="n">
        <x:v>0</x:v>
      </x:c>
      <x:c r="G13" s="9" t="n">
        <x:v>19.57</x:v>
      </x:c>
      <x:c r="H13" s="9" t="n">
        <x:v>0</x:v>
      </x:c>
      <x:c r="I13" s="1" t="n">
        <x:v>100</x:v>
      </x:c>
      <x:c r="J13" s="10" t="n">
        <x:v>2054.85</x:v>
      </x:c>
      <x:c r="K13" s="9"/>
      <x:c r="L13" s="9"/>
      <x:c r="M13" s="11" t="n">
        <x:f>IF(P13=1,SUMIFS('PO detail'!$P$2:$P$672,'PO detail'!$A$2:$A$672,A13,'PO detail'!$B$2:$B$672,B13,'PO detail'!$K$2:$K$672,"&lt;="&amp;(K13*1.01)),0)</x:f>
        <x:v>0</x:v>
      </x:c>
      <x:c r="N13" s="11" t="n">
        <x:f>IF(P13=1,D13-M13,0)</x:f>
        <x:v>0</x:v>
      </x:c>
      <x:c r="O13" s="11" t="n">
        <x:f>D13-M13-N13</x:f>
        <x:v>10500</x:v>
      </x:c>
      <x:c r="P13" s="15" t="n">
        <x:f>IF(AND(K13&gt;0,ABS(D13-SUMIFS('PO detail'!$P$2:$P$672,'PO detail'!$A$2:$A$672,A13,'PO detail'!$B$2:$B$672,B13))&lt;0.01),1,0)</x:f>
        <x:v>0</x:v>
      </x:c>
      <x:c r="Q13" s="15" t="n">
        <x:f>IF(AND(L13&gt;0,H13&gt;0,ABS(H13-L13)&lt;0.01),1,0)</x:f>
        <x:v>0</x:v>
      </x:c>
      <x:c r="R13" s="15" t="str">
        <x:f>IF(P13=1,"Estimated FIFO layers covered",IF(K13="","No original PO-price baseline","Insufficient dated receipt quantity"))</x:f>
        <x:v>No original PO-price baseline</x:v>
      </x:c>
      <x:c r="S13" s="15" t="n">
        <x:f>SUMIFS('PO detail'!$P$2:$P$672,'PO detail'!$A$2:$A$672,A13,'PO detail'!$B$2:$B$672,B13)</x:f>
        <x:v>10500</x:v>
      </x:c>
      <x:c r="T13" s="1" t="str">
        <x:v>2021-02-04 00:00:00</x:v>
      </x:c>
      <x:c r="U13" s="1" t="str">
        <x:v>Receipt GL and reported valuation; inferred, PrcCostPer not supplied</x:v>
      </x:c>
      <x:c r="V13" s="13" t="n">
        <x:f>G13/I13</x:f>
        <x:v>0.1957</x:v>
      </x:c>
      <x:c r="W13" s="13" t="str">
        <x:f>IF(Q13=1,H13*(1+Summary!$J$5)/I13,"n.a.")</x:f>
        <x:v>n.a.</x:v>
      </x:c>
      <x:c r="X13" s="16" t="n">
        <x:f>D13*V13</x:f>
        <x:v>2054.85</x:v>
      </x:c>
      <x:c r="Y13" s="16" t="n">
        <x:f>M13*V13</x:f>
        <x:v>0</x:v>
      </x:c>
      <x:c r="Z13" s="16" t="n">
        <x:f>N13*V13</x:f>
        <x:v>0</x:v>
      </x:c>
      <x:c r="AA13" s="16" t="n">
        <x:f>O13*V13</x:f>
        <x:v>2054.85</x:v>
      </x:c>
      <x:c r="AB13" s="16" t="n">
        <x:f>J13-X13</x:f>
        <x:v>0</x:v>
      </x:c>
      <x:c r="AC13" s="16" t="str">
        <x:f>IF(ISNUMBER(W13),D13*(W13-V13),"n.a.")</x:f>
        <x:v>n.a.</x:v>
      </x:c>
      <x:c r="AD13" s="12" t="n">
        <x:f>F13-SUMIFS('PO detail'!$S$2:$S$672,'PO detail'!$A$2:$A$672,A13,'PO detail'!$B$2:$B$672,B13)</x:f>
        <x:v>0</x:v>
      </x:c>
    </x:row>
    <x:row r="14" ht="21" customHeight="1">
      <x:c r="A14" s="1" t="str">
        <x:v>10</x:v>
      </x:c>
      <x:c r="B14" s="1" t="str">
        <x:v>800BBLKCSC</x:v>
      </x:c>
      <x:c r="C14" s="1" t="str">
        <x:v>SOUTHWEST CONVERSION</x:v>
      </x:c>
      <x:c r="D14" s="8" t="n">
        <x:v>400</x:v>
      </x:c>
      <x:c r="E14" s="8" t="n">
        <x:v>3808.34</x:v>
      </x:c>
      <x:c r="F14" s="8" t="n">
        <x:v>0</x:v>
      </x:c>
      <x:c r="G14" s="9" t="n">
        <x:v>19.57</x:v>
      </x:c>
      <x:c r="H14" s="9" t="n">
        <x:v>0</x:v>
      </x:c>
      <x:c r="I14" s="1" t="n">
        <x:v>100</x:v>
      </x:c>
      <x:c r="J14" s="10" t="n">
        <x:v>78.28</x:v>
      </x:c>
      <x:c r="K14" s="9"/>
      <x:c r="L14" s="9"/>
      <x:c r="M14" s="11" t="n">
        <x:f>IF(P14=1,SUMIFS('PO detail'!$P$2:$P$672,'PO detail'!$A$2:$A$672,A14,'PO detail'!$B$2:$B$672,B14,'PO detail'!$K$2:$K$672,"&lt;="&amp;(K14*1.01)),0)</x:f>
        <x:v>0</x:v>
      </x:c>
      <x:c r="N14" s="11" t="n">
        <x:f>IF(P14=1,D14-M14,0)</x:f>
        <x:v>0</x:v>
      </x:c>
      <x:c r="O14" s="11" t="n">
        <x:f>D14-M14-N14</x:f>
        <x:v>400</x:v>
      </x:c>
      <x:c r="P14" s="15" t="n">
        <x:f>IF(AND(K14&gt;0,ABS(D14-SUMIFS('PO detail'!$P$2:$P$672,'PO detail'!$A$2:$A$672,A14,'PO detail'!$B$2:$B$672,B14))&lt;0.01),1,0)</x:f>
        <x:v>0</x:v>
      </x:c>
      <x:c r="Q14" s="15" t="n">
        <x:f>IF(AND(L14&gt;0,H14&gt;0,ABS(H14-L14)&lt;0.01),1,0)</x:f>
        <x:v>0</x:v>
      </x:c>
      <x:c r="R14" s="15" t="str">
        <x:f>IF(P14=1,"Estimated FIFO layers covered",IF(K14="","No original PO-price baseline","Insufficient dated receipt quantity"))</x:f>
        <x:v>No original PO-price baseline</x:v>
      </x:c>
      <x:c r="S14" s="15" t="n">
        <x:f>SUMIFS('PO detail'!$P$2:$P$672,'PO detail'!$A$2:$A$672,A14,'PO detail'!$B$2:$B$672,B14)</x:f>
        <x:v>400</x:v>
      </x:c>
      <x:c r="T14" s="1" t="str">
        <x:v>2021-06-03 00:00:00</x:v>
      </x:c>
      <x:c r="U14" s="1" t="str">
        <x:v>Receipt GL and reported valuation; inferred, PrcCostPer not supplied</x:v>
      </x:c>
      <x:c r="V14" s="13" t="n">
        <x:f>G14/I14</x:f>
        <x:v>0.1957</x:v>
      </x:c>
      <x:c r="W14" s="13" t="str">
        <x:f>IF(Q14=1,H14*(1+Summary!$J$5)/I14,"n.a.")</x:f>
        <x:v>n.a.</x:v>
      </x:c>
      <x:c r="X14" s="16" t="n">
        <x:f>D14*V14</x:f>
        <x:v>78.28</x:v>
      </x:c>
      <x:c r="Y14" s="16" t="n">
        <x:f>M14*V14</x:f>
        <x:v>0</x:v>
      </x:c>
      <x:c r="Z14" s="16" t="n">
        <x:f>N14*V14</x:f>
        <x:v>0</x:v>
      </x:c>
      <x:c r="AA14" s="16" t="n">
        <x:f>O14*V14</x:f>
        <x:v>78.28</x:v>
      </x:c>
      <x:c r="AB14" s="16" t="n">
        <x:f>J14-X14</x:f>
        <x:v>0</x:v>
      </x:c>
      <x:c r="AC14" s="16" t="str">
        <x:f>IF(ISNUMBER(W14),D14*(W14-V14),"n.a.")</x:f>
        <x:v>n.a.</x:v>
      </x:c>
      <x:c r="AD14" s="12" t="n">
        <x:f>F14-SUMIFS('PO detail'!$S$2:$S$672,'PO detail'!$A$2:$A$672,A14,'PO detail'!$B$2:$B$672,B14)</x:f>
        <x:v>0</x:v>
      </x:c>
    </x:row>
    <x:row r="15" ht="21" customHeight="1">
      <x:c r="A15" s="1" t="str">
        <x:v>10</x:v>
      </x:c>
      <x:c r="B15" s="1" t="str">
        <x:v>800BNAVBRC</x:v>
      </x:c>
      <x:c r="C15" s="1" t="str">
        <x:v>SOUTHWEST CONVERSION</x:v>
      </x:c>
      <x:c r="D15" s="8" t="n">
        <x:v>100</x:v>
      </x:c>
      <x:c r="E15" s="8" t="n">
        <x:v>3600</x:v>
      </x:c>
      <x:c r="F15" s="8" t="n">
        <x:v>0</x:v>
      </x:c>
      <x:c r="G15" s="9" t="n">
        <x:v>17.37</x:v>
      </x:c>
      <x:c r="H15" s="9" t="n">
        <x:v>0</x:v>
      </x:c>
      <x:c r="I15" s="1" t="n">
        <x:v>100</x:v>
      </x:c>
      <x:c r="J15" s="10" t="n">
        <x:v>17.37</x:v>
      </x:c>
      <x:c r="K15" s="9"/>
      <x:c r="L15" s="9"/>
      <x:c r="M15" s="11" t="n">
        <x:f>IF(P15=1,SUMIFS('PO detail'!$P$2:$P$672,'PO detail'!$A$2:$A$672,A15,'PO detail'!$B$2:$B$672,B15,'PO detail'!$K$2:$K$672,"&lt;="&amp;(K15*1.01)),0)</x:f>
        <x:v>0</x:v>
      </x:c>
      <x:c r="N15" s="11" t="n">
        <x:f>IF(P15=1,D15-M15,0)</x:f>
        <x:v>0</x:v>
      </x:c>
      <x:c r="O15" s="11" t="n">
        <x:f>D15-M15-N15</x:f>
        <x:v>100</x:v>
      </x:c>
      <x:c r="P15" s="15" t="n">
        <x:f>IF(AND(K15&gt;0,ABS(D15-SUMIFS('PO detail'!$P$2:$P$672,'PO detail'!$A$2:$A$672,A15,'PO detail'!$B$2:$B$672,B15))&lt;0.01),1,0)</x:f>
        <x:v>0</x:v>
      </x:c>
      <x:c r="Q15" s="15" t="n">
        <x:f>IF(AND(L15&gt;0,H15&gt;0,ABS(H15-L15)&lt;0.01),1,0)</x:f>
        <x:v>0</x:v>
      </x:c>
      <x:c r="R15" s="15" t="str">
        <x:f>IF(P15=1,"Estimated FIFO layers covered",IF(K15="","No original PO-price baseline","Insufficient dated receipt quantity"))</x:f>
        <x:v>No original PO-price baseline</x:v>
      </x:c>
      <x:c r="S15" s="15" t="n">
        <x:f>SUMIFS('PO detail'!$P$2:$P$672,'PO detail'!$A$2:$A$672,A15,'PO detail'!$B$2:$B$672,B15)</x:f>
        <x:v>100</x:v>
      </x:c>
      <x:c r="T15" s="1" t="str">
        <x:v>2026-04-14 00:00:00</x:v>
      </x:c>
      <x:c r="U15" s="1" t="str">
        <x:v>Receipt GL and reported valuation; inferred, PrcCostPer not supplied</x:v>
      </x:c>
      <x:c r="V15" s="13" t="n">
        <x:f>G15/I15</x:f>
        <x:v>0.17370000000000002</x:v>
      </x:c>
      <x:c r="W15" s="13" t="str">
        <x:f>IF(Q15=1,H15*(1+Summary!$J$5)/I15,"n.a.")</x:f>
        <x:v>n.a.</x:v>
      </x:c>
      <x:c r="X15" s="16" t="n">
        <x:f>D15*V15</x:f>
        <x:v>17.37</x:v>
      </x:c>
      <x:c r="Y15" s="16" t="n">
        <x:f>M15*V15</x:f>
        <x:v>0</x:v>
      </x:c>
      <x:c r="Z15" s="16" t="n">
        <x:f>N15*V15</x:f>
        <x:v>0</x:v>
      </x:c>
      <x:c r="AA15" s="16" t="n">
        <x:f>O15*V15</x:f>
        <x:v>17.37</x:v>
      </x:c>
      <x:c r="AB15" s="16" t="n">
        <x:f>J15-X15</x:f>
        <x:v>0</x:v>
      </x:c>
      <x:c r="AC15" s="16" t="str">
        <x:f>IF(ISNUMBER(W15),D15*(W15-V15),"n.a.")</x:f>
        <x:v>n.a.</x:v>
      </x:c>
      <x:c r="AD15" s="12" t="n">
        <x:f>F15-SUMIFS('PO detail'!$S$2:$S$672,'PO detail'!$A$2:$A$672,A15,'PO detail'!$B$2:$B$672,B15)</x:f>
        <x:v>0</x:v>
      </x:c>
    </x:row>
    <x:row r="16" ht="21" customHeight="1">
      <x:c r="A16" s="1" t="str">
        <x:v>10</x:v>
      </x:c>
      <x:c r="B16" s="1" t="str">
        <x:v>800BMARASC</x:v>
      </x:c>
      <x:c r="C16" s="1" t="str">
        <x:v>ECOLOGICAL FIBERS, INC</x:v>
      </x:c>
      <x:c r="D16" s="8" t="n">
        <x:v>32200</x:v>
      </x:c>
      <x:c r="E16" s="8" t="n">
        <x:v>3550</x:v>
      </x:c>
      <x:c r="F16" s="8" t="n">
        <x:v>20000</x:v>
      </x:c>
      <x:c r="G16" s="9" t="n">
        <x:v>15.98</x:v>
      </x:c>
      <x:c r="H16" s="9" t="n">
        <x:v>15.9</x:v>
      </x:c>
      <x:c r="I16" s="1" t="n">
        <x:v>100</x:v>
      </x:c>
      <x:c r="J16" s="10" t="n">
        <x:v>5145.56</x:v>
      </x:c>
      <x:c r="K16" s="9" t="n">
        <x:v>15.22</x:v>
      </x:c>
      <x:c r="L16" s="9" t="n">
        <x:v>15.9</x:v>
      </x:c>
      <x:c r="M16" s="11" t="n">
        <x:f>IF(P16=1,SUMIFS('PO detail'!$P$2:$P$672,'PO detail'!$A$2:$A$672,A16,'PO detail'!$B$2:$B$672,B16,'PO detail'!$K$2:$K$672,"&lt;="&amp;(K16*1.01)),0)</x:f>
        <x:v>32200</x:v>
      </x:c>
      <x:c r="N16" s="11" t="n">
        <x:f>IF(P16=1,D16-M16,0)</x:f>
        <x:v>0</x:v>
      </x:c>
      <x:c r="O16" s="11" t="n">
        <x:f>D16-M16-N16</x:f>
        <x:v>0</x:v>
      </x:c>
      <x:c r="P16" s="15" t="n">
        <x:f>IF(AND(K16&gt;0,ABS(D16-SUMIFS('PO detail'!$P$2:$P$672,'PO detail'!$A$2:$A$672,A16,'PO detail'!$B$2:$B$672,B16))&lt;0.01),1,0)</x:f>
        <x:v>1</x:v>
      </x:c>
      <x:c r="Q16" s="15" t="n">
        <x:f>IF(AND(L16&gt;0,H16&gt;0,ABS(H16-L16)&lt;0.01),1,0)</x:f>
        <x:v>1</x:v>
      </x:c>
      <x:c r="R16" s="15" t="str">
        <x:f>IF(P16=1,"Estimated FIFO layers covered",IF(K16="","No original PO-price baseline","Insufficient dated receipt quantity"))</x:f>
        <x:v>Estimated FIFO layers covered</x:v>
      </x:c>
      <x:c r="S16" s="15" t="n">
        <x:f>SUMIFS('PO detail'!$P$2:$P$672,'PO detail'!$A$2:$A$672,A16,'PO detail'!$B$2:$B$672,B16)</x:f>
        <x:v>32200</x:v>
      </x:c>
      <x:c r="T16" s="1" t="str">
        <x:v>2026-03-26 00:00:00</x:v>
      </x:c>
      <x:c r="U16" s="1" t="str">
        <x:v>Receipt GL and reported valuation; inferred, PrcCostPer not supplied</x:v>
      </x:c>
      <x:c r="V16" s="13" t="n">
        <x:f>G16/I16</x:f>
        <x:v>0.1598</x:v>
      </x:c>
      <x:c r="W16" s="13" t="n">
        <x:f>IF(Q16=1,H16*(1+Summary!$J$5)/I16,"n.a.")</x:f>
        <x:v>0.16695000000000002</x:v>
      </x:c>
      <x:c r="X16" s="16" t="n">
        <x:f>D16*V16</x:f>
        <x:v>5145.5599999999995</x:v>
      </x:c>
      <x:c r="Y16" s="16" t="n">
        <x:f>M16*V16</x:f>
        <x:v>5145.5599999999995</x:v>
      </x:c>
      <x:c r="Z16" s="16" t="n">
        <x:f>N16*V16</x:f>
        <x:v>0</x:v>
      </x:c>
      <x:c r="AA16" s="16" t="n">
        <x:f>O16*V16</x:f>
        <x:v>0</x:v>
      </x:c>
      <x:c r="AB16" s="16" t="n">
        <x:f>J16-X16</x:f>
        <x:v>9.094947017729282e-13</x:v>
      </x:c>
      <x:c r="AC16" s="16" t="n">
        <x:f>IF(ISNUMBER(W16),D16*(W16-V16),"n.a.")</x:f>
        <x:v>230.23000000000056</x:v>
      </x:c>
      <x:c r="AD16" s="12" t="n">
        <x:f>F16-SUMIFS('PO detail'!$S$2:$S$672,'PO detail'!$A$2:$A$672,A16,'PO detail'!$B$2:$B$672,B16)</x:f>
        <x:v>0</x:v>
      </x:c>
    </x:row>
    <x:row r="17" ht="21" customHeight="1">
      <x:c r="A17" s="1" t="str">
        <x:v>60</x:v>
      </x:c>
      <x:c r="B17" s="1" t="str">
        <x:v>800BNAVISC</x:v>
      </x:c>
      <x:c r="C17" s="1" t="str">
        <x:v>SOUTHWEST CONVERSION</x:v>
      </x:c>
      <x:c r="D17" s="8" t="n">
        <x:v>6300</x:v>
      </x:c>
      <x:c r="E17" s="8" t="n">
        <x:v>3116.67</x:v>
      </x:c>
      <x:c r="F17" s="8" t="n">
        <x:v>0</x:v>
      </x:c>
      <x:c r="G17" s="9" t="n">
        <x:v>16.87</x:v>
      </x:c>
      <x:c r="H17" s="9" t="n">
        <x:v>0</x:v>
      </x:c>
      <x:c r="I17" s="1" t="n">
        <x:v>100</x:v>
      </x:c>
      <x:c r="J17" s="10" t="n">
        <x:v>1062.81</x:v>
      </x:c>
      <x:c r="K17" s="9"/>
      <x:c r="L17" s="9"/>
      <x:c r="M17" s="11" t="n">
        <x:f>IF(P17=1,SUMIFS('PO detail'!$P$2:$P$672,'PO detail'!$A$2:$A$672,A17,'PO detail'!$B$2:$B$672,B17,'PO detail'!$K$2:$K$672,"&lt;="&amp;(K17*1.01)),0)</x:f>
        <x:v>0</x:v>
      </x:c>
      <x:c r="N17" s="11" t="n">
        <x:f>IF(P17=1,D17-M17,0)</x:f>
        <x:v>0</x:v>
      </x:c>
      <x:c r="O17" s="11" t="n">
        <x:f>D17-M17-N17</x:f>
        <x:v>6300</x:v>
      </x:c>
      <x:c r="P17" s="15" t="n">
        <x:f>IF(AND(K17&gt;0,ABS(D17-SUMIFS('PO detail'!$P$2:$P$672,'PO detail'!$A$2:$A$672,A17,'PO detail'!$B$2:$B$672,B17))&lt;0.01),1,0)</x:f>
        <x:v>0</x:v>
      </x:c>
      <x:c r="Q17" s="15" t="n">
        <x:f>IF(AND(L17&gt;0,H17&gt;0,ABS(H17-L17)&lt;0.01),1,0)</x:f>
        <x:v>0</x:v>
      </x:c>
      <x:c r="R17" s="15" t="str">
        <x:f>IF(P17=1,"Estimated FIFO layers covered",IF(K17="","No original PO-price baseline","Insufficient dated receipt quantity"))</x:f>
        <x:v>No original PO-price baseline</x:v>
      </x:c>
      <x:c r="S17" s="15" t="n">
        <x:f>SUMIFS('PO detail'!$P$2:$P$672,'PO detail'!$A$2:$A$672,A17,'PO detail'!$B$2:$B$672,B17)</x:f>
        <x:v>6300</x:v>
      </x:c>
      <x:c r="T17" s="1" t="str">
        <x:v>2019-10-01 00:00:00</x:v>
      </x:c>
      <x:c r="U17" s="1" t="str">
        <x:v>Receipt GL and reported valuation; inferred, PrcCostPer not supplied</x:v>
      </x:c>
      <x:c r="V17" s="13" t="n">
        <x:f>G17/I17</x:f>
        <x:v>0.16870000000000002</x:v>
      </x:c>
      <x:c r="W17" s="13" t="str">
        <x:f>IF(Q17=1,H17*(1+Summary!$J$5)/I17,"n.a.")</x:f>
        <x:v>n.a.</x:v>
      </x:c>
      <x:c r="X17" s="16" t="n">
        <x:f>D17*V17</x:f>
        <x:v>1062.8100000000002</x:v>
      </x:c>
      <x:c r="Y17" s="16" t="n">
        <x:f>M17*V17</x:f>
        <x:v>0</x:v>
      </x:c>
      <x:c r="Z17" s="16" t="n">
        <x:f>N17*V17</x:f>
        <x:v>0</x:v>
      </x:c>
      <x:c r="AA17" s="16" t="n">
        <x:f>O17*V17</x:f>
        <x:v>1062.8100000000002</x:v>
      </x:c>
      <x:c r="AB17" s="16" t="n">
        <x:f>J17-X17</x:f>
        <x:v>-2.2737367544323206e-13</x:v>
      </x:c>
      <x:c r="AC17" s="16" t="str">
        <x:f>IF(ISNUMBER(W17),D17*(W17-V17),"n.a.")</x:f>
        <x:v>n.a.</x:v>
      </x:c>
      <x:c r="AD17" s="12" t="n">
        <x:f>F17-SUMIFS('PO detail'!$S$2:$S$672,'PO detail'!$A$2:$A$672,A17,'PO detail'!$B$2:$B$672,B17)</x:f>
        <x:v>0</x:v>
      </x:c>
    </x:row>
    <x:row r="18" ht="21" customHeight="1">
      <x:c r="A18" s="1" t="str">
        <x:v>10</x:v>
      </x:c>
      <x:c r="B18" s="1" t="str">
        <x:v>800BNAVISC</x:v>
      </x:c>
      <x:c r="C18" s="1" t="str">
        <x:v>SOUTHWEST CONVERSION</x:v>
      </x:c>
      <x:c r="D18" s="8" t="n">
        <x:v>300</x:v>
      </x:c>
      <x:c r="E18" s="8" t="n">
        <x:v>3066.67</x:v>
      </x:c>
      <x:c r="F18" s="8" t="n">
        <x:v>0</x:v>
      </x:c>
      <x:c r="G18" s="9" t="n">
        <x:v>16.87</x:v>
      </x:c>
      <x:c r="H18" s="9" t="n">
        <x:v>0</x:v>
      </x:c>
      <x:c r="I18" s="1" t="n">
        <x:v>100</x:v>
      </x:c>
      <x:c r="J18" s="10" t="n">
        <x:v>50.61</x:v>
      </x:c>
      <x:c r="K18" s="9"/>
      <x:c r="L18" s="9"/>
      <x:c r="M18" s="11" t="n">
        <x:f>IF(P18=1,SUMIFS('PO detail'!$P$2:$P$672,'PO detail'!$A$2:$A$672,A18,'PO detail'!$B$2:$B$672,B18,'PO detail'!$K$2:$K$672,"&lt;="&amp;(K18*1.01)),0)</x:f>
        <x:v>0</x:v>
      </x:c>
      <x:c r="N18" s="11" t="n">
        <x:f>IF(P18=1,D18-M18,0)</x:f>
        <x:v>0</x:v>
      </x:c>
      <x:c r="O18" s="11" t="n">
        <x:f>D18-M18-N18</x:f>
        <x:v>300</x:v>
      </x:c>
      <x:c r="P18" s="15" t="n">
        <x:f>IF(AND(K18&gt;0,ABS(D18-SUMIFS('PO detail'!$P$2:$P$672,'PO detail'!$A$2:$A$672,A18,'PO detail'!$B$2:$B$672,B18))&lt;0.01),1,0)</x:f>
        <x:v>0</x:v>
      </x:c>
      <x:c r="Q18" s="15" t="n">
        <x:f>IF(AND(L18&gt;0,H18&gt;0,ABS(H18-L18)&lt;0.01),1,0)</x:f>
        <x:v>0</x:v>
      </x:c>
      <x:c r="R18" s="15" t="str">
        <x:f>IF(P18=1,"Estimated FIFO layers covered",IF(K18="","No original PO-price baseline","Insufficient dated receipt quantity"))</x:f>
        <x:v>No original PO-price baseline</x:v>
      </x:c>
      <x:c r="S18" s="15" t="n">
        <x:f>SUMIFS('PO detail'!$P$2:$P$672,'PO detail'!$A$2:$A$672,A18,'PO detail'!$B$2:$B$672,B18)</x:f>
        <x:v>300</x:v>
      </x:c>
      <x:c r="T18" s="1" t="str">
        <x:v>2020-04-15 00:00:00</x:v>
      </x:c>
      <x:c r="U18" s="1" t="str">
        <x:v>Receipt GL and reported valuation; inferred, PrcCostPer not supplied</x:v>
      </x:c>
      <x:c r="V18" s="13" t="n">
        <x:f>G18/I18</x:f>
        <x:v>0.16870000000000002</x:v>
      </x:c>
      <x:c r="W18" s="13" t="str">
        <x:f>IF(Q18=1,H18*(1+Summary!$J$5)/I18,"n.a.")</x:f>
        <x:v>n.a.</x:v>
      </x:c>
      <x:c r="X18" s="16" t="n">
        <x:f>D18*V18</x:f>
        <x:v>50.61000000000001</x:v>
      </x:c>
      <x:c r="Y18" s="16" t="n">
        <x:f>M18*V18</x:f>
        <x:v>0</x:v>
      </x:c>
      <x:c r="Z18" s="16" t="n">
        <x:f>N18*V18</x:f>
        <x:v>0</x:v>
      </x:c>
      <x:c r="AA18" s="16" t="n">
        <x:f>O18*V18</x:f>
        <x:v>50.61000000000001</x:v>
      </x:c>
      <x:c r="AB18" s="16" t="n">
        <x:f>J18-X18</x:f>
        <x:v>-7.105427357601002e-15</x:v>
      </x:c>
      <x:c r="AC18" s="16" t="str">
        <x:f>IF(ISNUMBER(W18),D18*(W18-V18),"n.a.")</x:f>
        <x:v>n.a.</x:v>
      </x:c>
      <x:c r="AD18" s="12" t="n">
        <x:f>F18-SUMIFS('PO detail'!$S$2:$S$672,'PO detail'!$A$2:$A$672,A18,'PO detail'!$B$2:$B$672,B18)</x:f>
        <x:v>0</x:v>
      </x:c>
    </x:row>
    <x:row r="19" ht="21" customHeight="1">
      <x:c r="A19" s="1" t="str">
        <x:v>60</x:v>
      </x:c>
      <x:c r="B19" s="1" t="str">
        <x:v>800BMARASC</x:v>
      </x:c>
      <x:c r="C19" s="1" t="str">
        <x:v>ECOLOGICAL FIBERS, INC</x:v>
      </x:c>
      <x:c r="D19" s="8" t="n">
        <x:v>5700</x:v>
      </x:c>
      <x:c r="E19" s="8" t="n">
        <x:v>2858.33</x:v>
      </x:c>
      <x:c r="F19" s="8" t="n">
        <x:v>60000</x:v>
      </x:c>
      <x:c r="G19" s="9" t="n">
        <x:v>15.98</x:v>
      </x:c>
      <x:c r="H19" s="9" t="n">
        <x:v>15.9</x:v>
      </x:c>
      <x:c r="I19" s="1" t="n">
        <x:v>100</x:v>
      </x:c>
      <x:c r="J19" s="10" t="n">
        <x:v>910.86</x:v>
      </x:c>
      <x:c r="K19" s="9" t="n">
        <x:v>15.22</x:v>
      </x:c>
      <x:c r="L19" s="9" t="n">
        <x:v>15.9</x:v>
      </x:c>
      <x:c r="M19" s="11" t="n">
        <x:f>IF(P19=1,SUMIFS('PO detail'!$P$2:$P$672,'PO detail'!$A$2:$A$672,A19,'PO detail'!$B$2:$B$672,B19,'PO detail'!$K$2:$K$672,"&lt;="&amp;(K19*1.01)),0)</x:f>
        <x:v>5700</x:v>
      </x:c>
      <x:c r="N19" s="11" t="n">
        <x:f>IF(P19=1,D19-M19,0)</x:f>
        <x:v>0</x:v>
      </x:c>
      <x:c r="O19" s="11" t="n">
        <x:f>D19-M19-N19</x:f>
        <x:v>0</x:v>
      </x:c>
      <x:c r="P19" s="15" t="n">
        <x:f>IF(AND(K19&gt;0,ABS(D19-SUMIFS('PO detail'!$P$2:$P$672,'PO detail'!$A$2:$A$672,A19,'PO detail'!$B$2:$B$672,B19))&lt;0.01),1,0)</x:f>
        <x:v>1</x:v>
      </x:c>
      <x:c r="Q19" s="15" t="n">
        <x:f>IF(AND(L19&gt;0,H19&gt;0,ABS(H19-L19)&lt;0.01),1,0)</x:f>
        <x:v>1</x:v>
      </x:c>
      <x:c r="R19" s="15" t="str">
        <x:f>IF(P19=1,"Estimated FIFO layers covered",IF(K19="","No original PO-price baseline","Insufficient dated receipt quantity"))</x:f>
        <x:v>Estimated FIFO layers covered</x:v>
      </x:c>
      <x:c r="S19" s="15" t="n">
        <x:f>SUMIFS('PO detail'!$P$2:$P$672,'PO detail'!$A$2:$A$672,A19,'PO detail'!$B$2:$B$672,B19)</x:f>
        <x:v>5700</x:v>
      </x:c>
      <x:c r="T19" s="1" t="str">
        <x:v>2026-03-25 00:00:00</x:v>
      </x:c>
      <x:c r="U19" s="1" t="str">
        <x:v>Receipt GL and reported valuation; inferred, PrcCostPer not supplied</x:v>
      </x:c>
      <x:c r="V19" s="13" t="n">
        <x:f>G19/I19</x:f>
        <x:v>0.1598</x:v>
      </x:c>
      <x:c r="W19" s="13" t="n">
        <x:f>IF(Q19=1,H19*(1+Summary!$J$5)/I19,"n.a.")</x:f>
        <x:v>0.16695000000000002</x:v>
      </x:c>
      <x:c r="X19" s="16" t="n">
        <x:f>D19*V19</x:f>
        <x:v>910.86</x:v>
      </x:c>
      <x:c r="Y19" s="16" t="n">
        <x:f>M19*V19</x:f>
        <x:v>910.86</x:v>
      </x:c>
      <x:c r="Z19" s="16" t="n">
        <x:f>N19*V19</x:f>
        <x:v>0</x:v>
      </x:c>
      <x:c r="AA19" s="16" t="n">
        <x:f>O19*V19</x:f>
        <x:v>0</x:v>
      </x:c>
      <x:c r="AB19" s="16" t="n">
        <x:f>J19-X19</x:f>
        <x:v>0</x:v>
      </x:c>
      <x:c r="AC19" s="16" t="n">
        <x:f>IF(ISNUMBER(W19),D19*(W19-V19),"n.a.")</x:f>
        <x:v>40.7550000000001</x:v>
      </x:c>
      <x:c r="AD19" s="12" t="n">
        <x:f>F19-SUMIFS('PO detail'!$S$2:$S$672,'PO detail'!$A$2:$A$672,A19,'PO detail'!$B$2:$B$672,B19)</x:f>
        <x:v>0</x:v>
      </x:c>
    </x:row>
    <x:row r="20" ht="21" customHeight="1">
      <x:c r="A20" s="1" t="str">
        <x:v>30</x:v>
      </x:c>
      <x:c r="B20" s="1" t="str">
        <x:v>800BBLKISC</x:v>
      </x:c>
      <x:c r="C20" s="1" t="str">
        <x:v>ECOLOGICAL FIBERS, INC</x:v>
      </x:c>
      <x:c r="D20" s="8" t="n">
        <x:v>41400</x:v>
      </x:c>
      <x:c r="E20" s="8" t="n">
        <x:v>2625</x:v>
      </x:c>
      <x:c r="F20" s="8" t="n">
        <x:v>0</x:v>
      </x:c>
      <x:c r="G20" s="9" t="n">
        <x:v>16.12</x:v>
      </x:c>
      <x:c r="H20" s="9" t="n">
        <x:v>16.04</x:v>
      </x:c>
      <x:c r="I20" s="1" t="n">
        <x:v>100</x:v>
      </x:c>
      <x:c r="J20" s="10" t="n">
        <x:v>6673.68</x:v>
      </x:c>
      <x:c r="K20" s="9" t="n">
        <x:v>15.35</x:v>
      </x:c>
      <x:c r="L20" s="9" t="n">
        <x:v>16.04</x:v>
      </x:c>
      <x:c r="M20" s="11" t="n">
        <x:f>IF(P20=1,SUMIFS('PO detail'!$P$2:$P$672,'PO detail'!$A$2:$A$672,A20,'PO detail'!$B$2:$B$672,B20,'PO detail'!$K$2:$K$672,"&lt;="&amp;(K20*1.01)),0)</x:f>
        <x:v>41400</x:v>
      </x:c>
      <x:c r="N20" s="11" t="n">
        <x:f>IF(P20=1,D20-M20,0)</x:f>
        <x:v>0</x:v>
      </x:c>
      <x:c r="O20" s="11" t="n">
        <x:f>D20-M20-N20</x:f>
        <x:v>0</x:v>
      </x:c>
      <x:c r="P20" s="15" t="n">
        <x:f>IF(AND(K20&gt;0,ABS(D20-SUMIFS('PO detail'!$P$2:$P$672,'PO detail'!$A$2:$A$672,A20,'PO detail'!$B$2:$B$672,B20))&lt;0.01),1,0)</x:f>
        <x:v>1</x:v>
      </x:c>
      <x:c r="Q20" s="15" t="n">
        <x:f>IF(AND(L20&gt;0,H20&gt;0,ABS(H20-L20)&lt;0.01),1,0)</x:f>
        <x:v>1</x:v>
      </x:c>
      <x:c r="R20" s="15" t="str">
        <x:f>IF(P20=1,"Estimated FIFO layers covered",IF(K20="","No original PO-price baseline","Insufficient dated receipt quantity"))</x:f>
        <x:v>Estimated FIFO layers covered</x:v>
      </x:c>
      <x:c r="S20" s="15" t="n">
        <x:f>SUMIFS('PO detail'!$P$2:$P$672,'PO detail'!$A$2:$A$672,A20,'PO detail'!$B$2:$B$672,B20)</x:f>
        <x:v>41400</x:v>
      </x:c>
      <x:c r="T20" s="1" t="str">
        <x:v>2026-08-18 00:00:00</x:v>
      </x:c>
      <x:c r="U20" s="1" t="str">
        <x:v>Receipt GL and reported valuation; inferred, PrcCostPer not supplied</x:v>
      </x:c>
      <x:c r="V20" s="13" t="n">
        <x:f>G20/I20</x:f>
        <x:v>0.1612</x:v>
      </x:c>
      <x:c r="W20" s="13" t="n">
        <x:f>IF(Q20=1,H20*(1+Summary!$J$5)/I20,"n.a.")</x:f>
        <x:v>0.16842</x:v>
      </x:c>
      <x:c r="X20" s="16" t="n">
        <x:f>D20*V20</x:f>
        <x:v>6673.68</x:v>
      </x:c>
      <x:c r="Y20" s="16" t="n">
        <x:f>M20*V20</x:f>
        <x:v>6673.68</x:v>
      </x:c>
      <x:c r="Z20" s="16" t="n">
        <x:f>N20*V20</x:f>
        <x:v>0</x:v>
      </x:c>
      <x:c r="AA20" s="16" t="n">
        <x:f>O20*V20</x:f>
        <x:v>0</x:v>
      </x:c>
      <x:c r="AB20" s="16" t="n">
        <x:f>J20-X20</x:f>
        <x:v>0</x:v>
      </x:c>
      <x:c r="AC20" s="16" t="n">
        <x:f>IF(ISNUMBER(W20),D20*(W20-V20),"n.a.")</x:f>
        <x:v>298.90799999999905</x:v>
      </x:c>
      <x:c r="AD20" s="12" t="n">
        <x:f>F20-SUMIFS('PO detail'!$S$2:$S$672,'PO detail'!$A$2:$A$672,A20,'PO detail'!$B$2:$B$672,B20)</x:f>
        <x:v>0</x:v>
      </x:c>
    </x:row>
    <x:row r="21" ht="21" customHeight="1">
      <x:c r="A21" s="1" t="str">
        <x:v>10</x:v>
      </x:c>
      <x:c r="B21" s="1" t="str">
        <x:v>800BBLKBRC</x:v>
      </x:c>
      <x:c r="C21" s="1" t="str">
        <x:v>SOUTHWEST CONVERSION</x:v>
      </x:c>
      <x:c r="D21" s="8" t="n">
        <x:v>0</x:v>
      </x:c>
      <x:c r="E21" s="8" t="n">
        <x:v>2441.67</x:v>
      </x:c>
      <x:c r="F21" s="8" t="n">
        <x:v>10000</x:v>
      </x:c>
      <x:c r="G21" s="9" t="n">
        <x:v>16.83</x:v>
      </x:c>
      <x:c r="H21" s="9" t="n">
        <x:v>0</x:v>
      </x:c>
      <x:c r="I21" s="1" t="n">
        <x:v>100</x:v>
      </x:c>
      <x:c r="J21" s="10" t="n">
        <x:v>0</x:v>
      </x:c>
      <x:c r="K21" s="9"/>
      <x:c r="L21" s="9"/>
      <x:c r="M21" s="11" t="n">
        <x:f>IF(P21=1,SUMIFS('PO detail'!$P$2:$P$672,'PO detail'!$A$2:$A$672,A21,'PO detail'!$B$2:$B$672,B21,'PO detail'!$K$2:$K$672,"&lt;="&amp;(K21*1.01)),0)</x:f>
        <x:v>0</x:v>
      </x:c>
      <x:c r="N21" s="11" t="n">
        <x:f>IF(P21=1,D21-M21,0)</x:f>
        <x:v>0</x:v>
      </x:c>
      <x:c r="O21" s="11" t="n">
        <x:f>D21-M21-N21</x:f>
        <x:v>0</x:v>
      </x:c>
      <x:c r="P21" s="15" t="n">
        <x:f>IF(AND(K21&gt;0,ABS(D21-SUMIFS('PO detail'!$P$2:$P$672,'PO detail'!$A$2:$A$672,A21,'PO detail'!$B$2:$B$672,B21))&lt;0.01),1,0)</x:f>
        <x:v>0</x:v>
      </x:c>
      <x:c r="Q21" s="15" t="n">
        <x:f>IF(AND(L21&gt;0,H21&gt;0,ABS(H21-L21)&lt;0.01),1,0)</x:f>
        <x:v>0</x:v>
      </x:c>
      <x:c r="R21" s="15" t="str">
        <x:f>IF(P21=1,"Estimated FIFO layers covered",IF(K21="","No original PO-price baseline","Insufficient dated receipt quantity"))</x:f>
        <x:v>No original PO-price baseline</x:v>
      </x:c>
      <x:c r="S21" s="15" t="n">
        <x:f>SUMIFS('PO detail'!$P$2:$P$672,'PO detail'!$A$2:$A$672,A21,'PO detail'!$B$2:$B$672,B21)</x:f>
        <x:v>0</x:v>
      </x:c>
      <x:c r="T21" s="1" t="str">
        <x:v>2020-04-15 00:00:00</x:v>
      </x:c>
      <x:c r="U21" s="1" t="str">
        <x:v>Receipt GL and reported valuation; inferred, PrcCostPer not supplied</x:v>
      </x:c>
      <x:c r="V21" s="13" t="n">
        <x:f>G21/I21</x:f>
        <x:v>0.16829999999999998</x:v>
      </x:c>
      <x:c r="W21" s="13" t="str">
        <x:f>IF(Q21=1,H21*(1+Summary!$J$5)/I21,"n.a.")</x:f>
        <x:v>n.a.</x:v>
      </x:c>
      <x:c r="X21" s="16" t="n">
        <x:f>D21*V21</x:f>
        <x:v>0</x:v>
      </x:c>
      <x:c r="Y21" s="16" t="n">
        <x:f>M21*V21</x:f>
        <x:v>0</x:v>
      </x:c>
      <x:c r="Z21" s="16" t="n">
        <x:f>N21*V21</x:f>
        <x:v>0</x:v>
      </x:c>
      <x:c r="AA21" s="16" t="n">
        <x:f>O21*V21</x:f>
        <x:v>0</x:v>
      </x:c>
      <x:c r="AB21" s="16" t="n">
        <x:f>J21-X21</x:f>
        <x:v>0</x:v>
      </x:c>
      <x:c r="AC21" s="16" t="str">
        <x:f>IF(ISNUMBER(W21),D21*(W21-V21),"n.a.")</x:f>
        <x:v>n.a.</x:v>
      </x:c>
      <x:c r="AD21" s="12" t="n">
        <x:f>F21-SUMIFS('PO detail'!$S$2:$S$672,'PO detail'!$A$2:$A$672,A21,'PO detail'!$B$2:$B$672,B21)</x:f>
        <x:v>10000</x:v>
      </x:c>
    </x:row>
    <x:row r="22" ht="21" customHeight="1">
      <x:c r="A22" s="1" t="str">
        <x:v>60</x:v>
      </x:c>
      <x:c r="B22" s="1" t="str">
        <x:v>800NAVE</x:v>
      </x:c>
      <x:c r="C22" s="1" t="str">
        <x:v>ECOLOGICAL FIBERS, INC</x:v>
      </x:c>
      <x:c r="D22" s="8" t="n">
        <x:v>5401</x:v>
      </x:c>
      <x:c r="E22" s="8" t="n">
        <x:v>2383.5</x:v>
      </x:c>
      <x:c r="F22" s="8" t="n">
        <x:v>10000</x:v>
      </x:c>
      <x:c r="G22" s="9" t="n">
        <x:v>1043.28</x:v>
      </x:c>
      <x:c r="H22" s="9" t="n">
        <x:v>1038.3</x:v>
      </x:c>
      <x:c r="I22" s="1" t="n">
        <x:v>1000</x:v>
      </x:c>
      <x:c r="J22" s="10" t="n">
        <x:v>5634.75528</x:v>
      </x:c>
      <x:c r="K22" s="9" t="n">
        <x:v>993.6</x:v>
      </x:c>
      <x:c r="L22" s="9" t="n">
        <x:v>1038.3</x:v>
      </x:c>
      <x:c r="M22" s="11" t="n">
        <x:f>IF(P22=1,SUMIFS('PO detail'!$P$2:$P$672,'PO detail'!$A$2:$A$672,A22,'PO detail'!$B$2:$B$672,B22,'PO detail'!$K$2:$K$672,"&lt;="&amp;(K22*1.01)),0)</x:f>
        <x:v>5401</x:v>
      </x:c>
      <x:c r="N22" s="11" t="n">
        <x:f>IF(P22=1,D22-M22,0)</x:f>
        <x:v>0</x:v>
      </x:c>
      <x:c r="O22" s="11" t="n">
        <x:f>D22-M22-N22</x:f>
        <x:v>0</x:v>
      </x:c>
      <x:c r="P22" s="15" t="n">
        <x:f>IF(AND(K22&gt;0,ABS(D22-SUMIFS('PO detail'!$P$2:$P$672,'PO detail'!$A$2:$A$672,A22,'PO detail'!$B$2:$B$672,B22))&lt;0.01),1,0)</x:f>
        <x:v>1</x:v>
      </x:c>
      <x:c r="Q22" s="15" t="n">
        <x:f>IF(AND(L22&gt;0,H22&gt;0,ABS(H22-L22)&lt;0.01),1,0)</x:f>
        <x:v>1</x:v>
      </x:c>
      <x:c r="R22" s="15" t="str">
        <x:f>IF(P22=1,"Estimated FIFO layers covered",IF(K22="","No original PO-price baseline","Insufficient dated receipt quantity"))</x:f>
        <x:v>Estimated FIFO layers covered</x:v>
      </x:c>
      <x:c r="S22" s="15" t="n">
        <x:f>SUMIFS('PO detail'!$P$2:$P$672,'PO detail'!$A$2:$A$672,A22,'PO detail'!$B$2:$B$672,B22)</x:f>
        <x:v>5401</x:v>
      </x:c>
      <x:c r="T22" s="1" t="str">
        <x:v>2026-09-08 00:00:00</x:v>
      </x:c>
      <x:c r="U22" s="1" t="str">
        <x:v>Receipt GL and reported valuation; inferred, PrcCostPer not supplied</x:v>
      </x:c>
      <x:c r="V22" s="13" t="n">
        <x:f>G22/I22</x:f>
        <x:v>1.04328</x:v>
      </x:c>
      <x:c r="W22" s="13" t="n">
        <x:f>IF(Q22=1,H22*(1+Summary!$J$5)/I22,"n.a.")</x:f>
        <x:v>1.090215</x:v>
      </x:c>
      <x:c r="X22" s="16" t="n">
        <x:f>D22*V22</x:f>
        <x:v>5634.75528</x:v>
      </x:c>
      <x:c r="Y22" s="16" t="n">
        <x:f>M22*V22</x:f>
        <x:v>5634.75528</x:v>
      </x:c>
      <x:c r="Z22" s="16" t="n">
        <x:f>N22*V22</x:f>
        <x:v>0</x:v>
      </x:c>
      <x:c r="AA22" s="16" t="n">
        <x:f>O22*V22</x:f>
        <x:v>0</x:v>
      </x:c>
      <x:c r="AB22" s="16" t="n">
        <x:f>J22-X22</x:f>
        <x:v>0</x:v>
      </x:c>
      <x:c r="AC22" s="16" t="n">
        <x:f>IF(ISNUMBER(W22),D22*(W22-V22),"n.a.")</x:f>
        <x:v>253.49593499999972</x:v>
      </x:c>
      <x:c r="AD22" s="12" t="n">
        <x:f>F22-SUMIFS('PO detail'!$S$2:$S$672,'PO detail'!$A$2:$A$672,A22,'PO detail'!$B$2:$B$672,B22)</x:f>
        <x:v>0</x:v>
      </x:c>
    </x:row>
    <x:row r="23" ht="21" customHeight="1">
      <x:c r="A23" s="1" t="str">
        <x:v>10</x:v>
      </x:c>
      <x:c r="B23" s="1" t="str">
        <x:v>800NAVE</x:v>
      </x:c>
      <x:c r="C23" s="1" t="str">
        <x:v>ECOLOGICAL FIBERS, INC</x:v>
      </x:c>
      <x:c r="D23" s="8" t="n">
        <x:v>17761</x:v>
      </x:c>
      <x:c r="E23" s="8" t="n">
        <x:v>1920.67</x:v>
      </x:c>
      <x:c r="F23" s="8" t="n">
        <x:v>10150</x:v>
      </x:c>
      <x:c r="G23" s="9" t="n">
        <x:v>1043.28</x:v>
      </x:c>
      <x:c r="H23" s="9" t="n">
        <x:v>1038.3</x:v>
      </x:c>
      <x:c r="I23" s="1" t="n">
        <x:v>1000</x:v>
      </x:c>
      <x:c r="J23" s="10" t="n">
        <x:v>18529.696079999998</x:v>
      </x:c>
      <x:c r="K23" s="9" t="n">
        <x:v>993.6</x:v>
      </x:c>
      <x:c r="L23" s="9" t="n">
        <x:v>1038.3</x:v>
      </x:c>
      <x:c r="M23" s="11" t="n">
        <x:f>IF(P23=1,SUMIFS('PO detail'!$P$2:$P$672,'PO detail'!$A$2:$A$672,A23,'PO detail'!$B$2:$B$672,B23,'PO detail'!$K$2:$K$672,"&lt;="&amp;(K23*1.01)),0)</x:f>
        <x:v>17761</x:v>
      </x:c>
      <x:c r="N23" s="11" t="n">
        <x:f>IF(P23=1,D23-M23,0)</x:f>
        <x:v>0</x:v>
      </x:c>
      <x:c r="O23" s="11" t="n">
        <x:f>D23-M23-N23</x:f>
        <x:v>0</x:v>
      </x:c>
      <x:c r="P23" s="15" t="n">
        <x:f>IF(AND(K23&gt;0,ABS(D23-SUMIFS('PO detail'!$P$2:$P$672,'PO detail'!$A$2:$A$672,A23,'PO detail'!$B$2:$B$672,B23))&lt;0.01),1,0)</x:f>
        <x:v>1</x:v>
      </x:c>
      <x:c r="Q23" s="15" t="n">
        <x:f>IF(AND(L23&gt;0,H23&gt;0,ABS(H23-L23)&lt;0.01),1,0)</x:f>
        <x:v>1</x:v>
      </x:c>
      <x:c r="R23" s="15" t="str">
        <x:f>IF(P23=1,"Estimated FIFO layers covered",IF(K23="","No original PO-price baseline","Insufficient dated receipt quantity"))</x:f>
        <x:v>Estimated FIFO layers covered</x:v>
      </x:c>
      <x:c r="S23" s="15" t="n">
        <x:f>SUMIFS('PO detail'!$P$2:$P$672,'PO detail'!$A$2:$A$672,A23,'PO detail'!$B$2:$B$672,B23)</x:f>
        <x:v>17761</x:v>
      </x:c>
      <x:c r="T23" s="1" t="str">
        <x:v>2026-09-24 00:00:00</x:v>
      </x:c>
      <x:c r="U23" s="1" t="str">
        <x:v>Receipt GL and reported valuation; inferred, PrcCostPer not supplied</x:v>
      </x:c>
      <x:c r="V23" s="13" t="n">
        <x:f>G23/I23</x:f>
        <x:v>1.04328</x:v>
      </x:c>
      <x:c r="W23" s="13" t="n">
        <x:f>IF(Q23=1,H23*(1+Summary!$J$5)/I23,"n.a.")</x:f>
        <x:v>1.090215</x:v>
      </x:c>
      <x:c r="X23" s="16" t="n">
        <x:f>D23*V23</x:f>
        <x:v>18529.69608</x:v>
      </x:c>
      <x:c r="Y23" s="16" t="n">
        <x:f>M23*V23</x:f>
        <x:v>18529.69608</x:v>
      </x:c>
      <x:c r="Z23" s="16" t="n">
        <x:f>N23*V23</x:f>
        <x:v>0</x:v>
      </x:c>
      <x:c r="AA23" s="16" t="n">
        <x:f>O23*V23</x:f>
        <x:v>0</x:v>
      </x:c>
      <x:c r="AB23" s="16" t="n">
        <x:f>J23-X23</x:f>
        <x:v>-3.637978807091713e-12</x:v>
      </x:c>
      <x:c r="AC23" s="16" t="n">
        <x:f>IF(ISNUMBER(W23),D23*(W23-V23),"n.a.")</x:f>
        <x:v>833.6125349999991</x:v>
      </x:c>
      <x:c r="AD23" s="12" t="n">
        <x:f>F23-SUMIFS('PO detail'!$S$2:$S$672,'PO detail'!$A$2:$A$672,A23,'PO detail'!$B$2:$B$672,B23)</x:f>
        <x:v>0</x:v>
      </x:c>
    </x:row>
    <x:row r="24" ht="21" customHeight="1">
      <x:c r="A24" s="1" t="str">
        <x:v>60</x:v>
      </x:c>
      <x:c r="B24" s="1" t="str">
        <x:v>800BBLKBRC</x:v>
      </x:c>
      <x:c r="C24" s="1" t="str">
        <x:v>SOUTHWEST CONVERSION</x:v>
      </x:c>
      <x:c r="D24" s="8" t="n">
        <x:v>6300</x:v>
      </x:c>
      <x:c r="E24" s="8" t="n">
        <x:v>1800</x:v>
      </x:c>
      <x:c r="F24" s="8" t="n">
        <x:v>0</x:v>
      </x:c>
      <x:c r="G24" s="9" t="n">
        <x:v>16.83</x:v>
      </x:c>
      <x:c r="H24" s="9" t="n">
        <x:v>0</x:v>
      </x:c>
      <x:c r="I24" s="1" t="n">
        <x:v>100</x:v>
      </x:c>
      <x:c r="J24" s="10" t="n">
        <x:v>1144.4399999999998</x:v>
      </x:c>
      <x:c r="K24" s="9"/>
      <x:c r="L24" s="9"/>
      <x:c r="M24" s="11" t="n">
        <x:f>IF(P24=1,SUMIFS('PO detail'!$P$2:$P$672,'PO detail'!$A$2:$A$672,A24,'PO detail'!$B$2:$B$672,B24,'PO detail'!$K$2:$K$672,"&lt;="&amp;(K24*1.01)),0)</x:f>
        <x:v>0</x:v>
      </x:c>
      <x:c r="N24" s="11" t="n">
        <x:f>IF(P24=1,D24-M24,0)</x:f>
        <x:v>0</x:v>
      </x:c>
      <x:c r="O24" s="11" t="n">
        <x:f>D24-M24-N24</x:f>
        <x:v>6300</x:v>
      </x:c>
      <x:c r="P24" s="15" t="n">
        <x:f>IF(AND(K24&gt;0,ABS(D24-SUMIFS('PO detail'!$P$2:$P$672,'PO detail'!$A$2:$A$672,A24,'PO detail'!$B$2:$B$672,B24))&lt;0.01),1,0)</x:f>
        <x:v>0</x:v>
      </x:c>
      <x:c r="Q24" s="15" t="n">
        <x:f>IF(AND(L24&gt;0,H24&gt;0,ABS(H24-L24)&lt;0.01),1,0)</x:f>
        <x:v>0</x:v>
      </x:c>
      <x:c r="R24" s="15" t="str">
        <x:f>IF(P24=1,"Estimated FIFO layers covered",IF(K24="","No original PO-price baseline","Insufficient dated receipt quantity"))</x:f>
        <x:v>No original PO-price baseline</x:v>
      </x:c>
      <x:c r="S24" s="15" t="n">
        <x:f>SUMIFS('PO detail'!$P$2:$P$672,'PO detail'!$A$2:$A$672,A24,'PO detail'!$B$2:$B$672,B24)</x:f>
        <x:v>0</x:v>
      </x:c>
      <x:c r="T24" s="1" t="str">
        <x:v>2017-10-09 00:00:00</x:v>
      </x:c>
      <x:c r="U24" s="1" t="str">
        <x:v>Receipt GL and reported valuation; inferred, PrcCostPer not supplied</x:v>
      </x:c>
      <x:c r="V24" s="13" t="n">
        <x:f>G24/I24</x:f>
        <x:v>0.16829999999999998</x:v>
      </x:c>
      <x:c r="W24" s="13" t="str">
        <x:f>IF(Q24=1,H24*(1+Summary!$J$5)/I24,"n.a.")</x:f>
        <x:v>n.a.</x:v>
      </x:c>
      <x:c r="X24" s="16" t="n">
        <x:f>D24*V24</x:f>
        <x:v>1060.29</x:v>
      </x:c>
      <x:c r="Y24" s="16" t="n">
        <x:f>M24*V24</x:f>
        <x:v>0</x:v>
      </x:c>
      <x:c r="Z24" s="16" t="n">
        <x:f>N24*V24</x:f>
        <x:v>0</x:v>
      </x:c>
      <x:c r="AA24" s="16" t="n">
        <x:f>O24*V24</x:f>
        <x:v>1060.29</x:v>
      </x:c>
      <x:c r="AB24" s="16" t="n">
        <x:f>J24-X24</x:f>
        <x:v>84.14999999999986</x:v>
      </x:c>
      <x:c r="AC24" s="16" t="str">
        <x:f>IF(ISNUMBER(W24),D24*(W24-V24),"n.a.")</x:f>
        <x:v>n.a.</x:v>
      </x:c>
      <x:c r="AD24" s="12" t="n">
        <x:f>F24-SUMIFS('PO detail'!$S$2:$S$672,'PO detail'!$A$2:$A$672,A24,'PO detail'!$B$2:$B$672,B24)</x:f>
        <x:v>0</x:v>
      </x:c>
    </x:row>
    <x:row r="25" ht="21" customHeight="1">
      <x:c r="A25" s="1" t="str">
        <x:v>10</x:v>
      </x:c>
      <x:c r="B25" s="1" t="str">
        <x:v>800BLKE</x:v>
      </x:c>
      <x:c r="C25" s="1" t="str">
        <x:v>ECOLOGICAL FIBERS, INC</x:v>
      </x:c>
      <x:c r="D25" s="8" t="n">
        <x:v>19068</x:v>
      </x:c>
      <x:c r="E25" s="8" t="n">
        <x:v>1735.33</x:v>
      </x:c>
      <x:c r="F25" s="8" t="n">
        <x:v>0</x:v>
      </x:c>
      <x:c r="G25" s="9" t="n">
        <x:v>904.16</x:v>
      </x:c>
      <x:c r="H25" s="9" t="n">
        <x:v>899.8</x:v>
      </x:c>
      <x:c r="I25" s="1" t="n">
        <x:v>1000</x:v>
      </x:c>
      <x:c r="J25" s="10" t="n">
        <x:v>17240.52288</x:v>
      </x:c>
      <x:c r="K25" s="9" t="n">
        <x:v>861.1</x:v>
      </x:c>
      <x:c r="L25" s="9" t="n">
        <x:v>899.8</x:v>
      </x:c>
      <x:c r="M25" s="11" t="n">
        <x:f>IF(P25=1,SUMIFS('PO detail'!$P$2:$P$672,'PO detail'!$A$2:$A$672,A25,'PO detail'!$B$2:$B$672,B25,'PO detail'!$K$2:$K$672,"&lt;="&amp;(K25*1.01)),0)</x:f>
        <x:v>19068</x:v>
      </x:c>
      <x:c r="N25" s="11" t="n">
        <x:f>IF(P25=1,D25-M25,0)</x:f>
        <x:v>0</x:v>
      </x:c>
      <x:c r="O25" s="11" t="n">
        <x:f>D25-M25-N25</x:f>
        <x:v>0</x:v>
      </x:c>
      <x:c r="P25" s="15" t="n">
        <x:f>IF(AND(K25&gt;0,ABS(D25-SUMIFS('PO detail'!$P$2:$P$672,'PO detail'!$A$2:$A$672,A25,'PO detail'!$B$2:$B$672,B25))&lt;0.01),1,0)</x:f>
        <x:v>1</x:v>
      </x:c>
      <x:c r="Q25" s="15" t="n">
        <x:f>IF(AND(L25&gt;0,H25&gt;0,ABS(H25-L25)&lt;0.01),1,0)</x:f>
        <x:v>1</x:v>
      </x:c>
      <x:c r="R25" s="15" t="str">
        <x:f>IF(P25=1,"Estimated FIFO layers covered",IF(K25="","No original PO-price baseline","Insufficient dated receipt quantity"))</x:f>
        <x:v>Estimated FIFO layers covered</x:v>
      </x:c>
      <x:c r="S25" s="15" t="n">
        <x:f>SUMIFS('PO detail'!$P$2:$P$672,'PO detail'!$A$2:$A$672,A25,'PO detail'!$B$2:$B$672,B25)</x:f>
        <x:v>19068</x:v>
      </x:c>
      <x:c r="T25" s="1" t="str">
        <x:v>2026-06-22 00:00:00</x:v>
      </x:c>
      <x:c r="U25" s="1" t="str">
        <x:v>Receipt GL and reported valuation; inferred, PrcCostPer not supplied</x:v>
      </x:c>
      <x:c r="V25" s="13" t="n">
        <x:f>G25/I25</x:f>
        <x:v>0.90416</x:v>
      </x:c>
      <x:c r="W25" s="13" t="n">
        <x:f>IF(Q25=1,H25*(1+Summary!$J$5)/I25,"n.a.")</x:f>
        <x:v>0.94479</x:v>
      </x:c>
      <x:c r="X25" s="16" t="n">
        <x:f>D25*V25</x:f>
        <x:v>17240.52288</x:v>
      </x:c>
      <x:c r="Y25" s="16" t="n">
        <x:f>M25*V25</x:f>
        <x:v>17240.52288</x:v>
      </x:c>
      <x:c r="Z25" s="16" t="n">
        <x:f>N25*V25</x:f>
        <x:v>0</x:v>
      </x:c>
      <x:c r="AA25" s="16" t="n">
        <x:f>O25*V25</x:f>
        <x:v>0</x:v>
      </x:c>
      <x:c r="AB25" s="16" t="n">
        <x:f>J25-X25</x:f>
        <x:v>0</x:v>
      </x:c>
      <x:c r="AC25" s="16" t="n">
        <x:f>IF(ISNUMBER(W25),D25*(W25-V25),"n.a.")</x:f>
        <x:v>774.732840000001</x:v>
      </x:c>
      <x:c r="AD25" s="12" t="n">
        <x:f>F25-SUMIFS('PO detail'!$S$2:$S$672,'PO detail'!$A$2:$A$672,A25,'PO detail'!$B$2:$B$672,B25)</x:f>
        <x:v>0</x:v>
      </x:c>
    </x:row>
    <x:row r="26" ht="21" customHeight="1">
      <x:c r="A26" s="1" t="str">
        <x:v>60</x:v>
      </x:c>
      <x:c r="B26" s="1" t="str">
        <x:v>800BLKE</x:v>
      </x:c>
      <x:c r="C26" s="1" t="str">
        <x:v>ECOLOGICAL FIBERS, INC</x:v>
      </x:c>
      <x:c r="D26" s="8" t="n">
        <x:v>15888</x:v>
      </x:c>
      <x:c r="E26" s="8" t="n">
        <x:v>1707.5</x:v>
      </x:c>
      <x:c r="F26" s="8" t="n">
        <x:v>0</x:v>
      </x:c>
      <x:c r="G26" s="9" t="n">
        <x:v>904.16</x:v>
      </x:c>
      <x:c r="H26" s="9" t="n">
        <x:v>899.8</x:v>
      </x:c>
      <x:c r="I26" s="1" t="n">
        <x:v>1000</x:v>
      </x:c>
      <x:c r="J26" s="10" t="n">
        <x:v>14365.29408</x:v>
      </x:c>
      <x:c r="K26" s="9" t="n">
        <x:v>861.1</x:v>
      </x:c>
      <x:c r="L26" s="9" t="n">
        <x:v>899.8</x:v>
      </x:c>
      <x:c r="M26" s="11" t="n">
        <x:f>IF(P26=1,SUMIFS('PO detail'!$P$2:$P$672,'PO detail'!$A$2:$A$672,A26,'PO detail'!$B$2:$B$672,B26,'PO detail'!$K$2:$K$672,"&lt;="&amp;(K26*1.01)),0)</x:f>
        <x:v>15888</x:v>
      </x:c>
      <x:c r="N26" s="11" t="n">
        <x:f>IF(P26=1,D26-M26,0)</x:f>
        <x:v>0</x:v>
      </x:c>
      <x:c r="O26" s="11" t="n">
        <x:f>D26-M26-N26</x:f>
        <x:v>0</x:v>
      </x:c>
      <x:c r="P26" s="15" t="n">
        <x:f>IF(AND(K26&gt;0,ABS(D26-SUMIFS('PO detail'!$P$2:$P$672,'PO detail'!$A$2:$A$672,A26,'PO detail'!$B$2:$B$672,B26))&lt;0.01),1,0)</x:f>
        <x:v>1</x:v>
      </x:c>
      <x:c r="Q26" s="15" t="n">
        <x:f>IF(AND(L26&gt;0,H26&gt;0,ABS(H26-L26)&lt;0.01),1,0)</x:f>
        <x:v>1</x:v>
      </x:c>
      <x:c r="R26" s="15" t="str">
        <x:f>IF(P26=1,"Estimated FIFO layers covered",IF(K26="","No original PO-price baseline","Insufficient dated receipt quantity"))</x:f>
        <x:v>Estimated FIFO layers covered</x:v>
      </x:c>
      <x:c r="S26" s="15" t="n">
        <x:f>SUMIFS('PO detail'!$P$2:$P$672,'PO detail'!$A$2:$A$672,A26,'PO detail'!$B$2:$B$672,B26)</x:f>
        <x:v>15888</x:v>
      </x:c>
      <x:c r="T26" s="1" t="str">
        <x:v>2026-08-13 00:00:00</x:v>
      </x:c>
      <x:c r="U26" s="1" t="str">
        <x:v>Receipt GL and reported valuation; inferred, PrcCostPer not supplied</x:v>
      </x:c>
      <x:c r="V26" s="13" t="n">
        <x:f>G26/I26</x:f>
        <x:v>0.90416</x:v>
      </x:c>
      <x:c r="W26" s="13" t="n">
        <x:f>IF(Q26=1,H26*(1+Summary!$J$5)/I26,"n.a.")</x:f>
        <x:v>0.94479</x:v>
      </x:c>
      <x:c r="X26" s="16" t="n">
        <x:f>D26*V26</x:f>
        <x:v>14365.29408</x:v>
      </x:c>
      <x:c r="Y26" s="16" t="n">
        <x:f>M26*V26</x:f>
        <x:v>14365.29408</x:v>
      </x:c>
      <x:c r="Z26" s="16" t="n">
        <x:f>N26*V26</x:f>
        <x:v>0</x:v>
      </x:c>
      <x:c r="AA26" s="16" t="n">
        <x:f>O26*V26</x:f>
        <x:v>0</x:v>
      </x:c>
      <x:c r="AB26" s="16" t="n">
        <x:f>J26-X26</x:f>
        <x:v>0</x:v>
      </x:c>
      <x:c r="AC26" s="16" t="n">
        <x:f>IF(ISNUMBER(W26),D26*(W26-V26),"n.a.")</x:f>
        <x:v>645.5294400000008</x:v>
      </x:c>
      <x:c r="AD26" s="12" t="n">
        <x:f>F26-SUMIFS('PO detail'!$S$2:$S$672,'PO detail'!$A$2:$A$672,A26,'PO detail'!$B$2:$B$672,B26)</x:f>
        <x:v>0</x:v>
      </x:c>
    </x:row>
    <x:row r="27" ht="21" customHeight="1">
      <x:c r="A27" s="1" t="str">
        <x:v>60</x:v>
      </x:c>
      <x:c r="B27" s="1" t="str">
        <x:v>800BNAVDSC</x:v>
      </x:c>
      <x:c r="C27" s="1" t="str">
        <x:v>SOUTHWEST CONVERSION</x:v>
      </x:c>
      <x:c r="D27" s="8" t="n">
        <x:v>3300</x:v>
      </x:c>
      <x:c r="E27" s="8" t="n">
        <x:v>1600</x:v>
      </x:c>
      <x:c r="F27" s="8" t="n">
        <x:v>0</x:v>
      </x:c>
      <x:c r="G27" s="9" t="n">
        <x:v>34.51</x:v>
      </x:c>
      <x:c r="H27" s="9" t="n">
        <x:v>0</x:v>
      </x:c>
      <x:c r="I27" s="1" t="n">
        <x:v>100</x:v>
      </x:c>
      <x:c r="J27" s="10" t="n">
        <x:v>1138.83</x:v>
      </x:c>
      <x:c r="K27" s="9"/>
      <x:c r="L27" s="9"/>
      <x:c r="M27" s="11" t="n">
        <x:f>IF(P27=1,SUMIFS('PO detail'!$P$2:$P$672,'PO detail'!$A$2:$A$672,A27,'PO detail'!$B$2:$B$672,B27,'PO detail'!$K$2:$K$672,"&lt;="&amp;(K27*1.01)),0)</x:f>
        <x:v>0</x:v>
      </x:c>
      <x:c r="N27" s="11" t="n">
        <x:f>IF(P27=1,D27-M27,0)</x:f>
        <x:v>0</x:v>
      </x:c>
      <x:c r="O27" s="11" t="n">
        <x:f>D27-M27-N27</x:f>
        <x:v>3300</x:v>
      </x:c>
      <x:c r="P27" s="15" t="n">
        <x:f>IF(AND(K27&gt;0,ABS(D27-SUMIFS('PO detail'!$P$2:$P$672,'PO detail'!$A$2:$A$672,A27,'PO detail'!$B$2:$B$672,B27))&lt;0.01),1,0)</x:f>
        <x:v>0</x:v>
      </x:c>
      <x:c r="Q27" s="15" t="n">
        <x:f>IF(AND(L27&gt;0,H27&gt;0,ABS(H27-L27)&lt;0.01),1,0)</x:f>
        <x:v>0</x:v>
      </x:c>
      <x:c r="R27" s="15" t="str">
        <x:f>IF(P27=1,"Estimated FIFO layers covered",IF(K27="","No original PO-price baseline","Insufficient dated receipt quantity"))</x:f>
        <x:v>No original PO-price baseline</x:v>
      </x:c>
      <x:c r="S27" s="15" t="n">
        <x:f>SUMIFS('PO detail'!$P$2:$P$672,'PO detail'!$A$2:$A$672,A27,'PO detail'!$B$2:$B$672,B27)</x:f>
        <x:v>0</x:v>
      </x:c>
      <x:c r="T27" s="1" t="str">
        <x:v>2020-02-25 00:00:00</x:v>
      </x:c>
      <x:c r="U27" s="1" t="str">
        <x:v>Receipt GL and reported valuation; inferred, PrcCostPer not supplied</x:v>
      </x:c>
      <x:c r="V27" s="13" t="n">
        <x:f>G27/I27</x:f>
        <x:v>0.34509999999999996</x:v>
      </x:c>
      <x:c r="W27" s="13" t="str">
        <x:f>IF(Q27=1,H27*(1+Summary!$J$5)/I27,"n.a.")</x:f>
        <x:v>n.a.</x:v>
      </x:c>
      <x:c r="X27" s="16" t="n">
        <x:f>D27*V27</x:f>
        <x:v>1138.83</x:v>
      </x:c>
      <x:c r="Y27" s="16" t="n">
        <x:f>M27*V27</x:f>
        <x:v>0</x:v>
      </x:c>
      <x:c r="Z27" s="16" t="n">
        <x:f>N27*V27</x:f>
        <x:v>0</x:v>
      </x:c>
      <x:c r="AA27" s="16" t="n">
        <x:f>O27*V27</x:f>
        <x:v>1138.83</x:v>
      </x:c>
      <x:c r="AB27" s="16" t="n">
        <x:f>J27-X27</x:f>
        <x:v>0</x:v>
      </x:c>
      <x:c r="AC27" s="16" t="str">
        <x:f>IF(ISNUMBER(W27),D27*(W27-V27),"n.a.")</x:f>
        <x:v>n.a.</x:v>
      </x:c>
      <x:c r="AD27" s="12" t="n">
        <x:f>F27-SUMIFS('PO detail'!$S$2:$S$672,'PO detail'!$A$2:$A$672,A27,'PO detail'!$B$2:$B$672,B27)</x:f>
        <x:v>0</x:v>
      </x:c>
    </x:row>
    <x:row r="28" ht="21" customHeight="1">
      <x:c r="A28" s="1" t="str">
        <x:v>10</x:v>
      </x:c>
      <x:c r="B28" s="1" t="str">
        <x:v>800BNAVDSC</x:v>
      </x:c>
      <x:c r="C28" s="1" t="str">
        <x:v>SOUTHWEST CONVERSION</x:v>
      </x:c>
      <x:c r="D28" s="8" t="n">
        <x:v>0</x:v>
      </x:c>
      <x:c r="E28" s="8" t="n">
        <x:v>1441.66</x:v>
      </x:c>
      <x:c r="F28" s="8" t="n">
        <x:v>0</x:v>
      </x:c>
      <x:c r="G28" s="9" t="n">
        <x:v>34.51</x:v>
      </x:c>
      <x:c r="H28" s="9" t="n">
        <x:v>0</x:v>
      </x:c>
      <x:c r="I28" s="1" t="n">
        <x:v>100</x:v>
      </x:c>
      <x:c r="J28" s="10" t="n">
        <x:v>0</x:v>
      </x:c>
      <x:c r="K28" s="9"/>
      <x:c r="L28" s="9"/>
      <x:c r="M28" s="11" t="n">
        <x:f>IF(P28=1,SUMIFS('PO detail'!$P$2:$P$672,'PO detail'!$A$2:$A$672,A28,'PO detail'!$B$2:$B$672,B28,'PO detail'!$K$2:$K$672,"&lt;="&amp;(K28*1.01)),0)</x:f>
        <x:v>0</x:v>
      </x:c>
      <x:c r="N28" s="11" t="n">
        <x:f>IF(P28=1,D28-M28,0)</x:f>
        <x:v>0</x:v>
      </x:c>
      <x:c r="O28" s="11" t="n">
        <x:f>D28-M28-N28</x:f>
        <x:v>0</x:v>
      </x:c>
      <x:c r="P28" s="15" t="n">
        <x:f>IF(AND(K28&gt;0,ABS(D28-SUMIFS('PO detail'!$P$2:$P$672,'PO detail'!$A$2:$A$672,A28,'PO detail'!$B$2:$B$672,B28))&lt;0.01),1,0)</x:f>
        <x:v>0</x:v>
      </x:c>
      <x:c r="Q28" s="15" t="n">
        <x:f>IF(AND(L28&gt;0,H28&gt;0,ABS(H28-L28)&lt;0.01),1,0)</x:f>
        <x:v>0</x:v>
      </x:c>
      <x:c r="R28" s="15" t="str">
        <x:f>IF(P28=1,"Estimated FIFO layers covered",IF(K28="","No original PO-price baseline","Insufficient dated receipt quantity"))</x:f>
        <x:v>No original PO-price baseline</x:v>
      </x:c>
      <x:c r="S28" s="15" t="n">
        <x:f>SUMIFS('PO detail'!$P$2:$P$672,'PO detail'!$A$2:$A$672,A28,'PO detail'!$B$2:$B$672,B28)</x:f>
        <x:v>0</x:v>
      </x:c>
      <x:c r="T28" s="1" t="str">
        <x:v>2019-04-01 00:00:00</x:v>
      </x:c>
      <x:c r="U28" s="1" t="str">
        <x:v>Receipt GL and reported valuation; inferred, PrcCostPer not supplied</x:v>
      </x:c>
      <x:c r="V28" s="13" t="n">
        <x:f>G28/I28</x:f>
        <x:v>0.34509999999999996</x:v>
      </x:c>
      <x:c r="W28" s="13" t="str">
        <x:f>IF(Q28=1,H28*(1+Summary!$J$5)/I28,"n.a.")</x:f>
        <x:v>n.a.</x:v>
      </x:c>
      <x:c r="X28" s="16" t="n">
        <x:f>D28*V28</x:f>
        <x:v>0</x:v>
      </x:c>
      <x:c r="Y28" s="16" t="n">
        <x:f>M28*V28</x:f>
        <x:v>0</x:v>
      </x:c>
      <x:c r="Z28" s="16" t="n">
        <x:f>N28*V28</x:f>
        <x:v>0</x:v>
      </x:c>
      <x:c r="AA28" s="16" t="n">
        <x:f>O28*V28</x:f>
        <x:v>0</x:v>
      </x:c>
      <x:c r="AB28" s="16" t="n">
        <x:f>J28-X28</x:f>
        <x:v>0</x:v>
      </x:c>
      <x:c r="AC28" s="16" t="str">
        <x:f>IF(ISNUMBER(W28),D28*(W28-V28),"n.a.")</x:f>
        <x:v>n.a.</x:v>
      </x:c>
      <x:c r="AD28" s="12" t="n">
        <x:f>F28-SUMIFS('PO detail'!$S$2:$S$672,'PO detail'!$A$2:$A$672,A28,'PO detail'!$B$2:$B$672,B28)</x:f>
        <x:v>0</x:v>
      </x:c>
    </x:row>
    <x:row r="29" ht="21" customHeight="1">
      <x:c r="A29" s="1" t="str">
        <x:v>30</x:v>
      </x:c>
      <x:c r="B29" s="1" t="str">
        <x:v>800BMARASC</x:v>
      </x:c>
      <x:c r="C29" s="1" t="str">
        <x:v>ECOLOGICAL FIBERS, INC</x:v>
      </x:c>
      <x:c r="D29" s="8" t="n">
        <x:v>19900</x:v>
      </x:c>
      <x:c r="E29" s="8" t="n">
        <x:v>1241.67</x:v>
      </x:c>
      <x:c r="F29" s="8" t="n">
        <x:v>0</x:v>
      </x:c>
      <x:c r="G29" s="9" t="n">
        <x:v>15.98</x:v>
      </x:c>
      <x:c r="H29" s="9" t="n">
        <x:v>15.9</x:v>
      </x:c>
      <x:c r="I29" s="1" t="n">
        <x:v>100</x:v>
      </x:c>
      <x:c r="J29" s="10" t="n">
        <x:v>3180.02</x:v>
      </x:c>
      <x:c r="K29" s="9" t="n">
        <x:v>15.22</x:v>
      </x:c>
      <x:c r="L29" s="9" t="n">
        <x:v>15.9</x:v>
      </x:c>
      <x:c r="M29" s="11" t="n">
        <x:f>IF(P29=1,SUMIFS('PO detail'!$P$2:$P$672,'PO detail'!$A$2:$A$672,A29,'PO detail'!$B$2:$B$672,B29,'PO detail'!$K$2:$K$672,"&lt;="&amp;(K29*1.01)),0)</x:f>
        <x:v>19900</x:v>
      </x:c>
      <x:c r="N29" s="11" t="n">
        <x:f>IF(P29=1,D29-M29,0)</x:f>
        <x:v>0</x:v>
      </x:c>
      <x:c r="O29" s="11" t="n">
        <x:f>D29-M29-N29</x:f>
        <x:v>0</x:v>
      </x:c>
      <x:c r="P29" s="15" t="n">
        <x:f>IF(AND(K29&gt;0,ABS(D29-SUMIFS('PO detail'!$P$2:$P$672,'PO detail'!$A$2:$A$672,A29,'PO detail'!$B$2:$B$672,B29))&lt;0.01),1,0)</x:f>
        <x:v>1</x:v>
      </x:c>
      <x:c r="Q29" s="15" t="n">
        <x:f>IF(AND(L29&gt;0,H29&gt;0,ABS(H29-L29)&lt;0.01),1,0)</x:f>
        <x:v>1</x:v>
      </x:c>
      <x:c r="R29" s="15" t="str">
        <x:f>IF(P29=1,"Estimated FIFO layers covered",IF(K29="","No original PO-price baseline","Insufficient dated receipt quantity"))</x:f>
        <x:v>Estimated FIFO layers covered</x:v>
      </x:c>
      <x:c r="S29" s="15" t="n">
        <x:f>SUMIFS('PO detail'!$P$2:$P$672,'PO detail'!$A$2:$A$672,A29,'PO detail'!$B$2:$B$672,B29)</x:f>
        <x:v>19900</x:v>
      </x:c>
      <x:c r="T29" s="1" t="str">
        <x:v>2026-04-13 00:00:00</x:v>
      </x:c>
      <x:c r="U29" s="1" t="str">
        <x:v>Receipt GL and reported valuation; inferred, PrcCostPer not supplied</x:v>
      </x:c>
      <x:c r="V29" s="13" t="n">
        <x:f>G29/I29</x:f>
        <x:v>0.1598</x:v>
      </x:c>
      <x:c r="W29" s="13" t="n">
        <x:f>IF(Q29=1,H29*(1+Summary!$J$5)/I29,"n.a.")</x:f>
        <x:v>0.16695000000000002</x:v>
      </x:c>
      <x:c r="X29" s="16" t="n">
        <x:f>D29*V29</x:f>
        <x:v>3180.02</x:v>
      </x:c>
      <x:c r="Y29" s="16" t="n">
        <x:f>M29*V29</x:f>
        <x:v>3180.02</x:v>
      </x:c>
      <x:c r="Z29" s="16" t="n">
        <x:f>N29*V29</x:f>
        <x:v>0</x:v>
      </x:c>
      <x:c r="AA29" s="16" t="n">
        <x:f>O29*V29</x:f>
        <x:v>0</x:v>
      </x:c>
      <x:c r="AB29" s="16" t="n">
        <x:f>J29-X29</x:f>
        <x:v>0</x:v>
      </x:c>
      <x:c r="AC29" s="16" t="n">
        <x:f>IF(ISNUMBER(W29),D29*(W29-V29),"n.a.")</x:f>
        <x:v>142.28500000000034</x:v>
      </x:c>
      <x:c r="AD29" s="12" t="n">
        <x:f>F29-SUMIFS('PO detail'!$S$2:$S$672,'PO detail'!$A$2:$A$672,A29,'PO detail'!$B$2:$B$672,B29)</x:f>
        <x:v>0</x:v>
      </x:c>
    </x:row>
    <x:row r="30" ht="21" customHeight="1">
      <x:c r="A30" s="1" t="str">
        <x:v>60</x:v>
      </x:c>
      <x:c r="B30" s="1" t="str">
        <x:v>800BNAVBRC</x:v>
      </x:c>
      <x:c r="C30" s="1" t="str">
        <x:v>SOUTHWEST CONVERSION</x:v>
      </x:c>
      <x:c r="D30" s="8" t="n">
        <x:v>5800</x:v>
      </x:c>
      <x:c r="E30" s="8" t="n">
        <x:v>1166.67</x:v>
      </x:c>
      <x:c r="F30" s="8" t="n">
        <x:v>0</x:v>
      </x:c>
      <x:c r="G30" s="9" t="n">
        <x:v>17.37</x:v>
      </x:c>
      <x:c r="H30" s="9" t="n">
        <x:v>0</x:v>
      </x:c>
      <x:c r="I30" s="1" t="n">
        <x:v>100</x:v>
      </x:c>
      <x:c r="J30" s="10" t="n">
        <x:v>1007.46</x:v>
      </x:c>
      <x:c r="K30" s="9"/>
      <x:c r="L30" s="9"/>
      <x:c r="M30" s="11" t="n">
        <x:f>IF(P30=1,SUMIFS('PO detail'!$P$2:$P$672,'PO detail'!$A$2:$A$672,A30,'PO detail'!$B$2:$B$672,B30,'PO detail'!$K$2:$K$672,"&lt;="&amp;(K30*1.01)),0)</x:f>
        <x:v>0</x:v>
      </x:c>
      <x:c r="N30" s="11" t="n">
        <x:f>IF(P30=1,D30-M30,0)</x:f>
        <x:v>0</x:v>
      </x:c>
      <x:c r="O30" s="11" t="n">
        <x:f>D30-M30-N30</x:f>
        <x:v>5800</x:v>
      </x:c>
      <x:c r="P30" s="15" t="n">
        <x:f>IF(AND(K30&gt;0,ABS(D30-SUMIFS('PO detail'!$P$2:$P$672,'PO detail'!$A$2:$A$672,A30,'PO detail'!$B$2:$B$672,B30))&lt;0.01),1,0)</x:f>
        <x:v>0</x:v>
      </x:c>
      <x:c r="Q30" s="15" t="n">
        <x:f>IF(AND(L30&gt;0,H30&gt;0,ABS(H30-L30)&lt;0.01),1,0)</x:f>
        <x:v>0</x:v>
      </x:c>
      <x:c r="R30" s="15" t="str">
        <x:f>IF(P30=1,"Estimated FIFO layers covered",IF(K30="","No original PO-price baseline","Insufficient dated receipt quantity"))</x:f>
        <x:v>No original PO-price baseline</x:v>
      </x:c>
      <x:c r="S30" s="15" t="n">
        <x:f>SUMIFS('PO detail'!$P$2:$P$672,'PO detail'!$A$2:$A$672,A30,'PO detail'!$B$2:$B$672,B30)</x:f>
        <x:v>0</x:v>
      </x:c>
      <x:c r="T30" s="1" t="str">
        <x:v>2018-02-07 00:00:00</x:v>
      </x:c>
      <x:c r="U30" s="1" t="str">
        <x:v>Receipt GL and reported valuation; inferred, PrcCostPer not supplied</x:v>
      </x:c>
      <x:c r="V30" s="13" t="n">
        <x:f>G30/I30</x:f>
        <x:v>0.17370000000000002</x:v>
      </x:c>
      <x:c r="W30" s="13" t="str">
        <x:f>IF(Q30=1,H30*(1+Summary!$J$5)/I30,"n.a.")</x:f>
        <x:v>n.a.</x:v>
      </x:c>
      <x:c r="X30" s="16" t="n">
        <x:f>D30*V30</x:f>
        <x:v>1007.4600000000002</x:v>
      </x:c>
      <x:c r="Y30" s="16" t="n">
        <x:f>M30*V30</x:f>
        <x:v>0</x:v>
      </x:c>
      <x:c r="Z30" s="16" t="n">
        <x:f>N30*V30</x:f>
        <x:v>0</x:v>
      </x:c>
      <x:c r="AA30" s="16" t="n">
        <x:f>O30*V30</x:f>
        <x:v>1007.4600000000002</x:v>
      </x:c>
      <x:c r="AB30" s="16" t="n">
        <x:f>J30-X30</x:f>
        <x:v>-1.1368683772161603e-13</x:v>
      </x:c>
      <x:c r="AC30" s="16" t="str">
        <x:f>IF(ISNUMBER(W30),D30*(W30-V30),"n.a.")</x:f>
        <x:v>n.a.</x:v>
      </x:c>
      <x:c r="AD30" s="12" t="n">
        <x:f>F30-SUMIFS('PO detail'!$S$2:$S$672,'PO detail'!$A$2:$A$672,A30,'PO detail'!$B$2:$B$672,B30)</x:f>
        <x:v>0</x:v>
      </x:c>
    </x:row>
    <x:row r="31" ht="21" customHeight="1">
      <x:c r="A31" s="1" t="str">
        <x:v>10</x:v>
      </x:c>
      <x:c r="B31" s="1" t="str">
        <x:v>800BNAVCSC</x:v>
      </x:c>
      <x:c r="C31" s="1" t="str">
        <x:v>SOUTHWEST CONVERSION</x:v>
      </x:c>
      <x:c r="D31" s="8" t="n">
        <x:v>0</x:v>
      </x:c>
      <x:c r="E31" s="8" t="n">
        <x:v>1083.33</x:v>
      </x:c>
      <x:c r="F31" s="8" t="n">
        <x:v>0</x:v>
      </x:c>
      <x:c r="G31" s="9" t="n">
        <x:v>20.22</x:v>
      </x:c>
      <x:c r="H31" s="9" t="n">
        <x:v>0</x:v>
      </x:c>
      <x:c r="I31" s="1" t="n">
        <x:v>100</x:v>
      </x:c>
      <x:c r="J31" s="10" t="n">
        <x:v>0</x:v>
      </x:c>
      <x:c r="K31" s="9"/>
      <x:c r="L31" s="9"/>
      <x:c r="M31" s="11" t="n">
        <x:f>IF(P31=1,SUMIFS('PO detail'!$P$2:$P$672,'PO detail'!$A$2:$A$672,A31,'PO detail'!$B$2:$B$672,B31,'PO detail'!$K$2:$K$672,"&lt;="&amp;(K31*1.01)),0)</x:f>
        <x:v>0</x:v>
      </x:c>
      <x:c r="N31" s="11" t="n">
        <x:f>IF(P31=1,D31-M31,0)</x:f>
        <x:v>0</x:v>
      </x:c>
      <x:c r="O31" s="11" t="n">
        <x:f>D31-M31-N31</x:f>
        <x:v>0</x:v>
      </x:c>
      <x:c r="P31" s="15" t="n">
        <x:f>IF(AND(K31&gt;0,ABS(D31-SUMIFS('PO detail'!$P$2:$P$672,'PO detail'!$A$2:$A$672,A31,'PO detail'!$B$2:$B$672,B31))&lt;0.01),1,0)</x:f>
        <x:v>0</x:v>
      </x:c>
      <x:c r="Q31" s="15" t="n">
        <x:f>IF(AND(L31&gt;0,H31&gt;0,ABS(H31-L31)&lt;0.01),1,0)</x:f>
        <x:v>0</x:v>
      </x:c>
      <x:c r="R31" s="15" t="str">
        <x:f>IF(P31=1,"Estimated FIFO layers covered",IF(K31="","No original PO-price baseline","Insufficient dated receipt quantity"))</x:f>
        <x:v>No original PO-price baseline</x:v>
      </x:c>
      <x:c r="S31" s="15" t="n">
        <x:f>SUMIFS('PO detail'!$P$2:$P$672,'PO detail'!$A$2:$A$672,A31,'PO detail'!$B$2:$B$672,B31)</x:f>
        <x:v>0</x:v>
      </x:c>
      <x:c r="T31" s="1" t="str">
        <x:v>2020-04-15 00:00:00</x:v>
      </x:c>
      <x:c r="U31" s="1" t="str">
        <x:v>Receipt GL and reported valuation; inferred, PrcCostPer not supplied</x:v>
      </x:c>
      <x:c r="V31" s="13" t="n">
        <x:f>G31/I31</x:f>
        <x:v>0.2022</x:v>
      </x:c>
      <x:c r="W31" s="13" t="str">
        <x:f>IF(Q31=1,H31*(1+Summary!$J$5)/I31,"n.a.")</x:f>
        <x:v>n.a.</x:v>
      </x:c>
      <x:c r="X31" s="16" t="n">
        <x:f>D31*V31</x:f>
        <x:v>0</x:v>
      </x:c>
      <x:c r="Y31" s="16" t="n">
        <x:f>M31*V31</x:f>
        <x:v>0</x:v>
      </x:c>
      <x:c r="Z31" s="16" t="n">
        <x:f>N31*V31</x:f>
        <x:v>0</x:v>
      </x:c>
      <x:c r="AA31" s="16" t="n">
        <x:f>O31*V31</x:f>
        <x:v>0</x:v>
      </x:c>
      <x:c r="AB31" s="16" t="n">
        <x:f>J31-X31</x:f>
        <x:v>0</x:v>
      </x:c>
      <x:c r="AC31" s="16" t="str">
        <x:f>IF(ISNUMBER(W31),D31*(W31-V31),"n.a.")</x:f>
        <x:v>n.a.</x:v>
      </x:c>
      <x:c r="AD31" s="12" t="n">
        <x:f>F31-SUMIFS('PO detail'!$S$2:$S$672,'PO detail'!$A$2:$A$672,A31,'PO detail'!$B$2:$B$672,B31)</x:f>
        <x:v>0</x:v>
      </x:c>
    </x:row>
    <x:row r="32" ht="21" customHeight="1">
      <x:c r="A32" s="1" t="str">
        <x:v>30</x:v>
      </x:c>
      <x:c r="B32" s="1" t="str">
        <x:v>800BBLKCSC</x:v>
      </x:c>
      <x:c r="C32" s="1" t="str">
        <x:v>SOUTHWEST CONVERSION</x:v>
      </x:c>
      <x:c r="D32" s="8" t="n">
        <x:v>3600</x:v>
      </x:c>
      <x:c r="E32" s="8" t="n">
        <x:v>941.67</x:v>
      </x:c>
      <x:c r="F32" s="8" t="n">
        <x:v>0</x:v>
      </x:c>
      <x:c r="G32" s="9" t="n">
        <x:v>19.57</x:v>
      </x:c>
      <x:c r="H32" s="9" t="n">
        <x:v>0</x:v>
      </x:c>
      <x:c r="I32" s="1" t="n">
        <x:v>100</x:v>
      </x:c>
      <x:c r="J32" s="10" t="n">
        <x:v>704.52</x:v>
      </x:c>
      <x:c r="K32" s="9"/>
      <x:c r="L32" s="9"/>
      <x:c r="M32" s="11" t="n">
        <x:f>IF(P32=1,SUMIFS('PO detail'!$P$2:$P$672,'PO detail'!$A$2:$A$672,A32,'PO detail'!$B$2:$B$672,B32,'PO detail'!$K$2:$K$672,"&lt;="&amp;(K32*1.01)),0)</x:f>
        <x:v>0</x:v>
      </x:c>
      <x:c r="N32" s="11" t="n">
        <x:f>IF(P32=1,D32-M32,0)</x:f>
        <x:v>0</x:v>
      </x:c>
      <x:c r="O32" s="11" t="n">
        <x:f>D32-M32-N32</x:f>
        <x:v>3600</x:v>
      </x:c>
      <x:c r="P32" s="15" t="n">
        <x:f>IF(AND(K32&gt;0,ABS(D32-SUMIFS('PO detail'!$P$2:$P$672,'PO detail'!$A$2:$A$672,A32,'PO detail'!$B$2:$B$672,B32))&lt;0.01),1,0)</x:f>
        <x:v>0</x:v>
      </x:c>
      <x:c r="Q32" s="15" t="n">
        <x:f>IF(AND(L32&gt;0,H32&gt;0,ABS(H32-L32)&lt;0.01),1,0)</x:f>
        <x:v>0</x:v>
      </x:c>
      <x:c r="R32" s="15" t="str">
        <x:f>IF(P32=1,"Estimated FIFO layers covered",IF(K32="","No original PO-price baseline","Insufficient dated receipt quantity"))</x:f>
        <x:v>No original PO-price baseline</x:v>
      </x:c>
      <x:c r="S32" s="15" t="n">
        <x:f>SUMIFS('PO detail'!$P$2:$P$672,'PO detail'!$A$2:$A$672,A32,'PO detail'!$B$2:$B$672,B32)</x:f>
        <x:v>3600</x:v>
      </x:c>
      <x:c r="T32" s="1" t="str">
        <x:v>2026-08-26 00:00:00</x:v>
      </x:c>
      <x:c r="U32" s="1" t="str">
        <x:v>Receipt GL and reported valuation; inferred, PrcCostPer not supplied</x:v>
      </x:c>
      <x:c r="V32" s="13" t="n">
        <x:f>G32/I32</x:f>
        <x:v>0.1957</x:v>
      </x:c>
      <x:c r="W32" s="13" t="str">
        <x:f>IF(Q32=1,H32*(1+Summary!$J$5)/I32,"n.a.")</x:f>
        <x:v>n.a.</x:v>
      </x:c>
      <x:c r="X32" s="16" t="n">
        <x:f>D32*V32</x:f>
        <x:v>704.5200000000001</x:v>
      </x:c>
      <x:c r="Y32" s="16" t="n">
        <x:f>M32*V32</x:f>
        <x:v>0</x:v>
      </x:c>
      <x:c r="Z32" s="16" t="n">
        <x:f>N32*V32</x:f>
        <x:v>0</x:v>
      </x:c>
      <x:c r="AA32" s="16" t="n">
        <x:f>O32*V32</x:f>
        <x:v>704.5200000000001</x:v>
      </x:c>
      <x:c r="AB32" s="16" t="n">
        <x:f>J32-X32</x:f>
        <x:v>-1.1368683772161603e-13</x:v>
      </x:c>
      <x:c r="AC32" s="16" t="str">
        <x:f>IF(ISNUMBER(W32),D32*(W32-V32),"n.a.")</x:f>
        <x:v>n.a.</x:v>
      </x:c>
      <x:c r="AD32" s="12" t="n">
        <x:f>F32-SUMIFS('PO detail'!$S$2:$S$672,'PO detail'!$A$2:$A$672,A32,'PO detail'!$B$2:$B$672,B32)</x:f>
        <x:v>0</x:v>
      </x:c>
    </x:row>
    <x:row r="33" ht="21" customHeight="1">
      <x:c r="A33" s="1" t="str">
        <x:v>60</x:v>
      </x:c>
      <x:c r="B33" s="1" t="str">
        <x:v>800BNAVCSC</x:v>
      </x:c>
      <x:c r="C33" s="1" t="str">
        <x:v>SOUTHWEST CONVERSION</x:v>
      </x:c>
      <x:c r="D33" s="8" t="n">
        <x:v>4000</x:v>
      </x:c>
      <x:c r="E33" s="8" t="n">
        <x:v>800</x:v>
      </x:c>
      <x:c r="F33" s="8" t="n">
        <x:v>0</x:v>
      </x:c>
      <x:c r="G33" s="9" t="n">
        <x:v>20.22</x:v>
      </x:c>
      <x:c r="H33" s="9" t="n">
        <x:v>0</x:v>
      </x:c>
      <x:c r="I33" s="1" t="n">
        <x:v>100</x:v>
      </x:c>
      <x:c r="J33" s="10" t="n">
        <x:v>808.8000000000001</x:v>
      </x:c>
      <x:c r="K33" s="9"/>
      <x:c r="L33" s="9"/>
      <x:c r="M33" s="11" t="n">
        <x:f>IF(P33=1,SUMIFS('PO detail'!$P$2:$P$672,'PO detail'!$A$2:$A$672,A33,'PO detail'!$B$2:$B$672,B33,'PO detail'!$K$2:$K$672,"&lt;="&amp;(K33*1.01)),0)</x:f>
        <x:v>0</x:v>
      </x:c>
      <x:c r="N33" s="11" t="n">
        <x:f>IF(P33=1,D33-M33,0)</x:f>
        <x:v>0</x:v>
      </x:c>
      <x:c r="O33" s="11" t="n">
        <x:f>D33-M33-N33</x:f>
        <x:v>4000</x:v>
      </x:c>
      <x:c r="P33" s="15" t="n">
        <x:f>IF(AND(K33&gt;0,ABS(D33-SUMIFS('PO detail'!$P$2:$P$672,'PO detail'!$A$2:$A$672,A33,'PO detail'!$B$2:$B$672,B33))&lt;0.01),1,0)</x:f>
        <x:v>0</x:v>
      </x:c>
      <x:c r="Q33" s="15" t="n">
        <x:f>IF(AND(L33&gt;0,H33&gt;0,ABS(H33-L33)&lt;0.01),1,0)</x:f>
        <x:v>0</x:v>
      </x:c>
      <x:c r="R33" s="15" t="str">
        <x:f>IF(P33=1,"Estimated FIFO layers covered",IF(K33="","No original PO-price baseline","Insufficient dated receipt quantity"))</x:f>
        <x:v>No original PO-price baseline</x:v>
      </x:c>
      <x:c r="S33" s="15" t="n">
        <x:f>SUMIFS('PO detail'!$P$2:$P$672,'PO detail'!$A$2:$A$672,A33,'PO detail'!$B$2:$B$672,B33)</x:f>
        <x:v>0</x:v>
      </x:c>
      <x:c r="T33" s="1" t="str">
        <x:v>2013-01-10 00:00:00</x:v>
      </x:c>
      <x:c r="U33" s="1" t="str">
        <x:v>Receipt GL and reported valuation; inferred, PrcCostPer not supplied</x:v>
      </x:c>
      <x:c r="V33" s="13" t="n">
        <x:f>G33/I33</x:f>
        <x:v>0.2022</x:v>
      </x:c>
      <x:c r="W33" s="13" t="str">
        <x:f>IF(Q33=1,H33*(1+Summary!$J$5)/I33,"n.a.")</x:f>
        <x:v>n.a.</x:v>
      </x:c>
      <x:c r="X33" s="16" t="n">
        <x:f>D33*V33</x:f>
        <x:v>808.8</x:v>
      </x:c>
      <x:c r="Y33" s="16" t="n">
        <x:f>M33*V33</x:f>
        <x:v>0</x:v>
      </x:c>
      <x:c r="Z33" s="16" t="n">
        <x:f>N33*V33</x:f>
        <x:v>0</x:v>
      </x:c>
      <x:c r="AA33" s="16" t="n">
        <x:f>O33*V33</x:f>
        <x:v>808.8</x:v>
      </x:c>
      <x:c r="AB33" s="16" t="n">
        <x:f>J33-X33</x:f>
        <x:v>1.1368683772161603e-13</x:v>
      </x:c>
      <x:c r="AC33" s="16" t="str">
        <x:f>IF(ISNUMBER(W33),D33*(W33-V33),"n.a.")</x:f>
        <x:v>n.a.</x:v>
      </x:c>
      <x:c r="AD33" s="12" t="n">
        <x:f>F33-SUMIFS('PO detail'!$S$2:$S$672,'PO detail'!$A$2:$A$672,A33,'PO detail'!$B$2:$B$672,B33)</x:f>
        <x:v>0</x:v>
      </x:c>
    </x:row>
    <x:row r="34" ht="21" customHeight="1">
      <x:c r="A34" s="1" t="str">
        <x:v>30</x:v>
      </x:c>
      <x:c r="B34" s="1" t="str">
        <x:v>800BNAVISC</x:v>
      </x:c>
      <x:c r="C34" s="1" t="str">
        <x:v>SOUTHWEST CONVERSION</x:v>
      </x:c>
      <x:c r="D34" s="8" t="n">
        <x:v>0</x:v>
      </x:c>
      <x:c r="E34" s="8" t="n">
        <x:v>600</x:v>
      </x:c>
      <x:c r="F34" s="8" t="n">
        <x:v>0</x:v>
      </x:c>
      <x:c r="G34" s="9" t="n">
        <x:v>16.87</x:v>
      </x:c>
      <x:c r="H34" s="9" t="n">
        <x:v>0</x:v>
      </x:c>
      <x:c r="I34" s="1" t="n">
        <x:v>100</x:v>
      </x:c>
      <x:c r="J34" s="10" t="n">
        <x:v>0</x:v>
      </x:c>
      <x:c r="K34" s="9"/>
      <x:c r="L34" s="9"/>
      <x:c r="M34" s="11" t="n">
        <x:f>IF(P34=1,SUMIFS('PO detail'!$P$2:$P$672,'PO detail'!$A$2:$A$672,A34,'PO detail'!$B$2:$B$672,B34,'PO detail'!$K$2:$K$672,"&lt;="&amp;(K34*1.01)),0)</x:f>
        <x:v>0</x:v>
      </x:c>
      <x:c r="N34" s="11" t="n">
        <x:f>IF(P34=1,D34-M34,0)</x:f>
        <x:v>0</x:v>
      </x:c>
      <x:c r="O34" s="11" t="n">
        <x:f>D34-M34-N34</x:f>
        <x:v>0</x:v>
      </x:c>
      <x:c r="P34" s="15" t="n">
        <x:f>IF(AND(K34&gt;0,ABS(D34-SUMIFS('PO detail'!$P$2:$P$672,'PO detail'!$A$2:$A$672,A34,'PO detail'!$B$2:$B$672,B34))&lt;0.01),1,0)</x:f>
        <x:v>0</x:v>
      </x:c>
      <x:c r="Q34" s="15" t="n">
        <x:f>IF(AND(L34&gt;0,H34&gt;0,ABS(H34-L34)&lt;0.01),1,0)</x:f>
        <x:v>0</x:v>
      </x:c>
      <x:c r="R34" s="15" t="str">
        <x:f>IF(P34=1,"Estimated FIFO layers covered",IF(K34="","No original PO-price baseline","Insufficient dated receipt quantity"))</x:f>
        <x:v>No original PO-price baseline</x:v>
      </x:c>
      <x:c r="S34" s="15" t="n">
        <x:f>SUMIFS('PO detail'!$P$2:$P$672,'PO detail'!$A$2:$A$672,A34,'PO detail'!$B$2:$B$672,B34)</x:f>
        <x:v>0</x:v>
      </x:c>
      <x:c r="T34" s="1" t="str">
        <x:v>2026-06-17 00:00:00</x:v>
      </x:c>
      <x:c r="U34" s="1" t="str">
        <x:v>Receipt GL and reported valuation; inferred, PrcCostPer not supplied</x:v>
      </x:c>
      <x:c r="V34" s="13" t="n">
        <x:f>G34/I34</x:f>
        <x:v>0.16870000000000002</x:v>
      </x:c>
      <x:c r="W34" s="13" t="str">
        <x:f>IF(Q34=1,H34*(1+Summary!$J$5)/I34,"n.a.")</x:f>
        <x:v>n.a.</x:v>
      </x:c>
      <x:c r="X34" s="16" t="n">
        <x:f>D34*V34</x:f>
        <x:v>0</x:v>
      </x:c>
      <x:c r="Y34" s="16" t="n">
        <x:f>M34*V34</x:f>
        <x:v>0</x:v>
      </x:c>
      <x:c r="Z34" s="16" t="n">
        <x:f>N34*V34</x:f>
        <x:v>0</x:v>
      </x:c>
      <x:c r="AA34" s="16" t="n">
        <x:f>O34*V34</x:f>
        <x:v>0</x:v>
      </x:c>
      <x:c r="AB34" s="16" t="n">
        <x:f>J34-X34</x:f>
        <x:v>0</x:v>
      </x:c>
      <x:c r="AC34" s="16" t="str">
        <x:f>IF(ISNUMBER(W34),D34*(W34-V34),"n.a.")</x:f>
        <x:v>n.a.</x:v>
      </x:c>
      <x:c r="AD34" s="12" t="n">
        <x:f>F34-SUMIFS('PO detail'!$S$2:$S$672,'PO detail'!$A$2:$A$672,A34,'PO detail'!$B$2:$B$672,B34)</x:f>
        <x:v>0</x:v>
      </x:c>
    </x:row>
    <x:row r="35" ht="21" customHeight="1">
      <x:c r="A35" s="1" t="str">
        <x:v>10</x:v>
      </x:c>
      <x:c r="B35" s="1" t="str">
        <x:v>800BMARDSC</x:v>
      </x:c>
      <x:c r="C35" s="1" t="str">
        <x:v>SOUTHWEST CONVERSION</x:v>
      </x:c>
      <x:c r="D35" s="8" t="n">
        <x:v>0</x:v>
      </x:c>
      <x:c r="E35" s="8" t="n">
        <x:v>458.34</x:v>
      </x:c>
      <x:c r="F35" s="8" t="n">
        <x:v>0</x:v>
      </x:c>
      <x:c r="G35" s="9" t="n">
        <x:v>39.98</x:v>
      </x:c>
      <x:c r="H35" s="9" t="n">
        <x:v>0</x:v>
      </x:c>
      <x:c r="I35" s="1" t="n">
        <x:v>100</x:v>
      </x:c>
      <x:c r="J35" s="10" t="n">
        <x:v>0</x:v>
      </x:c>
      <x:c r="K35" s="9"/>
      <x:c r="L35" s="9"/>
      <x:c r="M35" s="11" t="n">
        <x:f>IF(P35=1,SUMIFS('PO detail'!$P$2:$P$672,'PO detail'!$A$2:$A$672,A35,'PO detail'!$B$2:$B$672,B35,'PO detail'!$K$2:$K$672,"&lt;="&amp;(K35*1.01)),0)</x:f>
        <x:v>0</x:v>
      </x:c>
      <x:c r="N35" s="11" t="n">
        <x:f>IF(P35=1,D35-M35,0)</x:f>
        <x:v>0</x:v>
      </x:c>
      <x:c r="O35" s="11" t="n">
        <x:f>D35-M35-N35</x:f>
        <x:v>0</x:v>
      </x:c>
      <x:c r="P35" s="15" t="n">
        <x:f>IF(AND(K35&gt;0,ABS(D35-SUMIFS('PO detail'!$P$2:$P$672,'PO detail'!$A$2:$A$672,A35,'PO detail'!$B$2:$B$672,B35))&lt;0.01),1,0)</x:f>
        <x:v>0</x:v>
      </x:c>
      <x:c r="Q35" s="15" t="n">
        <x:f>IF(AND(L35&gt;0,H35&gt;0,ABS(H35-L35)&lt;0.01),1,0)</x:f>
        <x:v>0</x:v>
      </x:c>
      <x:c r="R35" s="15" t="str">
        <x:f>IF(P35=1,"Estimated FIFO layers covered",IF(K35="","No original PO-price baseline","Insufficient dated receipt quantity"))</x:f>
        <x:v>No original PO-price baseline</x:v>
      </x:c>
      <x:c r="S35" s="15" t="n">
        <x:f>SUMIFS('PO detail'!$P$2:$P$672,'PO detail'!$A$2:$A$672,A35,'PO detail'!$B$2:$B$672,B35)</x:f>
        <x:v>0</x:v>
      </x:c>
      <x:c r="T35" s="1" t="str">
        <x:v>2013-05-20 00:00:00</x:v>
      </x:c>
      <x:c r="U35" s="1" t="str">
        <x:v>Receipt GL and reported valuation; inferred, PrcCostPer not supplied</x:v>
      </x:c>
      <x:c r="V35" s="13" t="n">
        <x:f>G35/I35</x:f>
        <x:v>0.3998</x:v>
      </x:c>
      <x:c r="W35" s="13" t="str">
        <x:f>IF(Q35=1,H35*(1+Summary!$J$5)/I35,"n.a.")</x:f>
        <x:v>n.a.</x:v>
      </x:c>
      <x:c r="X35" s="16" t="n">
        <x:f>D35*V35</x:f>
        <x:v>0</x:v>
      </x:c>
      <x:c r="Y35" s="16" t="n">
        <x:f>M35*V35</x:f>
        <x:v>0</x:v>
      </x:c>
      <x:c r="Z35" s="16" t="n">
        <x:f>N35*V35</x:f>
        <x:v>0</x:v>
      </x:c>
      <x:c r="AA35" s="16" t="n">
        <x:f>O35*V35</x:f>
        <x:v>0</x:v>
      </x:c>
      <x:c r="AB35" s="16" t="n">
        <x:f>J35-X35</x:f>
        <x:v>0</x:v>
      </x:c>
      <x:c r="AC35" s="16" t="str">
        <x:f>IF(ISNUMBER(W35),D35*(W35-V35),"n.a.")</x:f>
        <x:v>n.a.</x:v>
      </x:c>
      <x:c r="AD35" s="12" t="n">
        <x:f>F35-SUMIFS('PO detail'!$S$2:$S$672,'PO detail'!$A$2:$A$672,A35,'PO detail'!$B$2:$B$672,B35)</x:f>
        <x:v>0</x:v>
      </x:c>
    </x:row>
    <x:row r="36" ht="21" customHeight="1">
      <x:c r="A36" s="1" t="str">
        <x:v>10</x:v>
      </x:c>
      <x:c r="B36" s="1" t="str">
        <x:v>800BMARISC</x:v>
      </x:c>
      <x:c r="C36" s="1" t="str">
        <x:v>SOUTHWEST CONVERSION</x:v>
      </x:c>
      <x:c r="D36" s="8" t="n">
        <x:v>1900</x:v>
      </x:c>
      <x:c r="E36" s="8" t="n">
        <x:v>450</x:v>
      </x:c>
      <x:c r="F36" s="8" t="n">
        <x:v>0</x:v>
      </x:c>
      <x:c r="G36" s="9" t="n">
        <x:v>19.46</x:v>
      </x:c>
      <x:c r="H36" s="9" t="n">
        <x:v>0</x:v>
      </x:c>
      <x:c r="I36" s="1" t="n">
        <x:v>100</x:v>
      </x:c>
      <x:c r="J36" s="10" t="n">
        <x:v>369.74</x:v>
      </x:c>
      <x:c r="K36" s="9"/>
      <x:c r="L36" s="9"/>
      <x:c r="M36" s="11" t="n">
        <x:f>IF(P36=1,SUMIFS('PO detail'!$P$2:$P$672,'PO detail'!$A$2:$A$672,A36,'PO detail'!$B$2:$B$672,B36,'PO detail'!$K$2:$K$672,"&lt;="&amp;(K36*1.01)),0)</x:f>
        <x:v>0</x:v>
      </x:c>
      <x:c r="N36" s="11" t="n">
        <x:f>IF(P36=1,D36-M36,0)</x:f>
        <x:v>0</x:v>
      </x:c>
      <x:c r="O36" s="11" t="n">
        <x:f>D36-M36-N36</x:f>
        <x:v>1900</x:v>
      </x:c>
      <x:c r="P36" s="15" t="n">
        <x:f>IF(AND(K36&gt;0,ABS(D36-SUMIFS('PO detail'!$P$2:$P$672,'PO detail'!$A$2:$A$672,A36,'PO detail'!$B$2:$B$672,B36))&lt;0.01),1,0)</x:f>
        <x:v>0</x:v>
      </x:c>
      <x:c r="Q36" s="15" t="n">
        <x:f>IF(AND(L36&gt;0,H36&gt;0,ABS(H36-L36)&lt;0.01),1,0)</x:f>
        <x:v>0</x:v>
      </x:c>
      <x:c r="R36" s="15" t="str">
        <x:f>IF(P36=1,"Estimated FIFO layers covered",IF(K36="","No original PO-price baseline","Insufficient dated receipt quantity"))</x:f>
        <x:v>No original PO-price baseline</x:v>
      </x:c>
      <x:c r="S36" s="15" t="n">
        <x:f>SUMIFS('PO detail'!$P$2:$P$672,'PO detail'!$A$2:$A$672,A36,'PO detail'!$B$2:$B$672,B36)</x:f>
        <x:v>0</x:v>
      </x:c>
      <x:c r="T36" s="1" t="str">
        <x:v>2019-12-02 00:00:00</x:v>
      </x:c>
      <x:c r="U36" s="1" t="str">
        <x:v>Receipt GL and reported valuation; inferred, PrcCostPer not supplied</x:v>
      </x:c>
      <x:c r="V36" s="13" t="n">
        <x:f>G36/I36</x:f>
        <x:v>0.1946</x:v>
      </x:c>
      <x:c r="W36" s="13" t="str">
        <x:f>IF(Q36=1,H36*(1+Summary!$J$5)/I36,"n.a.")</x:f>
        <x:v>n.a.</x:v>
      </x:c>
      <x:c r="X36" s="16" t="n">
        <x:f>D36*V36</x:f>
        <x:v>369.74</x:v>
      </x:c>
      <x:c r="Y36" s="16" t="n">
        <x:f>M36*V36</x:f>
        <x:v>0</x:v>
      </x:c>
      <x:c r="Z36" s="16" t="n">
        <x:f>N36*V36</x:f>
        <x:v>0</x:v>
      </x:c>
      <x:c r="AA36" s="16" t="n">
        <x:f>O36*V36</x:f>
        <x:v>369.74</x:v>
      </x:c>
      <x:c r="AB36" s="16" t="n">
        <x:f>J36-X36</x:f>
        <x:v>0</x:v>
      </x:c>
      <x:c r="AC36" s="16" t="str">
        <x:f>IF(ISNUMBER(W36),D36*(W36-V36),"n.a.")</x:f>
        <x:v>n.a.</x:v>
      </x:c>
      <x:c r="AD36" s="12" t="n">
        <x:f>F36-SUMIFS('PO detail'!$S$2:$S$672,'PO detail'!$A$2:$A$672,A36,'PO detail'!$B$2:$B$672,B36)</x:f>
        <x:v>0</x:v>
      </x:c>
    </x:row>
    <x:row r="37" ht="21" customHeight="1">
      <x:c r="A37" s="1" t="str">
        <x:v>30</x:v>
      </x:c>
      <x:c r="B37" s="1" t="str">
        <x:v>800BNAVBRC</x:v>
      </x:c>
      <x:c r="C37" s="1" t="str">
        <x:v>SOUTHWEST CONVERSION</x:v>
      </x:c>
      <x:c r="D37" s="8" t="n">
        <x:v>1700</x:v>
      </x:c>
      <x:c r="E37" s="8" t="n">
        <x:v>400</x:v>
      </x:c>
      <x:c r="F37" s="8" t="n">
        <x:v>0</x:v>
      </x:c>
      <x:c r="G37" s="9" t="n">
        <x:v>17.37</x:v>
      </x:c>
      <x:c r="H37" s="9" t="n">
        <x:v>0</x:v>
      </x:c>
      <x:c r="I37" s="1" t="n">
        <x:v>100</x:v>
      </x:c>
      <x:c r="J37" s="10" t="n">
        <x:v>295.29</x:v>
      </x:c>
      <x:c r="K37" s="9"/>
      <x:c r="L37" s="9"/>
      <x:c r="M37" s="11" t="n">
        <x:f>IF(P37=1,SUMIFS('PO detail'!$P$2:$P$672,'PO detail'!$A$2:$A$672,A37,'PO detail'!$B$2:$B$672,B37,'PO detail'!$K$2:$K$672,"&lt;="&amp;(K37*1.01)),0)</x:f>
        <x:v>0</x:v>
      </x:c>
      <x:c r="N37" s="11" t="n">
        <x:f>IF(P37=1,D37-M37,0)</x:f>
        <x:v>0</x:v>
      </x:c>
      <x:c r="O37" s="11" t="n">
        <x:f>D37-M37-N37</x:f>
        <x:v>1700</x:v>
      </x:c>
      <x:c r="P37" s="15" t="n">
        <x:f>IF(AND(K37&gt;0,ABS(D37-SUMIFS('PO detail'!$P$2:$P$672,'PO detail'!$A$2:$A$672,A37,'PO detail'!$B$2:$B$672,B37))&lt;0.01),1,0)</x:f>
        <x:v>0</x:v>
      </x:c>
      <x:c r="Q37" s="15" t="n">
        <x:f>IF(AND(L37&gt;0,H37&gt;0,ABS(H37-L37)&lt;0.01),1,0)</x:f>
        <x:v>0</x:v>
      </x:c>
      <x:c r="R37" s="15" t="str">
        <x:f>IF(P37=1,"Estimated FIFO layers covered",IF(K37="","No original PO-price baseline","Insufficient dated receipt quantity"))</x:f>
        <x:v>No original PO-price baseline</x:v>
      </x:c>
      <x:c r="S37" s="15" t="n">
        <x:f>SUMIFS('PO detail'!$P$2:$P$672,'PO detail'!$A$2:$A$672,A37,'PO detail'!$B$2:$B$672,B37)</x:f>
        <x:v>0</x:v>
      </x:c>
      <x:c r="T37" s="1" t="str">
        <x:v>2026-06-17 00:00:00</x:v>
      </x:c>
      <x:c r="U37" s="1" t="str">
        <x:v>Receipt GL and reported valuation; inferred, PrcCostPer not supplied</x:v>
      </x:c>
      <x:c r="V37" s="13" t="n">
        <x:f>G37/I37</x:f>
        <x:v>0.17370000000000002</x:v>
      </x:c>
      <x:c r="W37" s="13" t="str">
        <x:f>IF(Q37=1,H37*(1+Summary!$J$5)/I37,"n.a.")</x:f>
        <x:v>n.a.</x:v>
      </x:c>
      <x:c r="X37" s="16" t="n">
        <x:f>D37*V37</x:f>
        <x:v>295.29</x:v>
      </x:c>
      <x:c r="Y37" s="16" t="n">
        <x:f>M37*V37</x:f>
        <x:v>0</x:v>
      </x:c>
      <x:c r="Z37" s="16" t="n">
        <x:f>N37*V37</x:f>
        <x:v>0</x:v>
      </x:c>
      <x:c r="AA37" s="16" t="n">
        <x:f>O37*V37</x:f>
        <x:v>295.29</x:v>
      </x:c>
      <x:c r="AB37" s="16" t="n">
        <x:f>J37-X37</x:f>
        <x:v>0</x:v>
      </x:c>
      <x:c r="AC37" s="16" t="str">
        <x:f>IF(ISNUMBER(W37),D37*(W37-V37),"n.a.")</x:f>
        <x:v>n.a.</x:v>
      </x:c>
      <x:c r="AD37" s="12" t="n">
        <x:f>F37-SUMIFS('PO detail'!$S$2:$S$672,'PO detail'!$A$2:$A$672,A37,'PO detail'!$B$2:$B$672,B37)</x:f>
        <x:v>0</x:v>
      </x:c>
    </x:row>
    <x:row r="38" ht="21" customHeight="1">
      <x:c r="A38" s="1" t="str">
        <x:v>10</x:v>
      </x:c>
      <x:c r="B38" s="1" t="str">
        <x:v>800BMARBRC</x:v>
      </x:c>
      <x:c r="C38" s="1" t="str">
        <x:v>SOUTHWEST CONVERSION</x:v>
      </x:c>
      <x:c r="D38" s="8" t="n">
        <x:v>3400</x:v>
      </x:c>
      <x:c r="E38" s="8" t="n">
        <x:v>375</x:v>
      </x:c>
      <x:c r="F38" s="8" t="n">
        <x:v>0</x:v>
      </x:c>
      <x:c r="G38" s="9" t="n">
        <x:v>19.96</x:v>
      </x:c>
      <x:c r="H38" s="9" t="n">
        <x:v>0</x:v>
      </x:c>
      <x:c r="I38" s="1" t="n">
        <x:v>100</x:v>
      </x:c>
      <x:c r="J38" s="10" t="n">
        <x:v>678.64</x:v>
      </x:c>
      <x:c r="K38" s="9"/>
      <x:c r="L38" s="9"/>
      <x:c r="M38" s="11" t="n">
        <x:f>IF(P38=1,SUMIFS('PO detail'!$P$2:$P$672,'PO detail'!$A$2:$A$672,A38,'PO detail'!$B$2:$B$672,B38,'PO detail'!$K$2:$K$672,"&lt;="&amp;(K38*1.01)),0)</x:f>
        <x:v>0</x:v>
      </x:c>
      <x:c r="N38" s="11" t="n">
        <x:f>IF(P38=1,D38-M38,0)</x:f>
        <x:v>0</x:v>
      </x:c>
      <x:c r="O38" s="11" t="n">
        <x:f>D38-M38-N38</x:f>
        <x:v>3400</x:v>
      </x:c>
      <x:c r="P38" s="15" t="n">
        <x:f>IF(AND(K38&gt;0,ABS(D38-SUMIFS('PO detail'!$P$2:$P$672,'PO detail'!$A$2:$A$672,A38,'PO detail'!$B$2:$B$672,B38))&lt;0.01),1,0)</x:f>
        <x:v>0</x:v>
      </x:c>
      <x:c r="Q38" s="15" t="n">
        <x:f>IF(AND(L38&gt;0,H38&gt;0,ABS(H38-L38)&lt;0.01),1,0)</x:f>
        <x:v>0</x:v>
      </x:c>
      <x:c r="R38" s="15" t="str">
        <x:f>IF(P38=1,"Estimated FIFO layers covered",IF(K38="","No original PO-price baseline","Insufficient dated receipt quantity"))</x:f>
        <x:v>No original PO-price baseline</x:v>
      </x:c>
      <x:c r="S38" s="15" t="n">
        <x:f>SUMIFS('PO detail'!$P$2:$P$672,'PO detail'!$A$2:$A$672,A38,'PO detail'!$B$2:$B$672,B38)</x:f>
        <x:v>0</x:v>
      </x:c>
      <x:c r="T38" s="1" t="str">
        <x:v>2024-02-08 00:00:00</x:v>
      </x:c>
      <x:c r="U38" s="1" t="str">
        <x:v>Receipt GL and reported valuation; inferred, PrcCostPer not supplied</x:v>
      </x:c>
      <x:c r="V38" s="13" t="n">
        <x:f>G38/I38</x:f>
        <x:v>0.1996</x:v>
      </x:c>
      <x:c r="W38" s="13" t="str">
        <x:f>IF(Q38=1,H38*(1+Summary!$J$5)/I38,"n.a.")</x:f>
        <x:v>n.a.</x:v>
      </x:c>
      <x:c r="X38" s="16" t="n">
        <x:f>D38*V38</x:f>
        <x:v>678.64</x:v>
      </x:c>
      <x:c r="Y38" s="16" t="n">
        <x:f>M38*V38</x:f>
        <x:v>0</x:v>
      </x:c>
      <x:c r="Z38" s="16" t="n">
        <x:f>N38*V38</x:f>
        <x:v>0</x:v>
      </x:c>
      <x:c r="AA38" s="16" t="n">
        <x:f>O38*V38</x:f>
        <x:v>678.64</x:v>
      </x:c>
      <x:c r="AB38" s="16" t="n">
        <x:f>J38-X38</x:f>
        <x:v>0</x:v>
      </x:c>
      <x:c r="AC38" s="16" t="str">
        <x:f>IF(ISNUMBER(W38),D38*(W38-V38),"n.a.")</x:f>
        <x:v>n.a.</x:v>
      </x:c>
      <x:c r="AD38" s="12" t="n">
        <x:f>F38-SUMIFS('PO detail'!$S$2:$S$672,'PO detail'!$A$2:$A$672,A38,'PO detail'!$B$2:$B$672,B38)</x:f>
        <x:v>0</x:v>
      </x:c>
    </x:row>
    <x:row r="39" ht="21" customHeight="1">
      <x:c r="A39" s="1" t="str">
        <x:v>30</x:v>
      </x:c>
      <x:c r="B39" s="1" t="str">
        <x:v>800BBLKBRC</x:v>
      </x:c>
      <x:c r="C39" s="1" t="str">
        <x:v>SOUTHWEST CONVERSION</x:v>
      </x:c>
      <x:c r="D39" s="8" t="n">
        <x:v>1900</x:v>
      </x:c>
      <x:c r="E39" s="8" t="n">
        <x:v>200</x:v>
      </x:c>
      <x:c r="F39" s="8" t="n">
        <x:v>0</x:v>
      </x:c>
      <x:c r="G39" s="9" t="n">
        <x:v>16.83</x:v>
      </x:c>
      <x:c r="H39" s="9" t="n">
        <x:v>0</x:v>
      </x:c>
      <x:c r="I39" s="1" t="n">
        <x:v>100</x:v>
      </x:c>
      <x:c r="J39" s="10" t="n">
        <x:v>319.77</x:v>
      </x:c>
      <x:c r="K39" s="9"/>
      <x:c r="L39" s="9"/>
      <x:c r="M39" s="11" t="n">
        <x:f>IF(P39=1,SUMIFS('PO detail'!$P$2:$P$672,'PO detail'!$A$2:$A$672,A39,'PO detail'!$B$2:$B$672,B39,'PO detail'!$K$2:$K$672,"&lt;="&amp;(K39*1.01)),0)</x:f>
        <x:v>0</x:v>
      </x:c>
      <x:c r="N39" s="11" t="n">
        <x:f>IF(P39=1,D39-M39,0)</x:f>
        <x:v>0</x:v>
      </x:c>
      <x:c r="O39" s="11" t="n">
        <x:f>D39-M39-N39</x:f>
        <x:v>1900</x:v>
      </x:c>
      <x:c r="P39" s="15" t="n">
        <x:f>IF(AND(K39&gt;0,ABS(D39-SUMIFS('PO detail'!$P$2:$P$672,'PO detail'!$A$2:$A$672,A39,'PO detail'!$B$2:$B$672,B39))&lt;0.01),1,0)</x:f>
        <x:v>0</x:v>
      </x:c>
      <x:c r="Q39" s="15" t="n">
        <x:f>IF(AND(L39&gt;0,H39&gt;0,ABS(H39-L39)&lt;0.01),1,0)</x:f>
        <x:v>0</x:v>
      </x:c>
      <x:c r="R39" s="15" t="str">
        <x:f>IF(P39=1,"Estimated FIFO layers covered",IF(K39="","No original PO-price baseline","Insufficient dated receipt quantity"))</x:f>
        <x:v>No original PO-price baseline</x:v>
      </x:c>
      <x:c r="S39" s="15" t="n">
        <x:f>SUMIFS('PO detail'!$P$2:$P$672,'PO detail'!$A$2:$A$672,A39,'PO detail'!$B$2:$B$672,B39)</x:f>
        <x:v>0</x:v>
      </x:c>
      <x:c r="T39" s="1" t="str">
        <x:v>2026-08-26 00:00:00</x:v>
      </x:c>
      <x:c r="U39" s="1" t="str">
        <x:v>Receipt GL and reported valuation; inferred, PrcCostPer not supplied</x:v>
      </x:c>
      <x:c r="V39" s="13" t="n">
        <x:f>G39/I39</x:f>
        <x:v>0.16829999999999998</x:v>
      </x:c>
      <x:c r="W39" s="13" t="str">
        <x:f>IF(Q39=1,H39*(1+Summary!$J$5)/I39,"n.a.")</x:f>
        <x:v>n.a.</x:v>
      </x:c>
      <x:c r="X39" s="16" t="n">
        <x:f>D39*V39</x:f>
        <x:v>319.77</x:v>
      </x:c>
      <x:c r="Y39" s="16" t="n">
        <x:f>M39*V39</x:f>
        <x:v>0</x:v>
      </x:c>
      <x:c r="Z39" s="16" t="n">
        <x:f>N39*V39</x:f>
        <x:v>0</x:v>
      </x:c>
      <x:c r="AA39" s="16" t="n">
        <x:f>O39*V39</x:f>
        <x:v>319.77</x:v>
      </x:c>
      <x:c r="AB39" s="16" t="n">
        <x:f>J39-X39</x:f>
        <x:v>0</x:v>
      </x:c>
      <x:c r="AC39" s="16" t="str">
        <x:f>IF(ISNUMBER(W39),D39*(W39-V39),"n.a.")</x:f>
        <x:v>n.a.</x:v>
      </x:c>
      <x:c r="AD39" s="12" t="n">
        <x:f>F39-SUMIFS('PO detail'!$S$2:$S$672,'PO detail'!$A$2:$A$672,A39,'PO detail'!$B$2:$B$672,B39)</x:f>
        <x:v>0</x:v>
      </x:c>
    </x:row>
    <x:row r="40" ht="21" customHeight="1">
      <x:c r="A40" s="1" t="str">
        <x:v>30</x:v>
      </x:c>
      <x:c r="B40" s="1" t="str">
        <x:v>800BNAVCSC</x:v>
      </x:c>
      <x:c r="C40" s="1" t="str">
        <x:v>SOUTHWEST CONVERSION</x:v>
      </x:c>
      <x:c r="D40" s="8" t="n">
        <x:v>200</x:v>
      </x:c>
      <x:c r="E40" s="8" t="n">
        <x:v>183.33</x:v>
      </x:c>
      <x:c r="F40" s="8" t="n">
        <x:v>0</x:v>
      </x:c>
      <x:c r="G40" s="9" t="n">
        <x:v>20.22</x:v>
      </x:c>
      <x:c r="H40" s="9" t="n">
        <x:v>0</x:v>
      </x:c>
      <x:c r="I40" s="1" t="n">
        <x:v>100</x:v>
      </x:c>
      <x:c r="J40" s="10" t="n">
        <x:v>40.44</x:v>
      </x:c>
      <x:c r="K40" s="9"/>
      <x:c r="L40" s="9"/>
      <x:c r="M40" s="11" t="n">
        <x:f>IF(P40=1,SUMIFS('PO detail'!$P$2:$P$672,'PO detail'!$A$2:$A$672,A40,'PO detail'!$B$2:$B$672,B40,'PO detail'!$K$2:$K$672,"&lt;="&amp;(K40*1.01)),0)</x:f>
        <x:v>0</x:v>
      </x:c>
      <x:c r="N40" s="11" t="n">
        <x:f>IF(P40=1,D40-M40,0)</x:f>
        <x:v>0</x:v>
      </x:c>
      <x:c r="O40" s="11" t="n">
        <x:f>D40-M40-N40</x:f>
        <x:v>200</x:v>
      </x:c>
      <x:c r="P40" s="15" t="n">
        <x:f>IF(AND(K40&gt;0,ABS(D40-SUMIFS('PO detail'!$P$2:$P$672,'PO detail'!$A$2:$A$672,A40,'PO detail'!$B$2:$B$672,B40))&lt;0.01),1,0)</x:f>
        <x:v>0</x:v>
      </x:c>
      <x:c r="Q40" s="15" t="n">
        <x:f>IF(AND(L40&gt;0,H40&gt;0,ABS(H40-L40)&lt;0.01),1,0)</x:f>
        <x:v>0</x:v>
      </x:c>
      <x:c r="R40" s="15" t="str">
        <x:f>IF(P40=1,"Estimated FIFO layers covered",IF(K40="","No original PO-price baseline","Insufficient dated receipt quantity"))</x:f>
        <x:v>No original PO-price baseline</x:v>
      </x:c>
      <x:c r="S40" s="15" t="n">
        <x:f>SUMIFS('PO detail'!$P$2:$P$672,'PO detail'!$A$2:$A$672,A40,'PO detail'!$B$2:$B$672,B40)</x:f>
        <x:v>0</x:v>
      </x:c>
      <x:c r="T40" s="1" t="str">
        <x:v>2026-06-17 00:00:00</x:v>
      </x:c>
      <x:c r="U40" s="1" t="str">
        <x:v>Receipt GL and reported valuation; inferred, PrcCostPer not supplied</x:v>
      </x:c>
      <x:c r="V40" s="13" t="n">
        <x:f>G40/I40</x:f>
        <x:v>0.2022</x:v>
      </x:c>
      <x:c r="W40" s="13" t="str">
        <x:f>IF(Q40=1,H40*(1+Summary!$J$5)/I40,"n.a.")</x:f>
        <x:v>n.a.</x:v>
      </x:c>
      <x:c r="X40" s="16" t="n">
        <x:f>D40*V40</x:f>
        <x:v>40.44</x:v>
      </x:c>
      <x:c r="Y40" s="16" t="n">
        <x:f>M40*V40</x:f>
        <x:v>0</x:v>
      </x:c>
      <x:c r="Z40" s="16" t="n">
        <x:f>N40*V40</x:f>
        <x:v>0</x:v>
      </x:c>
      <x:c r="AA40" s="16" t="n">
        <x:f>O40*V40</x:f>
        <x:v>40.44</x:v>
      </x:c>
      <x:c r="AB40" s="16" t="n">
        <x:f>J40-X40</x:f>
        <x:v>0</x:v>
      </x:c>
      <x:c r="AC40" s="16" t="str">
        <x:f>IF(ISNUMBER(W40),D40*(W40-V40),"n.a.")</x:f>
        <x:v>n.a.</x:v>
      </x:c>
      <x:c r="AD40" s="12" t="n">
        <x:f>F40-SUMIFS('PO detail'!$S$2:$S$672,'PO detail'!$A$2:$A$672,A40,'PO detail'!$B$2:$B$672,B40)</x:f>
        <x:v>0</x:v>
      </x:c>
    </x:row>
    <x:row r="41" ht="21" customHeight="1">
      <x:c r="A41" s="1" t="str">
        <x:v>10</x:v>
      </x:c>
      <x:c r="B41" s="1" t="str">
        <x:v>800MARE</x:v>
      </x:c>
      <x:c r="C41" s="1" t="str">
        <x:v>ECOLOGICAL FIBERS, INC</x:v>
      </x:c>
      <x:c r="D41" s="8" t="n">
        <x:v>1166</x:v>
      </x:c>
      <x:c r="E41" s="8" t="n">
        <x:v>172.33</x:v>
      </x:c>
      <x:c r="F41" s="8" t="n">
        <x:v>2500</x:v>
      </x:c>
      <x:c r="G41" s="9" t="n">
        <x:v>1291.29</x:v>
      </x:c>
      <x:c r="H41" s="9" t="n">
        <x:v>1285.1</x:v>
      </x:c>
      <x:c r="I41" s="1" t="n">
        <x:v>1000</x:v>
      </x:c>
      <x:c r="J41" s="10" t="n">
        <x:v>1505.6441399999999</x:v>
      </x:c>
      <x:c r="K41" s="9" t="n">
        <x:v>1229.8</x:v>
      </x:c>
      <x:c r="L41" s="9" t="n">
        <x:v>1285.1</x:v>
      </x:c>
      <x:c r="M41" s="11" t="n">
        <x:f>IF(P41=1,SUMIFS('PO detail'!$P$2:$P$672,'PO detail'!$A$2:$A$672,A41,'PO detail'!$B$2:$B$672,B41,'PO detail'!$K$2:$K$672,"&lt;="&amp;(K41*1.01)),0)</x:f>
        <x:v>1166</x:v>
      </x:c>
      <x:c r="N41" s="11" t="n">
        <x:f>IF(P41=1,D41-M41,0)</x:f>
        <x:v>0</x:v>
      </x:c>
      <x:c r="O41" s="11" t="n">
        <x:f>D41-M41-N41</x:f>
        <x:v>0</x:v>
      </x:c>
      <x:c r="P41" s="15" t="n">
        <x:f>IF(AND(K41&gt;0,ABS(D41-SUMIFS('PO detail'!$P$2:$P$672,'PO detail'!$A$2:$A$672,A41,'PO detail'!$B$2:$B$672,B41))&lt;0.01),1,0)</x:f>
        <x:v>1</x:v>
      </x:c>
      <x:c r="Q41" s="15" t="n">
        <x:f>IF(AND(L41&gt;0,H41&gt;0,ABS(H41-L41)&lt;0.01),1,0)</x:f>
        <x:v>1</x:v>
      </x:c>
      <x:c r="R41" s="15" t="str">
        <x:f>IF(P41=1,"Estimated FIFO layers covered",IF(K41="","No original PO-price baseline","Insufficient dated receipt quantity"))</x:f>
        <x:v>Estimated FIFO layers covered</x:v>
      </x:c>
      <x:c r="S41" s="15" t="n">
        <x:f>SUMIFS('PO detail'!$P$2:$P$672,'PO detail'!$A$2:$A$672,A41,'PO detail'!$B$2:$B$672,B41)</x:f>
        <x:v>1166</x:v>
      </x:c>
      <x:c r="T41" s="1" t="str">
        <x:v>2025-06-02 00:00:00</x:v>
      </x:c>
      <x:c r="U41" s="1" t="str">
        <x:v>Receipt GL and reported valuation; inferred, PrcCostPer not supplied</x:v>
      </x:c>
      <x:c r="V41" s="13" t="n">
        <x:f>G41/I41</x:f>
        <x:v>1.29129</x:v>
      </x:c>
      <x:c r="W41" s="13" t="n">
        <x:f>IF(Q41=1,H41*(1+Summary!$J$5)/I41,"n.a.")</x:f>
        <x:v>1.349355</x:v>
      </x:c>
      <x:c r="X41" s="16" t="n">
        <x:f>D41*V41</x:f>
        <x:v>1505.64414</x:v>
      </x:c>
      <x:c r="Y41" s="16" t="n">
        <x:f>M41*V41</x:f>
        <x:v>1505.64414</x:v>
      </x:c>
      <x:c r="Z41" s="16" t="n">
        <x:f>N41*V41</x:f>
        <x:v>0</x:v>
      </x:c>
      <x:c r="AA41" s="16" t="n">
        <x:f>O41*V41</x:f>
        <x:v>0</x:v>
      </x:c>
      <x:c r="AB41" s="16" t="n">
        <x:f>J41-X41</x:f>
        <x:v>-2.2737367544323206e-13</x:v>
      </x:c>
      <x:c r="AC41" s="16" t="n">
        <x:f>IF(ISNUMBER(W41),D41*(W41-V41),"n.a.")</x:f>
        <x:v>67.70379000000004</x:v>
      </x:c>
      <x:c r="AD41" s="12" t="n">
        <x:f>F41-SUMIFS('PO detail'!$S$2:$S$672,'PO detail'!$A$2:$A$672,A41,'PO detail'!$B$2:$B$672,B41)</x:f>
        <x:v>0</x:v>
      </x:c>
    </x:row>
    <x:row r="42" ht="21" customHeight="1">
      <x:c r="A42" s="1" t="str">
        <x:v>30</x:v>
      </x:c>
      <x:c r="B42" s="1" t="str">
        <x:v>800BMARBRC</x:v>
      </x:c>
      <x:c r="C42" s="1" t="str">
        <x:v>SOUTHWEST CONVERSION</x:v>
      </x:c>
      <x:c r="D42" s="8" t="n">
        <x:v>700</x:v>
      </x:c>
      <x:c r="E42" s="8" t="n">
        <x:v>166.67</x:v>
      </x:c>
      <x:c r="F42" s="8" t="n">
        <x:v>0</x:v>
      </x:c>
      <x:c r="G42" s="9" t="n">
        <x:v>19.96</x:v>
      </x:c>
      <x:c r="H42" s="9" t="n">
        <x:v>0</x:v>
      </x:c>
      <x:c r="I42" s="1" t="n">
        <x:v>100</x:v>
      </x:c>
      <x:c r="J42" s="10" t="n">
        <x:v>139.72</x:v>
      </x:c>
      <x:c r="K42" s="9"/>
      <x:c r="L42" s="9"/>
      <x:c r="M42" s="11" t="n">
        <x:f>IF(P42=1,SUMIFS('PO detail'!$P$2:$P$672,'PO detail'!$A$2:$A$672,A42,'PO detail'!$B$2:$B$672,B42,'PO detail'!$K$2:$K$672,"&lt;="&amp;(K42*1.01)),0)</x:f>
        <x:v>0</x:v>
      </x:c>
      <x:c r="N42" s="11" t="n">
        <x:f>IF(P42=1,D42-M42,0)</x:f>
        <x:v>0</x:v>
      </x:c>
      <x:c r="O42" s="11" t="n">
        <x:f>D42-M42-N42</x:f>
        <x:v>700</x:v>
      </x:c>
      <x:c r="P42" s="15" t="n">
        <x:f>IF(AND(K42&gt;0,ABS(D42-SUMIFS('PO detail'!$P$2:$P$672,'PO detail'!$A$2:$A$672,A42,'PO detail'!$B$2:$B$672,B42))&lt;0.01),1,0)</x:f>
        <x:v>0</x:v>
      </x:c>
      <x:c r="Q42" s="15" t="n">
        <x:f>IF(AND(L42&gt;0,H42&gt;0,ABS(H42-L42)&lt;0.01),1,0)</x:f>
        <x:v>0</x:v>
      </x:c>
      <x:c r="R42" s="15" t="str">
        <x:f>IF(P42=1,"Estimated FIFO layers covered",IF(K42="","No original PO-price baseline","Insufficient dated receipt quantity"))</x:f>
        <x:v>No original PO-price baseline</x:v>
      </x:c>
      <x:c r="S42" s="15" t="n">
        <x:f>SUMIFS('PO detail'!$P$2:$P$672,'PO detail'!$A$2:$A$672,A42,'PO detail'!$B$2:$B$672,B42)</x:f>
        <x:v>0</x:v>
      </x:c>
      <x:c r="T42" s="1" t="str">
        <x:v>2026-04-29 00:00:00</x:v>
      </x:c>
      <x:c r="U42" s="1" t="str">
        <x:v>Receipt GL and reported valuation; inferred, PrcCostPer not supplied</x:v>
      </x:c>
      <x:c r="V42" s="13" t="n">
        <x:f>G42/I42</x:f>
        <x:v>0.1996</x:v>
      </x:c>
      <x:c r="W42" s="13" t="str">
        <x:f>IF(Q42=1,H42*(1+Summary!$J$5)/I42,"n.a.")</x:f>
        <x:v>n.a.</x:v>
      </x:c>
      <x:c r="X42" s="16" t="n">
        <x:f>D42*V42</x:f>
        <x:v>139.72</x:v>
      </x:c>
      <x:c r="Y42" s="16" t="n">
        <x:f>M42*V42</x:f>
        <x:v>0</x:v>
      </x:c>
      <x:c r="Z42" s="16" t="n">
        <x:f>N42*V42</x:f>
        <x:v>0</x:v>
      </x:c>
      <x:c r="AA42" s="16" t="n">
        <x:f>O42*V42</x:f>
        <x:v>139.72</x:v>
      </x:c>
      <x:c r="AB42" s="16" t="n">
        <x:f>J42-X42</x:f>
        <x:v>0</x:v>
      </x:c>
      <x:c r="AC42" s="16" t="str">
        <x:f>IF(ISNUMBER(W42),D42*(W42-V42),"n.a.")</x:f>
        <x:v>n.a.</x:v>
      </x:c>
      <x:c r="AD42" s="12" t="n">
        <x:f>F42-SUMIFS('PO detail'!$S$2:$S$672,'PO detail'!$A$2:$A$672,A42,'PO detail'!$B$2:$B$672,B42)</x:f>
        <x:v>0</x:v>
      </x:c>
    </x:row>
    <x:row r="43" ht="21" customHeight="1">
      <x:c r="A43" s="1" t="str">
        <x:v>10</x:v>
      </x:c>
      <x:c r="B43" s="1" t="str">
        <x:v>800BMARCSC</x:v>
      </x:c>
      <x:c r="C43" s="1" t="str">
        <x:v>SOUTHWEST CONVERSION</x:v>
      </x:c>
      <x:c r="D43" s="8" t="n">
        <x:v>1400</x:v>
      </x:c>
      <x:c r="E43" s="8" t="n">
        <x:v>125</x:v>
      </x:c>
      <x:c r="F43" s="8" t="n">
        <x:v>0</x:v>
      </x:c>
      <x:c r="G43" s="9" t="n">
        <x:v>23.33</x:v>
      </x:c>
      <x:c r="H43" s="9" t="n">
        <x:v>0</x:v>
      </x:c>
      <x:c r="I43" s="1" t="n">
        <x:v>100</x:v>
      </x:c>
      <x:c r="J43" s="10" t="n">
        <x:v>326.61999999999995</x:v>
      </x:c>
      <x:c r="K43" s="9"/>
      <x:c r="L43" s="9"/>
      <x:c r="M43" s="11" t="n">
        <x:f>IF(P43=1,SUMIFS('PO detail'!$P$2:$P$672,'PO detail'!$A$2:$A$672,A43,'PO detail'!$B$2:$B$672,B43,'PO detail'!$K$2:$K$672,"&lt;="&amp;(K43*1.01)),0)</x:f>
        <x:v>0</x:v>
      </x:c>
      <x:c r="N43" s="11" t="n">
        <x:f>IF(P43=1,D43-M43,0)</x:f>
        <x:v>0</x:v>
      </x:c>
      <x:c r="O43" s="11" t="n">
        <x:f>D43-M43-N43</x:f>
        <x:v>1400</x:v>
      </x:c>
      <x:c r="P43" s="15" t="n">
        <x:f>IF(AND(K43&gt;0,ABS(D43-SUMIFS('PO detail'!$P$2:$P$672,'PO detail'!$A$2:$A$672,A43,'PO detail'!$B$2:$B$672,B43))&lt;0.01),1,0)</x:f>
        <x:v>0</x:v>
      </x:c>
      <x:c r="Q43" s="15" t="n">
        <x:f>IF(AND(L43&gt;0,H43&gt;0,ABS(H43-L43)&lt;0.01),1,0)</x:f>
        <x:v>0</x:v>
      </x:c>
      <x:c r="R43" s="15" t="str">
        <x:f>IF(P43=1,"Estimated FIFO layers covered",IF(K43="","No original PO-price baseline","Insufficient dated receipt quantity"))</x:f>
        <x:v>No original PO-price baseline</x:v>
      </x:c>
      <x:c r="S43" s="15" t="n">
        <x:f>SUMIFS('PO detail'!$P$2:$P$672,'PO detail'!$A$2:$A$672,A43,'PO detail'!$B$2:$B$672,B43)</x:f>
        <x:v>0</x:v>
      </x:c>
      <x:c r="T43" s="1" t="str">
        <x:v>2010-10-12 00:00:00</x:v>
      </x:c>
      <x:c r="U43" s="1" t="str">
        <x:v>Receipt GL and reported valuation; inferred, PrcCostPer not supplied</x:v>
      </x:c>
      <x:c r="V43" s="13" t="n">
        <x:f>G43/I43</x:f>
        <x:v>0.23329999999999998</x:v>
      </x:c>
      <x:c r="W43" s="13" t="str">
        <x:f>IF(Q43=1,H43*(1+Summary!$J$5)/I43,"n.a.")</x:f>
        <x:v>n.a.</x:v>
      </x:c>
      <x:c r="X43" s="16" t="n">
        <x:f>D43*V43</x:f>
        <x:v>326.61999999999995</x:v>
      </x:c>
      <x:c r="Y43" s="16" t="n">
        <x:f>M43*V43</x:f>
        <x:v>0</x:v>
      </x:c>
      <x:c r="Z43" s="16" t="n">
        <x:f>N43*V43</x:f>
        <x:v>0</x:v>
      </x:c>
      <x:c r="AA43" s="16" t="n">
        <x:f>O43*V43</x:f>
        <x:v>326.61999999999995</x:v>
      </x:c>
      <x:c r="AB43" s="16" t="n">
        <x:f>J43-X43</x:f>
        <x:v>0</x:v>
      </x:c>
      <x:c r="AC43" s="16" t="str">
        <x:f>IF(ISNUMBER(W43),D43*(W43-V43),"n.a.")</x:f>
        <x:v>n.a.</x:v>
      </x:c>
      <x:c r="AD43" s="12" t="n">
        <x:f>F43-SUMIFS('PO detail'!$S$2:$S$672,'PO detail'!$A$2:$A$672,A43,'PO detail'!$B$2:$B$672,B43)</x:f>
        <x:v>0</x:v>
      </x:c>
    </x:row>
    <x:row r="44" ht="21" customHeight="1">
      <x:c r="A44" s="1" t="str">
        <x:v>30</x:v>
      </x:c>
      <x:c r="B44" s="1" t="str">
        <x:v>800BMARISC</x:v>
      </x:c>
      <x:c r="C44" s="1" t="str">
        <x:v>SOUTHWEST CONVERSION</x:v>
      </x:c>
      <x:c r="D44" s="8" t="n">
        <x:v>2300</x:v>
      </x:c>
      <x:c r="E44" s="8" t="n">
        <x:v>108.33</x:v>
      </x:c>
      <x:c r="F44" s="8" t="n">
        <x:v>0</x:v>
      </x:c>
      <x:c r="G44" s="9" t="n">
        <x:v>19.46</x:v>
      </x:c>
      <x:c r="H44" s="9" t="n">
        <x:v>0</x:v>
      </x:c>
      <x:c r="I44" s="1" t="n">
        <x:v>100</x:v>
      </x:c>
      <x:c r="J44" s="10" t="n">
        <x:v>447.58</x:v>
      </x:c>
      <x:c r="K44" s="9"/>
      <x:c r="L44" s="9"/>
      <x:c r="M44" s="11" t="n">
        <x:f>IF(P44=1,SUMIFS('PO detail'!$P$2:$P$672,'PO detail'!$A$2:$A$672,A44,'PO detail'!$B$2:$B$672,B44,'PO detail'!$K$2:$K$672,"&lt;="&amp;(K44*1.01)),0)</x:f>
        <x:v>0</x:v>
      </x:c>
      <x:c r="N44" s="11" t="n">
        <x:f>IF(P44=1,D44-M44,0)</x:f>
        <x:v>0</x:v>
      </x:c>
      <x:c r="O44" s="11" t="n">
        <x:f>D44-M44-N44</x:f>
        <x:v>2300</x:v>
      </x:c>
      <x:c r="P44" s="15" t="n">
        <x:f>IF(AND(K44&gt;0,ABS(D44-SUMIFS('PO detail'!$P$2:$P$672,'PO detail'!$A$2:$A$672,A44,'PO detail'!$B$2:$B$672,B44))&lt;0.01),1,0)</x:f>
        <x:v>0</x:v>
      </x:c>
      <x:c r="Q44" s="15" t="n">
        <x:f>IF(AND(L44&gt;0,H44&gt;0,ABS(H44-L44)&lt;0.01),1,0)</x:f>
        <x:v>0</x:v>
      </x:c>
      <x:c r="R44" s="15" t="str">
        <x:f>IF(P44=1,"Estimated FIFO layers covered",IF(K44="","No original PO-price baseline","Insufficient dated receipt quantity"))</x:f>
        <x:v>No original PO-price baseline</x:v>
      </x:c>
      <x:c r="S44" s="15" t="n">
        <x:f>SUMIFS('PO detail'!$P$2:$P$672,'PO detail'!$A$2:$A$672,A44,'PO detail'!$B$2:$B$672,B44)</x:f>
        <x:v>0</x:v>
      </x:c>
      <x:c r="T44" s="1" t="str">
        <x:v>2026-08-26 00:00:00</x:v>
      </x:c>
      <x:c r="U44" s="1" t="str">
        <x:v>Receipt GL and reported valuation; inferred, PrcCostPer not supplied</x:v>
      </x:c>
      <x:c r="V44" s="13" t="n">
        <x:f>G44/I44</x:f>
        <x:v>0.1946</x:v>
      </x:c>
      <x:c r="W44" s="13" t="str">
        <x:f>IF(Q44=1,H44*(1+Summary!$J$5)/I44,"n.a.")</x:f>
        <x:v>n.a.</x:v>
      </x:c>
      <x:c r="X44" s="16" t="n">
        <x:f>D44*V44</x:f>
        <x:v>447.58</x:v>
      </x:c>
      <x:c r="Y44" s="16" t="n">
        <x:f>M44*V44</x:f>
        <x:v>0</x:v>
      </x:c>
      <x:c r="Z44" s="16" t="n">
        <x:f>N44*V44</x:f>
        <x:v>0</x:v>
      </x:c>
      <x:c r="AA44" s="16" t="n">
        <x:f>O44*V44</x:f>
        <x:v>447.58</x:v>
      </x:c>
      <x:c r="AB44" s="16" t="n">
        <x:f>J44-X44</x:f>
        <x:v>0</x:v>
      </x:c>
      <x:c r="AC44" s="16" t="str">
        <x:f>IF(ISNUMBER(W44),D44*(W44-V44),"n.a.")</x:f>
        <x:v>n.a.</x:v>
      </x:c>
      <x:c r="AD44" s="12" t="n">
        <x:f>F44-SUMIFS('PO detail'!$S$2:$S$672,'PO detail'!$A$2:$A$672,A44,'PO detail'!$B$2:$B$672,B44)</x:f>
        <x:v>0</x:v>
      </x:c>
    </x:row>
    <x:row r="45" ht="21" customHeight="1">
      <x:c r="A45" s="1" t="str">
        <x:v>30</x:v>
      </x:c>
      <x:c r="B45" s="1" t="str">
        <x:v>800BNAVDSC</x:v>
      </x:c>
      <x:c r="C45" s="1" t="str">
        <x:v>SOUTHWEST CONVERSION</x:v>
      </x:c>
      <x:c r="D45" s="8" t="n">
        <x:v>1200</x:v>
      </x:c>
      <x:c r="E45" s="8" t="n">
        <x:v>108.33</x:v>
      </x:c>
      <x:c r="F45" s="8" t="n">
        <x:v>0</x:v>
      </x:c>
      <x:c r="G45" s="9" t="n">
        <x:v>34.51</x:v>
      </x:c>
      <x:c r="H45" s="9" t="n">
        <x:v>0</x:v>
      </x:c>
      <x:c r="I45" s="1" t="n">
        <x:v>100</x:v>
      </x:c>
      <x:c r="J45" s="10" t="n">
        <x:v>414.12</x:v>
      </x:c>
      <x:c r="K45" s="9"/>
      <x:c r="L45" s="9"/>
      <x:c r="M45" s="11" t="n">
        <x:f>IF(P45=1,SUMIFS('PO detail'!$P$2:$P$672,'PO detail'!$A$2:$A$672,A45,'PO detail'!$B$2:$B$672,B45,'PO detail'!$K$2:$K$672,"&lt;="&amp;(K45*1.01)),0)</x:f>
        <x:v>0</x:v>
      </x:c>
      <x:c r="N45" s="11" t="n">
        <x:f>IF(P45=1,D45-M45,0)</x:f>
        <x:v>0</x:v>
      </x:c>
      <x:c r="O45" s="11" t="n">
        <x:f>D45-M45-N45</x:f>
        <x:v>1200</x:v>
      </x:c>
      <x:c r="P45" s="15" t="n">
        <x:f>IF(AND(K45&gt;0,ABS(D45-SUMIFS('PO detail'!$P$2:$P$672,'PO detail'!$A$2:$A$672,A45,'PO detail'!$B$2:$B$672,B45))&lt;0.01),1,0)</x:f>
        <x:v>0</x:v>
      </x:c>
      <x:c r="Q45" s="15" t="n">
        <x:f>IF(AND(L45&gt;0,H45&gt;0,ABS(H45-L45)&lt;0.01),1,0)</x:f>
        <x:v>0</x:v>
      </x:c>
      <x:c r="R45" s="15" t="str">
        <x:f>IF(P45=1,"Estimated FIFO layers covered",IF(K45="","No original PO-price baseline","Insufficient dated receipt quantity"))</x:f>
        <x:v>No original PO-price baseline</x:v>
      </x:c>
      <x:c r="S45" s="15" t="n">
        <x:f>SUMIFS('PO detail'!$P$2:$P$672,'PO detail'!$A$2:$A$672,A45,'PO detail'!$B$2:$B$672,B45)</x:f>
        <x:v>0</x:v>
      </x:c>
      <x:c r="T45" s="1" t="str">
        <x:v>2026-06-17 00:00:00</x:v>
      </x:c>
      <x:c r="U45" s="1" t="str">
        <x:v>Receipt GL and reported valuation; inferred, PrcCostPer not supplied</x:v>
      </x:c>
      <x:c r="V45" s="13" t="n">
        <x:f>G45/I45</x:f>
        <x:v>0.34509999999999996</x:v>
      </x:c>
      <x:c r="W45" s="13" t="str">
        <x:f>IF(Q45=1,H45*(1+Summary!$J$5)/I45,"n.a.")</x:f>
        <x:v>n.a.</x:v>
      </x:c>
      <x:c r="X45" s="16" t="n">
        <x:f>D45*V45</x:f>
        <x:v>414.11999999999995</x:v>
      </x:c>
      <x:c r="Y45" s="16" t="n">
        <x:f>M45*V45</x:f>
        <x:v>0</x:v>
      </x:c>
      <x:c r="Z45" s="16" t="n">
        <x:f>N45*V45</x:f>
        <x:v>0</x:v>
      </x:c>
      <x:c r="AA45" s="16" t="n">
        <x:f>O45*V45</x:f>
        <x:v>414.11999999999995</x:v>
      </x:c>
      <x:c r="AB45" s="16" t="n">
        <x:f>J45-X45</x:f>
        <x:v>5.684341886080802e-14</x:v>
      </x:c>
      <x:c r="AC45" s="16" t="str">
        <x:f>IF(ISNUMBER(W45),D45*(W45-V45),"n.a.")</x:f>
        <x:v>n.a.</x:v>
      </x:c>
      <x:c r="AD45" s="12" t="n">
        <x:f>F45-SUMIFS('PO detail'!$S$2:$S$672,'PO detail'!$A$2:$A$672,A45,'PO detail'!$B$2:$B$672,B45)</x:f>
        <x:v>0</x:v>
      </x:c>
    </x:row>
    <x:row r="46" ht="21" customHeight="1">
      <x:c r="A46" s="1" t="str">
        <x:v>60</x:v>
      </x:c>
      <x:c r="B46" s="1" t="str">
        <x:v>800BMARBRC</x:v>
      </x:c>
      <x:c r="C46" s="1" t="str">
        <x:v>SOUTHWEST CONVERSION</x:v>
      </x:c>
      <x:c r="D46" s="8" t="n">
        <x:v>1400</x:v>
      </x:c>
      <x:c r="E46" s="8" t="n">
        <x:v>108.33</x:v>
      </x:c>
      <x:c r="F46" s="8" t="n">
        <x:v>0</x:v>
      </x:c>
      <x:c r="G46" s="9" t="n">
        <x:v>19.96</x:v>
      </x:c>
      <x:c r="H46" s="9" t="n">
        <x:v>0</x:v>
      </x:c>
      <x:c r="I46" s="1" t="n">
        <x:v>100</x:v>
      </x:c>
      <x:c r="J46" s="10" t="n">
        <x:v>279.44</x:v>
      </x:c>
      <x:c r="K46" s="9"/>
      <x:c r="L46" s="9"/>
      <x:c r="M46" s="11" t="n">
        <x:f>IF(P46=1,SUMIFS('PO detail'!$P$2:$P$672,'PO detail'!$A$2:$A$672,A46,'PO detail'!$B$2:$B$672,B46,'PO detail'!$K$2:$K$672,"&lt;="&amp;(K46*1.01)),0)</x:f>
        <x:v>0</x:v>
      </x:c>
      <x:c r="N46" s="11" t="n">
        <x:f>IF(P46=1,D46-M46,0)</x:f>
        <x:v>0</x:v>
      </x:c>
      <x:c r="O46" s="11" t="n">
        <x:f>D46-M46-N46</x:f>
        <x:v>1400</x:v>
      </x:c>
      <x:c r="P46" s="15" t="n">
        <x:f>IF(AND(K46&gt;0,ABS(D46-SUMIFS('PO detail'!$P$2:$P$672,'PO detail'!$A$2:$A$672,A46,'PO detail'!$B$2:$B$672,B46))&lt;0.01),1,0)</x:f>
        <x:v>0</x:v>
      </x:c>
      <x:c r="Q46" s="15" t="n">
        <x:f>IF(AND(L46&gt;0,H46&gt;0,ABS(H46-L46)&lt;0.01),1,0)</x:f>
        <x:v>0</x:v>
      </x:c>
      <x:c r="R46" s="15" t="str">
        <x:f>IF(P46=1,"Estimated FIFO layers covered",IF(K46="","No original PO-price baseline","Insufficient dated receipt quantity"))</x:f>
        <x:v>No original PO-price baseline</x:v>
      </x:c>
      <x:c r="S46" s="15" t="n">
        <x:f>SUMIFS('PO detail'!$P$2:$P$672,'PO detail'!$A$2:$A$672,A46,'PO detail'!$B$2:$B$672,B46)</x:f>
        <x:v>0</x:v>
      </x:c>
      <x:c r="T46" s="1" t="str">
        <x:v>2017-10-09 00:00:00</x:v>
      </x:c>
      <x:c r="U46" s="1" t="str">
        <x:v>Receipt GL and reported valuation; inferred, PrcCostPer not supplied</x:v>
      </x:c>
      <x:c r="V46" s="13" t="n">
        <x:f>G46/I46</x:f>
        <x:v>0.1996</x:v>
      </x:c>
      <x:c r="W46" s="13" t="str">
        <x:f>IF(Q46=1,H46*(1+Summary!$J$5)/I46,"n.a.")</x:f>
        <x:v>n.a.</x:v>
      </x:c>
      <x:c r="X46" s="16" t="n">
        <x:f>D46*V46</x:f>
        <x:v>279.44</x:v>
      </x:c>
      <x:c r="Y46" s="16" t="n">
        <x:f>M46*V46</x:f>
        <x:v>0</x:v>
      </x:c>
      <x:c r="Z46" s="16" t="n">
        <x:f>N46*V46</x:f>
        <x:v>0</x:v>
      </x:c>
      <x:c r="AA46" s="16" t="n">
        <x:f>O46*V46</x:f>
        <x:v>279.44</x:v>
      </x:c>
      <x:c r="AB46" s="16" t="n">
        <x:f>J46-X46</x:f>
        <x:v>0</x:v>
      </x:c>
      <x:c r="AC46" s="16" t="str">
        <x:f>IF(ISNUMBER(W46),D46*(W46-V46),"n.a.")</x:f>
        <x:v>n.a.</x:v>
      </x:c>
      <x:c r="AD46" s="12" t="n">
        <x:f>F46-SUMIFS('PO detail'!$S$2:$S$672,'PO detail'!$A$2:$A$672,A46,'PO detail'!$B$2:$B$672,B46)</x:f>
        <x:v>0</x:v>
      </x:c>
    </x:row>
    <x:row r="47" ht="21" customHeight="1">
      <x:c r="A47" s="1" t="str">
        <x:v>60</x:v>
      </x:c>
      <x:c r="B47" s="1" t="str">
        <x:v>800MARE</x:v>
      </x:c>
      <x:c r="C47" s="1" t="str">
        <x:v>ECOLOGICAL FIBERS, INC</x:v>
      </x:c>
      <x:c r="D47" s="8" t="n">
        <x:v>2682</x:v>
      </x:c>
      <x:c r="E47" s="8" t="n">
        <x:v>100</x:v>
      </x:c>
      <x:c r="F47" s="8" t="n">
        <x:v>0</x:v>
      </x:c>
      <x:c r="G47" s="9" t="n">
        <x:v>1291.29</x:v>
      </x:c>
      <x:c r="H47" s="9" t="n">
        <x:v>1285.1</x:v>
      </x:c>
      <x:c r="I47" s="1" t="n">
        <x:v>1000</x:v>
      </x:c>
      <x:c r="J47" s="10" t="n">
        <x:v>3463.23978</x:v>
      </x:c>
      <x:c r="K47" s="9" t="n">
        <x:v>1229.8</x:v>
      </x:c>
      <x:c r="L47" s="9" t="n">
        <x:v>1285.1</x:v>
      </x:c>
      <x:c r="M47" s="11" t="n">
        <x:f>IF(P47=1,SUMIFS('PO detail'!$P$2:$P$672,'PO detail'!$A$2:$A$672,A47,'PO detail'!$B$2:$B$672,B47,'PO detail'!$K$2:$K$672,"&lt;="&amp;(K47*1.01)),0)</x:f>
        <x:v>2682</x:v>
      </x:c>
      <x:c r="N47" s="11" t="n">
        <x:f>IF(P47=1,D47-M47,0)</x:f>
        <x:v>0</x:v>
      </x:c>
      <x:c r="O47" s="11" t="n">
        <x:f>D47-M47-N47</x:f>
        <x:v>0</x:v>
      </x:c>
      <x:c r="P47" s="15" t="n">
        <x:f>IF(AND(K47&gt;0,ABS(D47-SUMIFS('PO detail'!$P$2:$P$672,'PO detail'!$A$2:$A$672,A47,'PO detail'!$B$2:$B$672,B47))&lt;0.01),1,0)</x:f>
        <x:v>1</x:v>
      </x:c>
      <x:c r="Q47" s="15" t="n">
        <x:f>IF(AND(L47&gt;0,H47&gt;0,ABS(H47-L47)&lt;0.01),1,0)</x:f>
        <x:v>1</x:v>
      </x:c>
      <x:c r="R47" s="15" t="str">
        <x:f>IF(P47=1,"Estimated FIFO layers covered",IF(K47="","No original PO-price baseline","Insufficient dated receipt quantity"))</x:f>
        <x:v>Estimated FIFO layers covered</x:v>
      </x:c>
      <x:c r="S47" s="15" t="n">
        <x:f>SUMIFS('PO detail'!$P$2:$P$672,'PO detail'!$A$2:$A$672,A47,'PO detail'!$B$2:$B$672,B47)</x:f>
        <x:v>2682</x:v>
      </x:c>
      <x:c r="T47" s="1" t="str">
        <x:v>2026-06-09 00:00:00</x:v>
      </x:c>
      <x:c r="U47" s="1" t="str">
        <x:v>Receipt GL and reported valuation; inferred, PrcCostPer not supplied</x:v>
      </x:c>
      <x:c r="V47" s="13" t="n">
        <x:f>G47/I47</x:f>
        <x:v>1.29129</x:v>
      </x:c>
      <x:c r="W47" s="13" t="n">
        <x:f>IF(Q47=1,H47*(1+Summary!$J$5)/I47,"n.a.")</x:f>
        <x:v>1.349355</x:v>
      </x:c>
      <x:c r="X47" s="16" t="n">
        <x:f>D47*V47</x:f>
        <x:v>3463.2397800000003</x:v>
      </x:c>
      <x:c r="Y47" s="16" t="n">
        <x:f>M47*V47</x:f>
        <x:v>3463.2397800000003</x:v>
      </x:c>
      <x:c r="Z47" s="16" t="n">
        <x:f>N47*V47</x:f>
        <x:v>0</x:v>
      </x:c>
      <x:c r="AA47" s="16" t="n">
        <x:f>O47*V47</x:f>
        <x:v>0</x:v>
      </x:c>
      <x:c r="AB47" s="16" t="n">
        <x:f>J47-X47</x:f>
        <x:v>-4.547473508864641e-13</x:v>
      </x:c>
      <x:c r="AC47" s="16" t="n">
        <x:f>IF(ISNUMBER(W47),D47*(W47-V47),"n.a.")</x:f>
        <x:v>155.7303300000001</x:v>
      </x:c>
      <x:c r="AD47" s="12" t="n">
        <x:f>F47-SUMIFS('PO detail'!$S$2:$S$672,'PO detail'!$A$2:$A$672,A47,'PO detail'!$B$2:$B$672,B47)</x:f>
        <x:v>0</x:v>
      </x:c>
    </x:row>
    <x:row r="48" ht="21" customHeight="1">
      <x:c r="A48" s="1" t="str">
        <x:v>60</x:v>
      </x:c>
      <x:c r="B48" s="1" t="str">
        <x:v>800BMARISC</x:v>
      </x:c>
      <x:c r="C48" s="1" t="str">
        <x:v>SOUTHWEST CONVERSION</x:v>
      </x:c>
      <x:c r="D48" s="8" t="n">
        <x:v>800</x:v>
      </x:c>
      <x:c r="E48" s="8" t="n">
        <x:v>58.33</x:v>
      </x:c>
      <x:c r="F48" s="8" t="n">
        <x:v>0</x:v>
      </x:c>
      <x:c r="G48" s="9" t="n">
        <x:v>19.46</x:v>
      </x:c>
      <x:c r="H48" s="9" t="n">
        <x:v>0</x:v>
      </x:c>
      <x:c r="I48" s="1" t="n">
        <x:v>100</x:v>
      </x:c>
      <x:c r="J48" s="10" t="n">
        <x:v>155.68</x:v>
      </x:c>
      <x:c r="K48" s="9"/>
      <x:c r="L48" s="9"/>
      <x:c r="M48" s="11" t="n">
        <x:f>IF(P48=1,SUMIFS('PO detail'!$P$2:$P$672,'PO detail'!$A$2:$A$672,A48,'PO detail'!$B$2:$B$672,B48,'PO detail'!$K$2:$K$672,"&lt;="&amp;(K48*1.01)),0)</x:f>
        <x:v>0</x:v>
      </x:c>
      <x:c r="N48" s="11" t="n">
        <x:f>IF(P48=1,D48-M48,0)</x:f>
        <x:v>0</x:v>
      </x:c>
      <x:c r="O48" s="11" t="n">
        <x:f>D48-M48-N48</x:f>
        <x:v>800</x:v>
      </x:c>
      <x:c r="P48" s="15" t="n">
        <x:f>IF(AND(K48&gt;0,ABS(D48-SUMIFS('PO detail'!$P$2:$P$672,'PO detail'!$A$2:$A$672,A48,'PO detail'!$B$2:$B$672,B48))&lt;0.01),1,0)</x:f>
        <x:v>0</x:v>
      </x:c>
      <x:c r="Q48" s="15" t="n">
        <x:f>IF(AND(L48&gt;0,H48&gt;0,ABS(H48-L48)&lt;0.01),1,0)</x:f>
        <x:v>0</x:v>
      </x:c>
      <x:c r="R48" s="15" t="str">
        <x:f>IF(P48=1,"Estimated FIFO layers covered",IF(K48="","No original PO-price baseline","Insufficient dated receipt quantity"))</x:f>
        <x:v>No original PO-price baseline</x:v>
      </x:c>
      <x:c r="S48" s="15" t="n">
        <x:f>SUMIFS('PO detail'!$P$2:$P$672,'PO detail'!$A$2:$A$672,A48,'PO detail'!$B$2:$B$672,B48)</x:f>
        <x:v>0</x:v>
      </x:c>
      <x:c r="T48" s="1" t="str">
        <x:v>2014-01-02 00:00:00</x:v>
      </x:c>
      <x:c r="U48" s="1" t="str">
        <x:v>Receipt GL and reported valuation; inferred, PrcCostPer not supplied</x:v>
      </x:c>
      <x:c r="V48" s="13" t="n">
        <x:f>G48/I48</x:f>
        <x:v>0.1946</x:v>
      </x:c>
      <x:c r="W48" s="13" t="str">
        <x:f>IF(Q48=1,H48*(1+Summary!$J$5)/I48,"n.a.")</x:f>
        <x:v>n.a.</x:v>
      </x:c>
      <x:c r="X48" s="16" t="n">
        <x:f>D48*V48</x:f>
        <x:v>155.68</x:v>
      </x:c>
      <x:c r="Y48" s="16" t="n">
        <x:f>M48*V48</x:f>
        <x:v>0</x:v>
      </x:c>
      <x:c r="Z48" s="16" t="n">
        <x:f>N48*V48</x:f>
        <x:v>0</x:v>
      </x:c>
      <x:c r="AA48" s="16" t="n">
        <x:f>O48*V48</x:f>
        <x:v>155.68</x:v>
      </x:c>
      <x:c r="AB48" s="16" t="n">
        <x:f>J48-X48</x:f>
        <x:v>0</x:v>
      </x:c>
      <x:c r="AC48" s="16" t="str">
        <x:f>IF(ISNUMBER(W48),D48*(W48-V48),"n.a.")</x:f>
        <x:v>n.a.</x:v>
      </x:c>
      <x:c r="AD48" s="12" t="n">
        <x:f>F48-SUMIFS('PO detail'!$S$2:$S$672,'PO detail'!$A$2:$A$672,A48,'PO detail'!$B$2:$B$672,B48)</x:f>
        <x:v>0</x:v>
      </x:c>
    </x:row>
    <x:row r="49" ht="21" customHeight="1">
      <x:c r="A49" s="1" t="str">
        <x:v>10</x:v>
      </x:c>
      <x:c r="B49" s="1" t="str">
        <x:v>800WBLKASC</x:v>
      </x:c>
      <x:c r="C49" s="1" t="str">
        <x:v>SOUTHWEST CONVERSION</x:v>
      </x:c>
      <x:c r="D49" s="8" t="n">
        <x:v>1300</x:v>
      </x:c>
      <x:c r="E49" s="8" t="n">
        <x:v>50</x:v>
      </x:c>
      <x:c r="F49" s="8" t="n">
        <x:v>0</x:v>
      </x:c>
      <x:c r="G49" s="9" t="n">
        <x:v>11.1</x:v>
      </x:c>
      <x:c r="H49" s="9" t="n">
        <x:v>0</x:v>
      </x:c>
      <x:c r="I49" s="1" t="n">
        <x:v>100</x:v>
      </x:c>
      <x:c r="J49" s="10" t="n">
        <x:v>144.3</x:v>
      </x:c>
      <x:c r="K49" s="9"/>
      <x:c r="L49" s="9"/>
      <x:c r="M49" s="11" t="n">
        <x:f>IF(P49=1,SUMIFS('PO detail'!$P$2:$P$672,'PO detail'!$A$2:$A$672,A49,'PO detail'!$B$2:$B$672,B49,'PO detail'!$K$2:$K$672,"&lt;="&amp;(K49*1.01)),0)</x:f>
        <x:v>0</x:v>
      </x:c>
      <x:c r="N49" s="11" t="n">
        <x:f>IF(P49=1,D49-M49,0)</x:f>
        <x:v>0</x:v>
      </x:c>
      <x:c r="O49" s="11" t="n">
        <x:f>D49-M49-N49</x:f>
        <x:v>1300</x:v>
      </x:c>
      <x:c r="P49" s="15" t="n">
        <x:f>IF(AND(K49&gt;0,ABS(D49-SUMIFS('PO detail'!$P$2:$P$672,'PO detail'!$A$2:$A$672,A49,'PO detail'!$B$2:$B$672,B49))&lt;0.01),1,0)</x:f>
        <x:v>0</x:v>
      </x:c>
      <x:c r="Q49" s="15" t="n">
        <x:f>IF(AND(L49&gt;0,H49&gt;0,ABS(H49-L49)&lt;0.01),1,0)</x:f>
        <x:v>0</x:v>
      </x:c>
      <x:c r="R49" s="15" t="str">
        <x:f>IF(P49=1,"Estimated FIFO layers covered",IF(K49="","No original PO-price baseline","Insufficient dated receipt quantity"))</x:f>
        <x:v>No original PO-price baseline</x:v>
      </x:c>
      <x:c r="S49" s="15" t="n">
        <x:f>SUMIFS('PO detail'!$P$2:$P$672,'PO detail'!$A$2:$A$672,A49,'PO detail'!$B$2:$B$672,B49)</x:f>
        <x:v>0</x:v>
      </x:c>
      <x:c r="T49" s="1" t="str"/>
      <x:c r="U49" s="1" t="str">
        <x:v>Receipt GL and reported valuation; inferred, PrcCostPer not supplied</x:v>
      </x:c>
      <x:c r="V49" s="13" t="n">
        <x:f>G49/I49</x:f>
        <x:v>0.111</x:v>
      </x:c>
      <x:c r="W49" s="13" t="str">
        <x:f>IF(Q49=1,H49*(1+Summary!$J$5)/I49,"n.a.")</x:f>
        <x:v>n.a.</x:v>
      </x:c>
      <x:c r="X49" s="16" t="n">
        <x:f>D49*V49</x:f>
        <x:v>144.3</x:v>
      </x:c>
      <x:c r="Y49" s="16" t="n">
        <x:f>M49*V49</x:f>
        <x:v>0</x:v>
      </x:c>
      <x:c r="Z49" s="16" t="n">
        <x:f>N49*V49</x:f>
        <x:v>0</x:v>
      </x:c>
      <x:c r="AA49" s="16" t="n">
        <x:f>O49*V49</x:f>
        <x:v>144.3</x:v>
      </x:c>
      <x:c r="AB49" s="16" t="n">
        <x:f>J49-X49</x:f>
        <x:v>0</x:v>
      </x:c>
      <x:c r="AC49" s="16" t="str">
        <x:f>IF(ISNUMBER(W49),D49*(W49-V49),"n.a.")</x:f>
        <x:v>n.a.</x:v>
      </x:c>
      <x:c r="AD49" s="12" t="n">
        <x:f>F49-SUMIFS('PO detail'!$S$2:$S$672,'PO detail'!$A$2:$A$672,A49,'PO detail'!$B$2:$B$672,B49)</x:f>
        <x:v>0</x:v>
      </x:c>
    </x:row>
    <x:row r="50" ht="21" customHeight="1">
      <x:c r="A50" s="1" t="str">
        <x:v>30</x:v>
      </x:c>
      <x:c r="B50" s="1" t="str">
        <x:v>800BMARCSC</x:v>
      </x:c>
      <x:c r="C50" s="1" t="str">
        <x:v>SOUTHWEST CONVERSION</x:v>
      </x:c>
      <x:c r="D50" s="8" t="n">
        <x:v>1100</x:v>
      </x:c>
      <x:c r="E50" s="8" t="n">
        <x:v>33.33</x:v>
      </x:c>
      <x:c r="F50" s="8" t="n">
        <x:v>0</x:v>
      </x:c>
      <x:c r="G50" s="9" t="n">
        <x:v>23.33</x:v>
      </x:c>
      <x:c r="H50" s="9" t="n">
        <x:v>0</x:v>
      </x:c>
      <x:c r="I50" s="1" t="n">
        <x:v>100</x:v>
      </x:c>
      <x:c r="J50" s="10" t="n">
        <x:v>256.63</x:v>
      </x:c>
      <x:c r="K50" s="9"/>
      <x:c r="L50" s="9"/>
      <x:c r="M50" s="11" t="n">
        <x:f>IF(P50=1,SUMIFS('PO detail'!$P$2:$P$672,'PO detail'!$A$2:$A$672,A50,'PO detail'!$B$2:$B$672,B50,'PO detail'!$K$2:$K$672,"&lt;="&amp;(K50*1.01)),0)</x:f>
        <x:v>0</x:v>
      </x:c>
      <x:c r="N50" s="11" t="n">
        <x:f>IF(P50=1,D50-M50,0)</x:f>
        <x:v>0</x:v>
      </x:c>
      <x:c r="O50" s="11" t="n">
        <x:f>D50-M50-N50</x:f>
        <x:v>1100</x:v>
      </x:c>
      <x:c r="P50" s="15" t="n">
        <x:f>IF(AND(K50&gt;0,ABS(D50-SUMIFS('PO detail'!$P$2:$P$672,'PO detail'!$A$2:$A$672,A50,'PO detail'!$B$2:$B$672,B50))&lt;0.01),1,0)</x:f>
        <x:v>0</x:v>
      </x:c>
      <x:c r="Q50" s="15" t="n">
        <x:f>IF(AND(L50&gt;0,H50&gt;0,ABS(H50-L50)&lt;0.01),1,0)</x:f>
        <x:v>0</x:v>
      </x:c>
      <x:c r="R50" s="15" t="str">
        <x:f>IF(P50=1,"Estimated FIFO layers covered",IF(K50="","No original PO-price baseline","Insufficient dated receipt quantity"))</x:f>
        <x:v>No original PO-price baseline</x:v>
      </x:c>
      <x:c r="S50" s="15" t="n">
        <x:f>SUMIFS('PO detail'!$P$2:$P$672,'PO detail'!$A$2:$A$672,A50,'PO detail'!$B$2:$B$672,B50)</x:f>
        <x:v>0</x:v>
      </x:c>
      <x:c r="T50" s="1" t="str">
        <x:v>2025-01-30 00:00:00</x:v>
      </x:c>
      <x:c r="U50" s="1" t="str">
        <x:v>Receipt GL and reported valuation; inferred, PrcCostPer not supplied</x:v>
      </x:c>
      <x:c r="V50" s="13" t="n">
        <x:f>G50/I50</x:f>
        <x:v>0.23329999999999998</x:v>
      </x:c>
      <x:c r="W50" s="13" t="str">
        <x:f>IF(Q50=1,H50*(1+Summary!$J$5)/I50,"n.a.")</x:f>
        <x:v>n.a.</x:v>
      </x:c>
      <x:c r="X50" s="16" t="n">
        <x:f>D50*V50</x:f>
        <x:v>256.63</x:v>
      </x:c>
      <x:c r="Y50" s="16" t="n">
        <x:f>M50*V50</x:f>
        <x:v>0</x:v>
      </x:c>
      <x:c r="Z50" s="16" t="n">
        <x:f>N50*V50</x:f>
        <x:v>0</x:v>
      </x:c>
      <x:c r="AA50" s="16" t="n">
        <x:f>O50*V50</x:f>
        <x:v>256.63</x:v>
      </x:c>
      <x:c r="AB50" s="16" t="n">
        <x:f>J50-X50</x:f>
        <x:v>0</x:v>
      </x:c>
      <x:c r="AC50" s="16" t="str">
        <x:f>IF(ISNUMBER(W50),D50*(W50-V50),"n.a.")</x:f>
        <x:v>n.a.</x:v>
      </x:c>
      <x:c r="AD50" s="12" t="n">
        <x:f>F50-SUMIFS('PO detail'!$S$2:$S$672,'PO detail'!$A$2:$A$672,A50,'PO detail'!$B$2:$B$672,B50)</x:f>
        <x:v>0</x:v>
      </x:c>
    </x:row>
    <x:row r="51" ht="21" customHeight="1">
      <x:c r="A51" s="1" t="str">
        <x:v>60</x:v>
      </x:c>
      <x:c r="B51" s="1" t="str">
        <x:v>800WBLKASC</x:v>
      </x:c>
      <x:c r="C51" s="1" t="str">
        <x:v>SOUTHWEST CONVERSION</x:v>
      </x:c>
      <x:c r="D51" s="8" t="n">
        <x:v>1500</x:v>
      </x:c>
      <x:c r="E51" s="8" t="n">
        <x:v>33.33</x:v>
      </x:c>
      <x:c r="F51" s="8" t="n">
        <x:v>0</x:v>
      </x:c>
      <x:c r="G51" s="9" t="n">
        <x:v>11.1</x:v>
      </x:c>
      <x:c r="H51" s="9" t="n">
        <x:v>0</x:v>
      </x:c>
      <x:c r="I51" s="1" t="n">
        <x:v>100</x:v>
      </x:c>
      <x:c r="J51" s="10" t="n">
        <x:v>166.5</x:v>
      </x:c>
      <x:c r="K51" s="9"/>
      <x:c r="L51" s="9"/>
      <x:c r="M51" s="11" t="n">
        <x:f>IF(P51=1,SUMIFS('PO detail'!$P$2:$P$672,'PO detail'!$A$2:$A$672,A51,'PO detail'!$B$2:$B$672,B51,'PO detail'!$K$2:$K$672,"&lt;="&amp;(K51*1.01)),0)</x:f>
        <x:v>0</x:v>
      </x:c>
      <x:c r="N51" s="11" t="n">
        <x:f>IF(P51=1,D51-M51,0)</x:f>
        <x:v>0</x:v>
      </x:c>
      <x:c r="O51" s="11" t="n">
        <x:f>D51-M51-N51</x:f>
        <x:v>1500</x:v>
      </x:c>
      <x:c r="P51" s="15" t="n">
        <x:f>IF(AND(K51&gt;0,ABS(D51-SUMIFS('PO detail'!$P$2:$P$672,'PO detail'!$A$2:$A$672,A51,'PO detail'!$B$2:$B$672,B51))&lt;0.01),1,0)</x:f>
        <x:v>0</x:v>
      </x:c>
      <x:c r="Q51" s="15" t="n">
        <x:f>IF(AND(L51&gt;0,H51&gt;0,ABS(H51-L51)&lt;0.01),1,0)</x:f>
        <x:v>0</x:v>
      </x:c>
      <x:c r="R51" s="15" t="str">
        <x:f>IF(P51=1,"Estimated FIFO layers covered",IF(K51="","No original PO-price baseline","Insufficient dated receipt quantity"))</x:f>
        <x:v>No original PO-price baseline</x:v>
      </x:c>
      <x:c r="S51" s="15" t="n">
        <x:f>SUMIFS('PO detail'!$P$2:$P$672,'PO detail'!$A$2:$A$672,A51,'PO detail'!$B$2:$B$672,B51)</x:f>
        <x:v>0</x:v>
      </x:c>
      <x:c r="T51" s="1" t="str"/>
      <x:c r="U51" s="1" t="str">
        <x:v>Receipt GL and reported valuation; inferred, PrcCostPer not supplied</x:v>
      </x:c>
      <x:c r="V51" s="13" t="n">
        <x:f>G51/I51</x:f>
        <x:v>0.111</x:v>
      </x:c>
      <x:c r="W51" s="13" t="str">
        <x:f>IF(Q51=1,H51*(1+Summary!$J$5)/I51,"n.a.")</x:f>
        <x:v>n.a.</x:v>
      </x:c>
      <x:c r="X51" s="16" t="n">
        <x:f>D51*V51</x:f>
        <x:v>166.5</x:v>
      </x:c>
      <x:c r="Y51" s="16" t="n">
        <x:f>M51*V51</x:f>
        <x:v>0</x:v>
      </x:c>
      <x:c r="Z51" s="16" t="n">
        <x:f>N51*V51</x:f>
        <x:v>0</x:v>
      </x:c>
      <x:c r="AA51" s="16" t="n">
        <x:f>O51*V51</x:f>
        <x:v>166.5</x:v>
      </x:c>
      <x:c r="AB51" s="16" t="n">
        <x:f>J51-X51</x:f>
        <x:v>0</x:v>
      </x:c>
      <x:c r="AC51" s="16" t="str">
        <x:f>IF(ISNUMBER(W51),D51*(W51-V51),"n.a.")</x:f>
        <x:v>n.a.</x:v>
      </x:c>
      <x:c r="AD51" s="12" t="n">
        <x:f>F51-SUMIFS('PO detail'!$S$2:$S$672,'PO detail'!$A$2:$A$672,A51,'PO detail'!$B$2:$B$672,B51)</x:f>
        <x:v>0</x:v>
      </x:c>
    </x:row>
    <x:row r="52" ht="21" customHeight="1">
      <x:c r="A52" s="1" t="str">
        <x:v>10</x:v>
      </x:c>
      <x:c r="B52" s="1" t="str">
        <x:v>800WMARASC</x:v>
      </x:c>
      <x:c r="C52" s="1" t="str">
        <x:v>SOUTHWEST CONVERSION</x:v>
      </x:c>
      <x:c r="D52" s="8" t="n">
        <x:v>300</x:v>
      </x:c>
      <x:c r="E52" s="8" t="n">
        <x:v>16.67</x:v>
      </x:c>
      <x:c r="F52" s="8" t="n">
        <x:v>0</x:v>
      </x:c>
      <x:c r="G52" s="9" t="n">
        <x:v>13.83</x:v>
      </x:c>
      <x:c r="H52" s="9" t="n">
        <x:v>0</x:v>
      </x:c>
      <x:c r="I52" s="1" t="n">
        <x:v>100</x:v>
      </x:c>
      <x:c r="J52" s="10" t="n">
        <x:v>41.49</x:v>
      </x:c>
      <x:c r="K52" s="9"/>
      <x:c r="L52" s="9"/>
      <x:c r="M52" s="11" t="n">
        <x:f>IF(P52=1,SUMIFS('PO detail'!$P$2:$P$672,'PO detail'!$A$2:$A$672,A52,'PO detail'!$B$2:$B$672,B52,'PO detail'!$K$2:$K$672,"&lt;="&amp;(K52*1.01)),0)</x:f>
        <x:v>0</x:v>
      </x:c>
      <x:c r="N52" s="11" t="n">
        <x:f>IF(P52=1,D52-M52,0)</x:f>
        <x:v>0</x:v>
      </x:c>
      <x:c r="O52" s="11" t="n">
        <x:f>D52-M52-N52</x:f>
        <x:v>300</x:v>
      </x:c>
      <x:c r="P52" s="15" t="n">
        <x:f>IF(AND(K52&gt;0,ABS(D52-SUMIFS('PO detail'!$P$2:$P$672,'PO detail'!$A$2:$A$672,A52,'PO detail'!$B$2:$B$672,B52))&lt;0.01),1,0)</x:f>
        <x:v>0</x:v>
      </x:c>
      <x:c r="Q52" s="15" t="n">
        <x:f>IF(AND(L52&gt;0,H52&gt;0,ABS(H52-L52)&lt;0.01),1,0)</x:f>
        <x:v>0</x:v>
      </x:c>
      <x:c r="R52" s="15" t="str">
        <x:f>IF(P52=1,"Estimated FIFO layers covered",IF(K52="","No original PO-price baseline","Insufficient dated receipt quantity"))</x:f>
        <x:v>No original PO-price baseline</x:v>
      </x:c>
      <x:c r="S52" s="15" t="n">
        <x:f>SUMIFS('PO detail'!$P$2:$P$672,'PO detail'!$A$2:$A$672,A52,'PO detail'!$B$2:$B$672,B52)</x:f>
        <x:v>0</x:v>
      </x:c>
      <x:c r="T52" s="1" t="str"/>
      <x:c r="U52" s="1" t="str">
        <x:v>Receipt GL and reported valuation; inferred, PrcCostPer not supplied</x:v>
      </x:c>
      <x:c r="V52" s="13" t="n">
        <x:f>G52/I52</x:f>
        <x:v>0.1383</x:v>
      </x:c>
      <x:c r="W52" s="13" t="str">
        <x:f>IF(Q52=1,H52*(1+Summary!$J$5)/I52,"n.a.")</x:f>
        <x:v>n.a.</x:v>
      </x:c>
      <x:c r="X52" s="16" t="n">
        <x:f>D52*V52</x:f>
        <x:v>41.49</x:v>
      </x:c>
      <x:c r="Y52" s="16" t="n">
        <x:f>M52*V52</x:f>
        <x:v>0</x:v>
      </x:c>
      <x:c r="Z52" s="16" t="n">
        <x:f>N52*V52</x:f>
        <x:v>0</x:v>
      </x:c>
      <x:c r="AA52" s="16" t="n">
        <x:f>O52*V52</x:f>
        <x:v>41.49</x:v>
      </x:c>
      <x:c r="AB52" s="16" t="n">
        <x:f>J52-X52</x:f>
        <x:v>0</x:v>
      </x:c>
      <x:c r="AC52" s="16" t="str">
        <x:f>IF(ISNUMBER(W52),D52*(W52-V52),"n.a.")</x:f>
        <x:v>n.a.</x:v>
      </x:c>
      <x:c r="AD52" s="12" t="n">
        <x:f>F52-SUMIFS('PO detail'!$S$2:$S$672,'PO detail'!$A$2:$A$672,A52,'PO detail'!$B$2:$B$672,B52)</x:f>
        <x:v>0</x:v>
      </x:c>
    </x:row>
    <x:row r="53" ht="21" customHeight="1">
      <x:c r="A53" s="1" t="str">
        <x:v>10</x:v>
      </x:c>
      <x:c r="B53" s="1" t="str">
        <x:v>800WNAVASC</x:v>
      </x:c>
      <x:c r="C53" s="1" t="str">
        <x:v>SOUTHWEST CONVERSION</x:v>
      </x:c>
      <x:c r="D53" s="8" t="n">
        <x:v>700</x:v>
      </x:c>
      <x:c r="E53" s="8" t="n">
        <x:v>16.67</x:v>
      </x:c>
      <x:c r="F53" s="8" t="n">
        <x:v>0</x:v>
      </x:c>
      <x:c r="G53" s="9" t="n">
        <x:v>13.57</x:v>
      </x:c>
      <x:c r="H53" s="9" t="n">
        <x:v>0</x:v>
      </x:c>
      <x:c r="I53" s="1" t="n">
        <x:v>100</x:v>
      </x:c>
      <x:c r="J53" s="10" t="n">
        <x:v>94.99</x:v>
      </x:c>
      <x:c r="K53" s="9"/>
      <x:c r="L53" s="9"/>
      <x:c r="M53" s="11" t="n">
        <x:f>IF(P53=1,SUMIFS('PO detail'!$P$2:$P$672,'PO detail'!$A$2:$A$672,A53,'PO detail'!$B$2:$B$672,B53,'PO detail'!$K$2:$K$672,"&lt;="&amp;(K53*1.01)),0)</x:f>
        <x:v>0</x:v>
      </x:c>
      <x:c r="N53" s="11" t="n">
        <x:f>IF(P53=1,D53-M53,0)</x:f>
        <x:v>0</x:v>
      </x:c>
      <x:c r="O53" s="11" t="n">
        <x:f>D53-M53-N53</x:f>
        <x:v>700</x:v>
      </x:c>
      <x:c r="P53" s="15" t="n">
        <x:f>IF(AND(K53&gt;0,ABS(D53-SUMIFS('PO detail'!$P$2:$P$672,'PO detail'!$A$2:$A$672,A53,'PO detail'!$B$2:$B$672,B53))&lt;0.01),1,0)</x:f>
        <x:v>0</x:v>
      </x:c>
      <x:c r="Q53" s="15" t="n">
        <x:f>IF(AND(L53&gt;0,H53&gt;0,ABS(H53-L53)&lt;0.01),1,0)</x:f>
        <x:v>0</x:v>
      </x:c>
      <x:c r="R53" s="15" t="str">
        <x:f>IF(P53=1,"Estimated FIFO layers covered",IF(K53="","No original PO-price baseline","Insufficient dated receipt quantity"))</x:f>
        <x:v>No original PO-price baseline</x:v>
      </x:c>
      <x:c r="S53" s="15" t="n">
        <x:f>SUMIFS('PO detail'!$P$2:$P$672,'PO detail'!$A$2:$A$672,A53,'PO detail'!$B$2:$B$672,B53)</x:f>
        <x:v>0</x:v>
      </x:c>
      <x:c r="T53" s="1" t="str"/>
      <x:c r="U53" s="1" t="str">
        <x:v>Receipt GL and reported valuation; inferred, PrcCostPer not supplied</x:v>
      </x:c>
      <x:c r="V53" s="13" t="n">
        <x:f>G53/I53</x:f>
        <x:v>0.13570000000000002</x:v>
      </x:c>
      <x:c r="W53" s="13" t="str">
        <x:f>IF(Q53=1,H53*(1+Summary!$J$5)/I53,"n.a.")</x:f>
        <x:v>n.a.</x:v>
      </x:c>
      <x:c r="X53" s="16" t="n">
        <x:f>D53*V53</x:f>
        <x:v>94.99000000000001</x:v>
      </x:c>
      <x:c r="Y53" s="16" t="n">
        <x:f>M53*V53</x:f>
        <x:v>0</x:v>
      </x:c>
      <x:c r="Z53" s="16" t="n">
        <x:f>N53*V53</x:f>
        <x:v>0</x:v>
      </x:c>
      <x:c r="AA53" s="16" t="n">
        <x:f>O53*V53</x:f>
        <x:v>94.99000000000001</x:v>
      </x:c>
      <x:c r="AB53" s="16" t="n">
        <x:f>J53-X53</x:f>
        <x:v>-1.4210854715202004e-14</x:v>
      </x:c>
      <x:c r="AC53" s="16" t="str">
        <x:f>IF(ISNUMBER(W53),D53*(W53-V53),"n.a.")</x:f>
        <x:v>n.a.</x:v>
      </x:c>
      <x:c r="AD53" s="12" t="n">
        <x:f>F53-SUMIFS('PO detail'!$S$2:$S$672,'PO detail'!$A$2:$A$672,A53,'PO detail'!$B$2:$B$672,B53)</x:f>
        <x:v>0</x:v>
      </x:c>
    </x:row>
    <x:row r="54" ht="21" customHeight="1">
      <x:c r="A54" s="1" t="str">
        <x:v>30</x:v>
      </x:c>
      <x:c r="B54" s="1" t="str">
        <x:v>800BMARDSC</x:v>
      </x:c>
      <x:c r="C54" s="1" t="str">
        <x:v>SOUTHWEST CONVERSION</x:v>
      </x:c>
      <x:c r="D54" s="8" t="n">
        <x:v>2700</x:v>
      </x:c>
      <x:c r="E54" s="8" t="n">
        <x:v>16.67</x:v>
      </x:c>
      <x:c r="F54" s="8" t="n">
        <x:v>0</x:v>
      </x:c>
      <x:c r="G54" s="9" t="n">
        <x:v>39.98</x:v>
      </x:c>
      <x:c r="H54" s="9" t="n">
        <x:v>0</x:v>
      </x:c>
      <x:c r="I54" s="1" t="n">
        <x:v>100</x:v>
      </x:c>
      <x:c r="J54" s="10" t="n">
        <x:v>1079.4599999999998</x:v>
      </x:c>
      <x:c r="K54" s="9"/>
      <x:c r="L54" s="9"/>
      <x:c r="M54" s="11" t="n">
        <x:f>IF(P54=1,SUMIFS('PO detail'!$P$2:$P$672,'PO detail'!$A$2:$A$672,A54,'PO detail'!$B$2:$B$672,B54,'PO detail'!$K$2:$K$672,"&lt;="&amp;(K54*1.01)),0)</x:f>
        <x:v>0</x:v>
      </x:c>
      <x:c r="N54" s="11" t="n">
        <x:f>IF(P54=1,D54-M54,0)</x:f>
        <x:v>0</x:v>
      </x:c>
      <x:c r="O54" s="11" t="n">
        <x:f>D54-M54-N54</x:f>
        <x:v>2700</x:v>
      </x:c>
      <x:c r="P54" s="15" t="n">
        <x:f>IF(AND(K54&gt;0,ABS(D54-SUMIFS('PO detail'!$P$2:$P$672,'PO detail'!$A$2:$A$672,A54,'PO detail'!$B$2:$B$672,B54))&lt;0.01),1,0)</x:f>
        <x:v>0</x:v>
      </x:c>
      <x:c r="Q54" s="15" t="n">
        <x:f>IF(AND(L54&gt;0,H54&gt;0,ABS(H54-L54)&lt;0.01),1,0)</x:f>
        <x:v>0</x:v>
      </x:c>
      <x:c r="R54" s="15" t="str">
        <x:f>IF(P54=1,"Estimated FIFO layers covered",IF(K54="","No original PO-price baseline","Insufficient dated receipt quantity"))</x:f>
        <x:v>No original PO-price baseline</x:v>
      </x:c>
      <x:c r="S54" s="15" t="n">
        <x:f>SUMIFS('PO detail'!$P$2:$P$672,'PO detail'!$A$2:$A$672,A54,'PO detail'!$B$2:$B$672,B54)</x:f>
        <x:v>0</x:v>
      </x:c>
      <x:c r="T54" s="1" t="str">
        <x:v>2025-09-23 00:00:00</x:v>
      </x:c>
      <x:c r="U54" s="1" t="str">
        <x:v>Receipt GL and reported valuation; inferred, PrcCostPer not supplied</x:v>
      </x:c>
      <x:c r="V54" s="13" t="n">
        <x:f>G54/I54</x:f>
        <x:v>0.3998</x:v>
      </x:c>
      <x:c r="W54" s="13" t="str">
        <x:f>IF(Q54=1,H54*(1+Summary!$J$5)/I54,"n.a.")</x:f>
        <x:v>n.a.</x:v>
      </x:c>
      <x:c r="X54" s="16" t="n">
        <x:f>D54*V54</x:f>
        <x:v>1079.46</x:v>
      </x:c>
      <x:c r="Y54" s="16" t="n">
        <x:f>M54*V54</x:f>
        <x:v>0</x:v>
      </x:c>
      <x:c r="Z54" s="16" t="n">
        <x:f>N54*V54</x:f>
        <x:v>0</x:v>
      </x:c>
      <x:c r="AA54" s="16" t="n">
        <x:f>O54*V54</x:f>
        <x:v>1079.46</x:v>
      </x:c>
      <x:c r="AB54" s="16" t="n">
        <x:f>J54-X54</x:f>
        <x:v>-2.2737367544323206e-13</x:v>
      </x:c>
      <x:c r="AC54" s="16" t="str">
        <x:f>IF(ISNUMBER(W54),D54*(W54-V54),"n.a.")</x:f>
        <x:v>n.a.</x:v>
      </x:c>
      <x:c r="AD54" s="12" t="n">
        <x:f>F54-SUMIFS('PO detail'!$S$2:$S$672,'PO detail'!$A$2:$A$672,A54,'PO detail'!$B$2:$B$672,B54)</x:f>
        <x:v>0</x:v>
      </x:c>
    </x:row>
    <x:row r="55" ht="21" customHeight="1">
      <x:c r="A55" s="1" t="str">
        <x:v>60</x:v>
      </x:c>
      <x:c r="B55" s="1" t="str">
        <x:v>800WNAVASC</x:v>
      </x:c>
      <x:c r="C55" s="1" t="str">
        <x:v>SOUTHWEST CONVERSION</x:v>
      </x:c>
      <x:c r="D55" s="8" t="n">
        <x:v>1000</x:v>
      </x:c>
      <x:c r="E55" s="8" t="n">
        <x:v>16.67</x:v>
      </x:c>
      <x:c r="F55" s="8" t="n">
        <x:v>0</x:v>
      </x:c>
      <x:c r="G55" s="9" t="n">
        <x:v>13.57</x:v>
      </x:c>
      <x:c r="H55" s="9" t="n">
        <x:v>0</x:v>
      </x:c>
      <x:c r="I55" s="1" t="n">
        <x:v>100</x:v>
      </x:c>
      <x:c r="J55" s="10" t="n">
        <x:v>135.7</x:v>
      </x:c>
      <x:c r="K55" s="9"/>
      <x:c r="L55" s="9"/>
      <x:c r="M55" s="11" t="n">
        <x:f>IF(P55=1,SUMIFS('PO detail'!$P$2:$P$672,'PO detail'!$A$2:$A$672,A55,'PO detail'!$B$2:$B$672,B55,'PO detail'!$K$2:$K$672,"&lt;="&amp;(K55*1.01)),0)</x:f>
        <x:v>0</x:v>
      </x:c>
      <x:c r="N55" s="11" t="n">
        <x:f>IF(P55=1,D55-M55,0)</x:f>
        <x:v>0</x:v>
      </x:c>
      <x:c r="O55" s="11" t="n">
        <x:f>D55-M55-N55</x:f>
        <x:v>1000</x:v>
      </x:c>
      <x:c r="P55" s="15" t="n">
        <x:f>IF(AND(K55&gt;0,ABS(D55-SUMIFS('PO detail'!$P$2:$P$672,'PO detail'!$A$2:$A$672,A55,'PO detail'!$B$2:$B$672,B55))&lt;0.01),1,0)</x:f>
        <x:v>0</x:v>
      </x:c>
      <x:c r="Q55" s="15" t="n">
        <x:f>IF(AND(L55&gt;0,H55&gt;0,ABS(H55-L55)&lt;0.01),1,0)</x:f>
        <x:v>0</x:v>
      </x:c>
      <x:c r="R55" s="15" t="str">
        <x:f>IF(P55=1,"Estimated FIFO layers covered",IF(K55="","No original PO-price baseline","Insufficient dated receipt quantity"))</x:f>
        <x:v>No original PO-price baseline</x:v>
      </x:c>
      <x:c r="S55" s="15" t="n">
        <x:f>SUMIFS('PO detail'!$P$2:$P$672,'PO detail'!$A$2:$A$672,A55,'PO detail'!$B$2:$B$672,B55)</x:f>
        <x:v>0</x:v>
      </x:c>
      <x:c r="T55" s="1" t="str"/>
      <x:c r="U55" s="1" t="str">
        <x:v>Receipt GL and reported valuation; inferred, PrcCostPer not supplied</x:v>
      </x:c>
      <x:c r="V55" s="13" t="n">
        <x:f>G55/I55</x:f>
        <x:v>0.13570000000000002</x:v>
      </x:c>
      <x:c r="W55" s="13" t="str">
        <x:f>IF(Q55=1,H55*(1+Summary!$J$5)/I55,"n.a.")</x:f>
        <x:v>n.a.</x:v>
      </x:c>
      <x:c r="X55" s="16" t="n">
        <x:f>D55*V55</x:f>
        <x:v>135.70000000000002</x:v>
      </x:c>
      <x:c r="Y55" s="16" t="n">
        <x:f>M55*V55</x:f>
        <x:v>0</x:v>
      </x:c>
      <x:c r="Z55" s="16" t="n">
        <x:f>N55*V55</x:f>
        <x:v>0</x:v>
      </x:c>
      <x:c r="AA55" s="16" t="n">
        <x:f>O55*V55</x:f>
        <x:v>135.70000000000002</x:v>
      </x:c>
      <x:c r="AB55" s="16" t="n">
        <x:f>J55-X55</x:f>
        <x:v>-2.842170943040401e-14</x:v>
      </x:c>
      <x:c r="AC55" s="16" t="str">
        <x:f>IF(ISNUMBER(W55),D55*(W55-V55),"n.a.")</x:f>
        <x:v>n.a.</x:v>
      </x:c>
      <x:c r="AD55" s="12" t="n">
        <x:f>F55-SUMIFS('PO detail'!$S$2:$S$672,'PO detail'!$A$2:$A$672,A55,'PO detail'!$B$2:$B$672,B55)</x:f>
        <x:v>0</x:v>
      </x:c>
    </x:row>
    <x:row r="56" ht="21" customHeight="1">
      <x:c r="A56" s="1" t="str">
        <x:v>60</x:v>
      </x:c>
      <x:c r="B56" s="1" t="str">
        <x:v>800BMARDSC</x:v>
      </x:c>
      <x:c r="C56" s="1" t="str">
        <x:v>SOUTHWEST CONVERSION</x:v>
      </x:c>
      <x:c r="D56" s="8" t="n">
        <x:v>600</x:v>
      </x:c>
      <x:c r="E56" s="8" t="n">
        <x:v>8.33</x:v>
      </x:c>
      <x:c r="F56" s="8" t="n">
        <x:v>0</x:v>
      </x:c>
      <x:c r="G56" s="9" t="n">
        <x:v>39.98</x:v>
      </x:c>
      <x:c r="H56" s="9" t="n">
        <x:v>0</x:v>
      </x:c>
      <x:c r="I56" s="1" t="n">
        <x:v>100</x:v>
      </x:c>
      <x:c r="J56" s="10" t="n">
        <x:v>239.87999999999997</x:v>
      </x:c>
      <x:c r="K56" s="9"/>
      <x:c r="L56" s="9"/>
      <x:c r="M56" s="11" t="n">
        <x:f>IF(P56=1,SUMIFS('PO detail'!$P$2:$P$672,'PO detail'!$A$2:$A$672,A56,'PO detail'!$B$2:$B$672,B56,'PO detail'!$K$2:$K$672,"&lt;="&amp;(K56*1.01)),0)</x:f>
        <x:v>0</x:v>
      </x:c>
      <x:c r="N56" s="11" t="n">
        <x:f>IF(P56=1,D56-M56,0)</x:f>
        <x:v>0</x:v>
      </x:c>
      <x:c r="O56" s="11" t="n">
        <x:f>D56-M56-N56</x:f>
        <x:v>600</x:v>
      </x:c>
      <x:c r="P56" s="15" t="n">
        <x:f>IF(AND(K56&gt;0,ABS(D56-SUMIFS('PO detail'!$P$2:$P$672,'PO detail'!$A$2:$A$672,A56,'PO detail'!$B$2:$B$672,B56))&lt;0.01),1,0)</x:f>
        <x:v>0</x:v>
      </x:c>
      <x:c r="Q56" s="15" t="n">
        <x:f>IF(AND(L56&gt;0,H56&gt;0,ABS(H56-L56)&lt;0.01),1,0)</x:f>
        <x:v>0</x:v>
      </x:c>
      <x:c r="R56" s="15" t="str">
        <x:f>IF(P56=1,"Estimated FIFO layers covered",IF(K56="","No original PO-price baseline","Insufficient dated receipt quantity"))</x:f>
        <x:v>No original PO-price baseline</x:v>
      </x:c>
      <x:c r="S56" s="15" t="n">
        <x:f>SUMIFS('PO detail'!$P$2:$P$672,'PO detail'!$A$2:$A$672,A56,'PO detail'!$B$2:$B$672,B56)</x:f>
        <x:v>0</x:v>
      </x:c>
      <x:c r="T56" s="1" t="str">
        <x:v>2013-01-10 00:00:00</x:v>
      </x:c>
      <x:c r="U56" s="1" t="str">
        <x:v>Receipt GL and reported valuation; inferred, PrcCostPer not supplied</x:v>
      </x:c>
      <x:c r="V56" s="13" t="n">
        <x:f>G56/I56</x:f>
        <x:v>0.3998</x:v>
      </x:c>
      <x:c r="W56" s="13" t="str">
        <x:f>IF(Q56=1,H56*(1+Summary!$J$5)/I56,"n.a.")</x:f>
        <x:v>n.a.</x:v>
      </x:c>
      <x:c r="X56" s="16" t="n">
        <x:f>D56*V56</x:f>
        <x:v>239.88</x:v>
      </x:c>
      <x:c r="Y56" s="16" t="n">
        <x:f>M56*V56</x:f>
        <x:v>0</x:v>
      </x:c>
      <x:c r="Z56" s="16" t="n">
        <x:f>N56*V56</x:f>
        <x:v>0</x:v>
      </x:c>
      <x:c r="AA56" s="16" t="n">
        <x:f>O56*V56</x:f>
        <x:v>239.88</x:v>
      </x:c>
      <x:c r="AB56" s="16" t="n">
        <x:f>J56-X56</x:f>
        <x:v>-2.842170943040401e-14</x:v>
      </x:c>
      <x:c r="AC56" s="16" t="str">
        <x:f>IF(ISNUMBER(W56),D56*(W56-V56),"n.a.")</x:f>
        <x:v>n.a.</x:v>
      </x:c>
      <x:c r="AD56" s="12" t="n">
        <x:f>F56-SUMIFS('PO detail'!$S$2:$S$672,'PO detail'!$A$2:$A$672,A56,'PO detail'!$B$2:$B$672,B56)</x:f>
        <x:v>0</x:v>
      </x:c>
    </x:row>
    <x:row r="57" ht="21" customHeight="1">
      <x:c r="A57" s="1" t="str">
        <x:v>10</x:v>
      </x:c>
      <x:c r="B57" s="1" t="str">
        <x:v>800BFGASC</x:v>
      </x:c>
      <x:c r="C57" s="1" t="str">
        <x:v>ECOLOGICAL FIBERS, INC</x:v>
      </x:c>
      <x:c r="D57" s="8" t="n">
        <x:v>0</x:v>
      </x:c>
      <x:c r="E57" s="8" t="n">
        <x:v>0</x:v>
      </x:c>
      <x:c r="F57" s="8" t="n">
        <x:v>0</x:v>
      </x:c>
      <x:c r="G57" s="9" t="n">
        <x:v>14.56</x:v>
      </x:c>
      <x:c r="H57" s="9" t="n">
        <x:v>0</x:v>
      </x:c>
      <x:c r="I57" s="1" t="n">
        <x:v>100</x:v>
      </x:c>
      <x:c r="J57" s="10" t="n">
        <x:v>0</x:v>
      </x:c>
      <x:c r="K57" s="9"/>
      <x:c r="L57" s="9"/>
      <x:c r="M57" s="11" t="n">
        <x:f>IF(P57=1,SUMIFS('PO detail'!$P$2:$P$672,'PO detail'!$A$2:$A$672,A57,'PO detail'!$B$2:$B$672,B57,'PO detail'!$K$2:$K$672,"&lt;="&amp;(K57*1.01)),0)</x:f>
        <x:v>0</x:v>
      </x:c>
      <x:c r="N57" s="11" t="n">
        <x:f>IF(P57=1,D57-M57,0)</x:f>
        <x:v>0</x:v>
      </x:c>
      <x:c r="O57" s="11" t="n">
        <x:f>D57-M57-N57</x:f>
        <x:v>0</x:v>
      </x:c>
      <x:c r="P57" s="15" t="n">
        <x:f>IF(AND(K57&gt;0,ABS(D57-SUMIFS('PO detail'!$P$2:$P$672,'PO detail'!$A$2:$A$672,A57,'PO detail'!$B$2:$B$672,B57))&lt;0.01),1,0)</x:f>
        <x:v>0</x:v>
      </x:c>
      <x:c r="Q57" s="15" t="n">
        <x:f>IF(AND(L57&gt;0,H57&gt;0,ABS(H57-L57)&lt;0.01),1,0)</x:f>
        <x:v>0</x:v>
      </x:c>
      <x:c r="R57" s="15" t="str">
        <x:f>IF(P57=1,"Estimated FIFO layers covered",IF(K57="","No original PO-price baseline","Insufficient dated receipt quantity"))</x:f>
        <x:v>No original PO-price baseline</x:v>
      </x:c>
      <x:c r="S57" s="15" t="n">
        <x:f>SUMIFS('PO detail'!$P$2:$P$672,'PO detail'!$A$2:$A$672,A57,'PO detail'!$B$2:$B$672,B57)</x:f>
        <x:v>0</x:v>
      </x:c>
      <x:c r="T57" s="1" t="str">
        <x:v>2022-02-09 00:00:00</x:v>
      </x:c>
      <x:c r="U57" s="1" t="str">
        <x:v>Receipt GL and reported valuation; inferred, PrcCostPer not supplied</x:v>
      </x:c>
      <x:c r="V57" s="13" t="n">
        <x:f>G57/I57</x:f>
        <x:v>0.1456</x:v>
      </x:c>
      <x:c r="W57" s="13" t="str">
        <x:f>IF(Q57=1,H57*(1+Summary!$J$5)/I57,"n.a.")</x:f>
        <x:v>n.a.</x:v>
      </x:c>
      <x:c r="X57" s="16" t="n">
        <x:f>D57*V57</x:f>
        <x:v>0</x:v>
      </x:c>
      <x:c r="Y57" s="16" t="n">
        <x:f>M57*V57</x:f>
        <x:v>0</x:v>
      </x:c>
      <x:c r="Z57" s="16" t="n">
        <x:f>N57*V57</x:f>
        <x:v>0</x:v>
      </x:c>
      <x:c r="AA57" s="16" t="n">
        <x:f>O57*V57</x:f>
        <x:v>0</x:v>
      </x:c>
      <x:c r="AB57" s="16" t="n">
        <x:f>J57-X57</x:f>
        <x:v>0</x:v>
      </x:c>
      <x:c r="AC57" s="16" t="str">
        <x:f>IF(ISNUMBER(W57),D57*(W57-V57),"n.a.")</x:f>
        <x:v>n.a.</x:v>
      </x:c>
      <x:c r="AD57" s="12" t="n">
        <x:f>F57-SUMIFS('PO detail'!$S$2:$S$672,'PO detail'!$A$2:$A$672,A57,'PO detail'!$B$2:$B$672,B57)</x:f>
        <x:v>0</x:v>
      </x:c>
    </x:row>
    <x:row r="58" ht="21" customHeight="1">
      <x:c r="A58" s="1" t="str">
        <x:v>10</x:v>
      </x:c>
      <x:c r="B58" s="1" t="str">
        <x:v>800BFGBRC</x:v>
      </x:c>
      <x:c r="C58" s="1" t="str">
        <x:v>ECOLOGICAL FIBERS, INC</x:v>
      </x:c>
      <x:c r="D58" s="8" t="n">
        <x:v>0</x:v>
      </x:c>
      <x:c r="E58" s="8" t="n">
        <x:v>0</x:v>
      </x:c>
      <x:c r="F58" s="8" t="n">
        <x:v>0</x:v>
      </x:c>
      <x:c r="G58" s="9" t="n">
        <x:v>18.47</x:v>
      </x:c>
      <x:c r="H58" s="9" t="n">
        <x:v>0</x:v>
      </x:c>
      <x:c r="I58" s="1" t="n">
        <x:v>100</x:v>
      </x:c>
      <x:c r="J58" s="10" t="n">
        <x:v>0</x:v>
      </x:c>
      <x:c r="K58" s="9"/>
      <x:c r="L58" s="9"/>
      <x:c r="M58" s="11" t="n">
        <x:f>IF(P58=1,SUMIFS('PO detail'!$P$2:$P$672,'PO detail'!$A$2:$A$672,A58,'PO detail'!$B$2:$B$672,B58,'PO detail'!$K$2:$K$672,"&lt;="&amp;(K58*1.01)),0)</x:f>
        <x:v>0</x:v>
      </x:c>
      <x:c r="N58" s="11" t="n">
        <x:f>IF(P58=1,D58-M58,0)</x:f>
        <x:v>0</x:v>
      </x:c>
      <x:c r="O58" s="11" t="n">
        <x:f>D58-M58-N58</x:f>
        <x:v>0</x:v>
      </x:c>
      <x:c r="P58" s="15" t="n">
        <x:f>IF(AND(K58&gt;0,ABS(D58-SUMIFS('PO detail'!$P$2:$P$672,'PO detail'!$A$2:$A$672,A58,'PO detail'!$B$2:$B$672,B58))&lt;0.01),1,0)</x:f>
        <x:v>0</x:v>
      </x:c>
      <x:c r="Q58" s="15" t="n">
        <x:f>IF(AND(L58&gt;0,H58&gt;0,ABS(H58-L58)&lt;0.01),1,0)</x:f>
        <x:v>0</x:v>
      </x:c>
      <x:c r="R58" s="15" t="str">
        <x:f>IF(P58=1,"Estimated FIFO layers covered",IF(K58="","No original PO-price baseline","Insufficient dated receipt quantity"))</x:f>
        <x:v>No original PO-price baseline</x:v>
      </x:c>
      <x:c r="S58" s="15" t="n">
        <x:f>SUMIFS('PO detail'!$P$2:$P$672,'PO detail'!$A$2:$A$672,A58,'PO detail'!$B$2:$B$672,B58)</x:f>
        <x:v>0</x:v>
      </x:c>
      <x:c r="T58" s="1" t="str">
        <x:v>2018-03-04 00:00:00</x:v>
      </x:c>
      <x:c r="U58" s="1" t="str">
        <x:v>Receipt GL and reported valuation; inferred, PrcCostPer not supplied</x:v>
      </x:c>
      <x:c r="V58" s="13" t="n">
        <x:f>G58/I58</x:f>
        <x:v>0.18469999999999998</x:v>
      </x:c>
      <x:c r="W58" s="13" t="str">
        <x:f>IF(Q58=1,H58*(1+Summary!$J$5)/I58,"n.a.")</x:f>
        <x:v>n.a.</x:v>
      </x:c>
      <x:c r="X58" s="16" t="n">
        <x:f>D58*V58</x:f>
        <x:v>0</x:v>
      </x:c>
      <x:c r="Y58" s="16" t="n">
        <x:f>M58*V58</x:f>
        <x:v>0</x:v>
      </x:c>
      <x:c r="Z58" s="16" t="n">
        <x:f>N58*V58</x:f>
        <x:v>0</x:v>
      </x:c>
      <x:c r="AA58" s="16" t="n">
        <x:f>O58*V58</x:f>
        <x:v>0</x:v>
      </x:c>
      <x:c r="AB58" s="16" t="n">
        <x:f>J58-X58</x:f>
        <x:v>0</x:v>
      </x:c>
      <x:c r="AC58" s="16" t="str">
        <x:f>IF(ISNUMBER(W58),D58*(W58-V58),"n.a.")</x:f>
        <x:v>n.a.</x:v>
      </x:c>
      <x:c r="AD58" s="12" t="n">
        <x:f>F58-SUMIFS('PO detail'!$S$2:$S$672,'PO detail'!$A$2:$A$672,A58,'PO detail'!$B$2:$B$672,B58)</x:f>
        <x:v>0</x:v>
      </x:c>
    </x:row>
    <x:row r="59" ht="21" customHeight="1">
      <x:c r="A59" s="1" t="str">
        <x:v>10</x:v>
      </x:c>
      <x:c r="B59" s="1" t="str">
        <x:v>800BFGCSC</x:v>
      </x:c>
      <x:c r="C59" s="1" t="str">
        <x:v>ECOLOGICAL FIBERS, INC</x:v>
      </x:c>
      <x:c r="D59" s="8" t="n">
        <x:v>0</x:v>
      </x:c>
      <x:c r="E59" s="8" t="n">
        <x:v>0</x:v>
      </x:c>
      <x:c r="F59" s="8" t="n">
        <x:v>0</x:v>
      </x:c>
      <x:c r="G59" s="9" t="n">
        <x:v>21.56</x:v>
      </x:c>
      <x:c r="H59" s="9" t="n">
        <x:v>11.13</x:v>
      </x:c>
      <x:c r="I59" s="1" t="n">
        <x:v>100</x:v>
      </x:c>
      <x:c r="J59" s="10" t="n">
        <x:v>0</x:v>
      </x:c>
      <x:c r="K59" s="9"/>
      <x:c r="L59" s="9"/>
      <x:c r="M59" s="11" t="n">
        <x:f>IF(P59=1,SUMIFS('PO detail'!$P$2:$P$672,'PO detail'!$A$2:$A$672,A59,'PO detail'!$B$2:$B$672,B59,'PO detail'!$K$2:$K$672,"&lt;="&amp;(K59*1.01)),0)</x:f>
        <x:v>0</x:v>
      </x:c>
      <x:c r="N59" s="11" t="n">
        <x:f>IF(P59=1,D59-M59,0)</x:f>
        <x:v>0</x:v>
      </x:c>
      <x:c r="O59" s="11" t="n">
        <x:f>D59-M59-N59</x:f>
        <x:v>0</x:v>
      </x:c>
      <x:c r="P59" s="15" t="n">
        <x:f>IF(AND(K59&gt;0,ABS(D59-SUMIFS('PO detail'!$P$2:$P$672,'PO detail'!$A$2:$A$672,A59,'PO detail'!$B$2:$B$672,B59))&lt;0.01),1,0)</x:f>
        <x:v>0</x:v>
      </x:c>
      <x:c r="Q59" s="15" t="n">
        <x:f>IF(AND(L59&gt;0,H59&gt;0,ABS(H59-L59)&lt;0.01),1,0)</x:f>
        <x:v>0</x:v>
      </x:c>
      <x:c r="R59" s="15" t="str">
        <x:f>IF(P59=1,"Estimated FIFO layers covered",IF(K59="","No original PO-price baseline","Insufficient dated receipt quantity"))</x:f>
        <x:v>No original PO-price baseline</x:v>
      </x:c>
      <x:c r="S59" s="15" t="n">
        <x:f>SUMIFS('PO detail'!$P$2:$P$672,'PO detail'!$A$2:$A$672,A59,'PO detail'!$B$2:$B$672,B59)</x:f>
        <x:v>0</x:v>
      </x:c>
      <x:c r="T59" s="1" t="str">
        <x:v>2024-02-08 00:00:00</x:v>
      </x:c>
      <x:c r="U59" s="1" t="str">
        <x:v>Receipt GL and reported valuation; inferred, PrcCostPer not supplied</x:v>
      </x:c>
      <x:c r="V59" s="13" t="n">
        <x:f>G59/I59</x:f>
        <x:v>0.21559999999999999</x:v>
      </x:c>
      <x:c r="W59" s="13" t="str">
        <x:f>IF(Q59=1,H59*(1+Summary!$J$5)/I59,"n.a.")</x:f>
        <x:v>n.a.</x:v>
      </x:c>
      <x:c r="X59" s="16" t="n">
        <x:f>D59*V59</x:f>
        <x:v>0</x:v>
      </x:c>
      <x:c r="Y59" s="16" t="n">
        <x:f>M59*V59</x:f>
        <x:v>0</x:v>
      </x:c>
      <x:c r="Z59" s="16" t="n">
        <x:f>N59*V59</x:f>
        <x:v>0</x:v>
      </x:c>
      <x:c r="AA59" s="16" t="n">
        <x:f>O59*V59</x:f>
        <x:v>0</x:v>
      </x:c>
      <x:c r="AB59" s="16" t="n">
        <x:f>J59-X59</x:f>
        <x:v>0</x:v>
      </x:c>
      <x:c r="AC59" s="16" t="str">
        <x:f>IF(ISNUMBER(W59),D59*(W59-V59),"n.a.")</x:f>
        <x:v>n.a.</x:v>
      </x:c>
      <x:c r="AD59" s="12" t="n">
        <x:f>F59-SUMIFS('PO detail'!$S$2:$S$672,'PO detail'!$A$2:$A$672,A59,'PO detail'!$B$2:$B$672,B59)</x:f>
        <x:v>0</x:v>
      </x:c>
    </x:row>
    <x:row r="60" ht="21" customHeight="1">
      <x:c r="A60" s="1" t="str">
        <x:v>10</x:v>
      </x:c>
      <x:c r="B60" s="1" t="str">
        <x:v>800BFGDSC</x:v>
      </x:c>
      <x:c r="C60" s="1" t="str">
        <x:v>ECOLOGICAL FIBERS, INC</x:v>
      </x:c>
      <x:c r="D60" s="8" t="n">
        <x:v>0</x:v>
      </x:c>
      <x:c r="E60" s="8" t="n">
        <x:v>0</x:v>
      </x:c>
      <x:c r="F60" s="8" t="n">
        <x:v>0</x:v>
      </x:c>
      <x:c r="G60" s="9" t="n">
        <x:v>38</x:v>
      </x:c>
      <x:c r="H60" s="9" t="n">
        <x:v>17.37</x:v>
      </x:c>
      <x:c r="I60" s="1" t="n">
        <x:v>100</x:v>
      </x:c>
      <x:c r="J60" s="10" t="n">
        <x:v>0</x:v>
      </x:c>
      <x:c r="K60" s="9"/>
      <x:c r="L60" s="9"/>
      <x:c r="M60" s="11" t="n">
        <x:f>IF(P60=1,SUMIFS('PO detail'!$P$2:$P$672,'PO detail'!$A$2:$A$672,A60,'PO detail'!$B$2:$B$672,B60,'PO detail'!$K$2:$K$672,"&lt;="&amp;(K60*1.01)),0)</x:f>
        <x:v>0</x:v>
      </x:c>
      <x:c r="N60" s="11" t="n">
        <x:f>IF(P60=1,D60-M60,0)</x:f>
        <x:v>0</x:v>
      </x:c>
      <x:c r="O60" s="11" t="n">
        <x:f>D60-M60-N60</x:f>
        <x:v>0</x:v>
      </x:c>
      <x:c r="P60" s="15" t="n">
        <x:f>IF(AND(K60&gt;0,ABS(D60-SUMIFS('PO detail'!$P$2:$P$672,'PO detail'!$A$2:$A$672,A60,'PO detail'!$B$2:$B$672,B60))&lt;0.01),1,0)</x:f>
        <x:v>0</x:v>
      </x:c>
      <x:c r="Q60" s="15" t="n">
        <x:f>IF(AND(L60&gt;0,H60&gt;0,ABS(H60-L60)&lt;0.01),1,0)</x:f>
        <x:v>0</x:v>
      </x:c>
      <x:c r="R60" s="15" t="str">
        <x:f>IF(P60=1,"Estimated FIFO layers covered",IF(K60="","No original PO-price baseline","Insufficient dated receipt quantity"))</x:f>
        <x:v>No original PO-price baseline</x:v>
      </x:c>
      <x:c r="S60" s="15" t="n">
        <x:f>SUMIFS('PO detail'!$P$2:$P$672,'PO detail'!$A$2:$A$672,A60,'PO detail'!$B$2:$B$672,B60)</x:f>
        <x:v>0</x:v>
      </x:c>
      <x:c r="T60" s="1" t="str">
        <x:v>2023-08-16 00:00:00</x:v>
      </x:c>
      <x:c r="U60" s="1" t="str">
        <x:v>Receipt GL and reported valuation; inferred, PrcCostPer not supplied</x:v>
      </x:c>
      <x:c r="V60" s="13" t="n">
        <x:f>G60/I60</x:f>
        <x:v>0.38</x:v>
      </x:c>
      <x:c r="W60" s="13" t="str">
        <x:f>IF(Q60=1,H60*(1+Summary!$J$5)/I60,"n.a.")</x:f>
        <x:v>n.a.</x:v>
      </x:c>
      <x:c r="X60" s="16" t="n">
        <x:f>D60*V60</x:f>
        <x:v>0</x:v>
      </x:c>
      <x:c r="Y60" s="16" t="n">
        <x:f>M60*V60</x:f>
        <x:v>0</x:v>
      </x:c>
      <x:c r="Z60" s="16" t="n">
        <x:f>N60*V60</x:f>
        <x:v>0</x:v>
      </x:c>
      <x:c r="AA60" s="16" t="n">
        <x:f>O60*V60</x:f>
        <x:v>0</x:v>
      </x:c>
      <x:c r="AB60" s="16" t="n">
        <x:f>J60-X60</x:f>
        <x:v>0</x:v>
      </x:c>
      <x:c r="AC60" s="16" t="str">
        <x:f>IF(ISNUMBER(W60),D60*(W60-V60),"n.a.")</x:f>
        <x:v>n.a.</x:v>
      </x:c>
      <x:c r="AD60" s="12" t="n">
        <x:f>F60-SUMIFS('PO detail'!$S$2:$S$672,'PO detail'!$A$2:$A$672,A60,'PO detail'!$B$2:$B$672,B60)</x:f>
        <x:v>0</x:v>
      </x:c>
    </x:row>
    <x:row r="61" ht="21" customHeight="1">
      <x:c r="A61" s="1" t="str">
        <x:v>10</x:v>
      </x:c>
      <x:c r="B61" s="1" t="str">
        <x:v>800BFGISC</x:v>
      </x:c>
      <x:c r="C61" s="1" t="str">
        <x:v>ECOLOGICAL FIBERS, INC</x:v>
      </x:c>
      <x:c r="D61" s="8" t="n">
        <x:v>0</x:v>
      </x:c>
      <x:c r="E61" s="8" t="n">
        <x:v>0</x:v>
      </x:c>
      <x:c r="F61" s="8" t="n">
        <x:v>0</x:v>
      </x:c>
      <x:c r="G61" s="9" t="n">
        <x:v>17.97</x:v>
      </x:c>
      <x:c r="H61" s="9" t="n">
        <x:v>0</x:v>
      </x:c>
      <x:c r="I61" s="1" t="n">
        <x:v>100</x:v>
      </x:c>
      <x:c r="J61" s="10" t="n">
        <x:v>0</x:v>
      </x:c>
      <x:c r="K61" s="9"/>
      <x:c r="L61" s="9"/>
      <x:c r="M61" s="11" t="n">
        <x:f>IF(P61=1,SUMIFS('PO detail'!$P$2:$P$672,'PO detail'!$A$2:$A$672,A61,'PO detail'!$B$2:$B$672,B61,'PO detail'!$K$2:$K$672,"&lt;="&amp;(K61*1.01)),0)</x:f>
        <x:v>0</x:v>
      </x:c>
      <x:c r="N61" s="11" t="n">
        <x:f>IF(P61=1,D61-M61,0)</x:f>
        <x:v>0</x:v>
      </x:c>
      <x:c r="O61" s="11" t="n">
        <x:f>D61-M61-N61</x:f>
        <x:v>0</x:v>
      </x:c>
      <x:c r="P61" s="15" t="n">
        <x:f>IF(AND(K61&gt;0,ABS(D61-SUMIFS('PO detail'!$P$2:$P$672,'PO detail'!$A$2:$A$672,A61,'PO detail'!$B$2:$B$672,B61))&lt;0.01),1,0)</x:f>
        <x:v>0</x:v>
      </x:c>
      <x:c r="Q61" s="15" t="n">
        <x:f>IF(AND(L61&gt;0,H61&gt;0,ABS(H61-L61)&lt;0.01),1,0)</x:f>
        <x:v>0</x:v>
      </x:c>
      <x:c r="R61" s="15" t="str">
        <x:f>IF(P61=1,"Estimated FIFO layers covered",IF(K61="","No original PO-price baseline","Insufficient dated receipt quantity"))</x:f>
        <x:v>No original PO-price baseline</x:v>
      </x:c>
      <x:c r="S61" s="15" t="n">
        <x:f>SUMIFS('PO detail'!$P$2:$P$672,'PO detail'!$A$2:$A$672,A61,'PO detail'!$B$2:$B$672,B61)</x:f>
        <x:v>0</x:v>
      </x:c>
      <x:c r="T61" s="1" t="str">
        <x:v>2024-02-08 00:00:00</x:v>
      </x:c>
      <x:c r="U61" s="1" t="str">
        <x:v>Receipt GL and reported valuation; inferred, PrcCostPer not supplied</x:v>
      </x:c>
      <x:c r="V61" s="13" t="n">
        <x:f>G61/I61</x:f>
        <x:v>0.1797</x:v>
      </x:c>
      <x:c r="W61" s="13" t="str">
        <x:f>IF(Q61=1,H61*(1+Summary!$J$5)/I61,"n.a.")</x:f>
        <x:v>n.a.</x:v>
      </x:c>
      <x:c r="X61" s="16" t="n">
        <x:f>D61*V61</x:f>
        <x:v>0</x:v>
      </x:c>
      <x:c r="Y61" s="16" t="n">
        <x:f>M61*V61</x:f>
        <x:v>0</x:v>
      </x:c>
      <x:c r="Z61" s="16" t="n">
        <x:f>N61*V61</x:f>
        <x:v>0</x:v>
      </x:c>
      <x:c r="AA61" s="16" t="n">
        <x:f>O61*V61</x:f>
        <x:v>0</x:v>
      </x:c>
      <x:c r="AB61" s="16" t="n">
        <x:f>J61-X61</x:f>
        <x:v>0</x:v>
      </x:c>
      <x:c r="AC61" s="16" t="str">
        <x:f>IF(ISNUMBER(W61),D61*(W61-V61),"n.a.")</x:f>
        <x:v>n.a.</x:v>
      </x:c>
      <x:c r="AD61" s="12" t="n">
        <x:f>F61-SUMIFS('PO detail'!$S$2:$S$672,'PO detail'!$A$2:$A$672,A61,'PO detail'!$B$2:$B$672,B61)</x:f>
        <x:v>0</x:v>
      </x:c>
    </x:row>
    <x:row r="62" ht="21" customHeight="1">
      <x:c r="A62" s="1" t="str">
        <x:v>10</x:v>
      </x:c>
      <x:c r="B62" s="1" t="str">
        <x:v>800BLKF</x:v>
      </x:c>
      <x:c r="C62" s="1" t="str">
        <x:v>ECOLOGICAL FIBERS, INC</x:v>
      </x:c>
      <x:c r="D62" s="8" t="n">
        <x:v>0</x:v>
      </x:c>
      <x:c r="E62" s="8" t="n">
        <x:v>0</x:v>
      </x:c>
      <x:c r="F62" s="8" t="n">
        <x:v>0</x:v>
      </x:c>
      <x:c r="G62" s="9" t="n">
        <x:v>703</x:v>
      </x:c>
      <x:c r="H62" s="9" t="n">
        <x:v>710</x:v>
      </x:c>
      <x:c r="I62" s="1" t="n">
        <x:v>100</x:v>
      </x:c>
      <x:c r="J62" s="10" t="n">
        <x:v>0</x:v>
      </x:c>
      <x:c r="K62" s="9"/>
      <x:c r="L62" s="9"/>
      <x:c r="M62" s="11" t="n">
        <x:f>IF(P62=1,SUMIFS('PO detail'!$P$2:$P$672,'PO detail'!$A$2:$A$672,A62,'PO detail'!$B$2:$B$672,B62,'PO detail'!$K$2:$K$672,"&lt;="&amp;(K62*1.01)),0)</x:f>
        <x:v>0</x:v>
      </x:c>
      <x:c r="N62" s="11" t="n">
        <x:f>IF(P62=1,D62-M62,0)</x:f>
        <x:v>0</x:v>
      </x:c>
      <x:c r="O62" s="11" t="n">
        <x:f>D62-M62-N62</x:f>
        <x:v>0</x:v>
      </x:c>
      <x:c r="P62" s="15" t="n">
        <x:f>IF(AND(K62&gt;0,ABS(D62-SUMIFS('PO detail'!$P$2:$P$672,'PO detail'!$A$2:$A$672,A62,'PO detail'!$B$2:$B$672,B62))&lt;0.01),1,0)</x:f>
        <x:v>0</x:v>
      </x:c>
      <x:c r="Q62" s="15" t="n">
        <x:f>IF(AND(L62&gt;0,H62&gt;0,ABS(H62-L62)&lt;0.01),1,0)</x:f>
        <x:v>0</x:v>
      </x:c>
      <x:c r="R62" s="15" t="str">
        <x:f>IF(P62=1,"Estimated FIFO layers covered",IF(K62="","No original PO-price baseline","Insufficient dated receipt quantity"))</x:f>
        <x:v>No original PO-price baseline</x:v>
      </x:c>
      <x:c r="S62" s="15" t="n">
        <x:f>SUMIFS('PO detail'!$P$2:$P$672,'PO detail'!$A$2:$A$672,A62,'PO detail'!$B$2:$B$672,B62)</x:f>
        <x:v>0</x:v>
      </x:c>
      <x:c r="T62" s="1" t="str">
        <x:v>2019-11-20 00:00:00</x:v>
      </x:c>
      <x:c r="U62" s="1" t="str">
        <x:v>Receipt GL and reported valuation; inferred, PrcCostPer not supplied</x:v>
      </x:c>
      <x:c r="V62" s="13" t="n">
        <x:f>G62/I62</x:f>
        <x:v>7.03</x:v>
      </x:c>
      <x:c r="W62" s="13" t="str">
        <x:f>IF(Q62=1,H62*(1+Summary!$J$5)/I62,"n.a.")</x:f>
        <x:v>n.a.</x:v>
      </x:c>
      <x:c r="X62" s="16" t="n">
        <x:f>D62*V62</x:f>
        <x:v>0</x:v>
      </x:c>
      <x:c r="Y62" s="16" t="n">
        <x:f>M62*V62</x:f>
        <x:v>0</x:v>
      </x:c>
      <x:c r="Z62" s="16" t="n">
        <x:f>N62*V62</x:f>
        <x:v>0</x:v>
      </x:c>
      <x:c r="AA62" s="16" t="n">
        <x:f>O62*V62</x:f>
        <x:v>0</x:v>
      </x:c>
      <x:c r="AB62" s="16" t="n">
        <x:f>J62-X62</x:f>
        <x:v>0</x:v>
      </x:c>
      <x:c r="AC62" s="16" t="str">
        <x:f>IF(ISNUMBER(W62),D62*(W62-V62),"n.a.")</x:f>
        <x:v>n.a.</x:v>
      </x:c>
      <x:c r="AD62" s="12" t="n">
        <x:f>F62-SUMIFS('PO detail'!$S$2:$S$672,'PO detail'!$A$2:$A$672,A62,'PO detail'!$B$2:$B$672,B62)</x:f>
        <x:v>0</x:v>
      </x:c>
    </x:row>
    <x:row r="63" ht="21" customHeight="1">
      <x:c r="A63" s="1" t="str">
        <x:v>10</x:v>
      </x:c>
      <x:c r="B63" s="1" t="str">
        <x:v>800BWHTASC</x:v>
      </x:c>
      <x:c r="C63" s="1" t="str">
        <x:v>ECOLOGICAL FIBERS, INC</x:v>
      </x:c>
      <x:c r="D63" s="8" t="n">
        <x:v>0</x:v>
      </x:c>
      <x:c r="E63" s="8" t="n">
        <x:v>0</x:v>
      </x:c>
      <x:c r="F63" s="8" t="n">
        <x:v>0</x:v>
      </x:c>
      <x:c r="G63" s="9" t="n">
        <x:v>14.56</x:v>
      </x:c>
      <x:c r="H63" s="9" t="n">
        <x:v>0</x:v>
      </x:c>
      <x:c r="I63" s="1" t="n">
        <x:v>100</x:v>
      </x:c>
      <x:c r="J63" s="10" t="n">
        <x:v>0</x:v>
      </x:c>
      <x:c r="K63" s="9"/>
      <x:c r="L63" s="9"/>
      <x:c r="M63" s="11" t="n">
        <x:f>IF(P63=1,SUMIFS('PO detail'!$P$2:$P$672,'PO detail'!$A$2:$A$672,A63,'PO detail'!$B$2:$B$672,B63,'PO detail'!$K$2:$K$672,"&lt;="&amp;(K63*1.01)),0)</x:f>
        <x:v>0</x:v>
      </x:c>
      <x:c r="N63" s="11" t="n">
        <x:f>IF(P63=1,D63-M63,0)</x:f>
        <x:v>0</x:v>
      </x:c>
      <x:c r="O63" s="11" t="n">
        <x:f>D63-M63-N63</x:f>
        <x:v>0</x:v>
      </x:c>
      <x:c r="P63" s="15" t="n">
        <x:f>IF(AND(K63&gt;0,ABS(D63-SUMIFS('PO detail'!$P$2:$P$672,'PO detail'!$A$2:$A$672,A63,'PO detail'!$B$2:$B$672,B63))&lt;0.01),1,0)</x:f>
        <x:v>0</x:v>
      </x:c>
      <x:c r="Q63" s="15" t="n">
        <x:f>IF(AND(L63&gt;0,H63&gt;0,ABS(H63-L63)&lt;0.01),1,0)</x:f>
        <x:v>0</x:v>
      </x:c>
      <x:c r="R63" s="15" t="str">
        <x:f>IF(P63=1,"Estimated FIFO layers covered",IF(K63="","No original PO-price baseline","Insufficient dated receipt quantity"))</x:f>
        <x:v>No original PO-price baseline</x:v>
      </x:c>
      <x:c r="S63" s="15" t="n">
        <x:f>SUMIFS('PO detail'!$P$2:$P$672,'PO detail'!$A$2:$A$672,A63,'PO detail'!$B$2:$B$672,B63)</x:f>
        <x:v>0</x:v>
      </x:c>
      <x:c r="T63" s="1" t="str">
        <x:v>2023-07-11 00:00:00</x:v>
      </x:c>
      <x:c r="U63" s="1" t="str">
        <x:v>Receipt GL and reported valuation; inferred, PrcCostPer not supplied</x:v>
      </x:c>
      <x:c r="V63" s="13" t="n">
        <x:f>G63/I63</x:f>
        <x:v>0.1456</x:v>
      </x:c>
      <x:c r="W63" s="13" t="str">
        <x:f>IF(Q63=1,H63*(1+Summary!$J$5)/I63,"n.a.")</x:f>
        <x:v>n.a.</x:v>
      </x:c>
      <x:c r="X63" s="16" t="n">
        <x:f>D63*V63</x:f>
        <x:v>0</x:v>
      </x:c>
      <x:c r="Y63" s="16" t="n">
        <x:f>M63*V63</x:f>
        <x:v>0</x:v>
      </x:c>
      <x:c r="Z63" s="16" t="n">
        <x:f>N63*V63</x:f>
        <x:v>0</x:v>
      </x:c>
      <x:c r="AA63" s="16" t="n">
        <x:f>O63*V63</x:f>
        <x:v>0</x:v>
      </x:c>
      <x:c r="AB63" s="16" t="n">
        <x:f>J63-X63</x:f>
        <x:v>0</x:v>
      </x:c>
      <x:c r="AC63" s="16" t="str">
        <x:f>IF(ISNUMBER(W63),D63*(W63-V63),"n.a.")</x:f>
        <x:v>n.a.</x:v>
      </x:c>
      <x:c r="AD63" s="12" t="n">
        <x:f>F63-SUMIFS('PO detail'!$S$2:$S$672,'PO detail'!$A$2:$A$672,A63,'PO detail'!$B$2:$B$672,B63)</x:f>
        <x:v>0</x:v>
      </x:c>
    </x:row>
    <x:row r="64" ht="21" customHeight="1">
      <x:c r="A64" s="1" t="str">
        <x:v>10</x:v>
      </x:c>
      <x:c r="B64" s="1" t="str">
        <x:v>800BWHTBRC</x:v>
      </x:c>
      <x:c r="C64" s="1" t="str">
        <x:v>ECOLOGICAL FIBERS, INC</x:v>
      </x:c>
      <x:c r="D64" s="8" t="n">
        <x:v>0</x:v>
      </x:c>
      <x:c r="E64" s="8" t="n">
        <x:v>0</x:v>
      </x:c>
      <x:c r="F64" s="8" t="n">
        <x:v>0</x:v>
      </x:c>
      <x:c r="G64" s="9" t="n">
        <x:v>18.47</x:v>
      </x:c>
      <x:c r="H64" s="9" t="n">
        <x:v>0</x:v>
      </x:c>
      <x:c r="I64" s="1" t="n">
        <x:v>100</x:v>
      </x:c>
      <x:c r="J64" s="10" t="n">
        <x:v>0</x:v>
      </x:c>
      <x:c r="K64" s="9"/>
      <x:c r="L64" s="9"/>
      <x:c r="M64" s="11" t="n">
        <x:f>IF(P64=1,SUMIFS('PO detail'!$P$2:$P$672,'PO detail'!$A$2:$A$672,A64,'PO detail'!$B$2:$B$672,B64,'PO detail'!$K$2:$K$672,"&lt;="&amp;(K64*1.01)),0)</x:f>
        <x:v>0</x:v>
      </x:c>
      <x:c r="N64" s="11" t="n">
        <x:f>IF(P64=1,D64-M64,0)</x:f>
        <x:v>0</x:v>
      </x:c>
      <x:c r="O64" s="11" t="n">
        <x:f>D64-M64-N64</x:f>
        <x:v>0</x:v>
      </x:c>
      <x:c r="P64" s="15" t="n">
        <x:f>IF(AND(K64&gt;0,ABS(D64-SUMIFS('PO detail'!$P$2:$P$672,'PO detail'!$A$2:$A$672,A64,'PO detail'!$B$2:$B$672,B64))&lt;0.01),1,0)</x:f>
        <x:v>0</x:v>
      </x:c>
      <x:c r="Q64" s="15" t="n">
        <x:f>IF(AND(L64&gt;0,H64&gt;0,ABS(H64-L64)&lt;0.01),1,0)</x:f>
        <x:v>0</x:v>
      </x:c>
      <x:c r="R64" s="15" t="str">
        <x:f>IF(P64=1,"Estimated FIFO layers covered",IF(K64="","No original PO-price baseline","Insufficient dated receipt quantity"))</x:f>
        <x:v>No original PO-price baseline</x:v>
      </x:c>
      <x:c r="S64" s="15" t="n">
        <x:f>SUMIFS('PO detail'!$P$2:$P$672,'PO detail'!$A$2:$A$672,A64,'PO detail'!$B$2:$B$672,B64)</x:f>
        <x:v>0</x:v>
      </x:c>
      <x:c r="T64" s="1" t="str">
        <x:v>2017-04-17 00:00:00</x:v>
      </x:c>
      <x:c r="U64" s="1" t="str">
        <x:v>Receipt GL and reported valuation; inferred, PrcCostPer not supplied</x:v>
      </x:c>
      <x:c r="V64" s="13" t="n">
        <x:f>G64/I64</x:f>
        <x:v>0.18469999999999998</x:v>
      </x:c>
      <x:c r="W64" s="13" t="str">
        <x:f>IF(Q64=1,H64*(1+Summary!$J$5)/I64,"n.a.")</x:f>
        <x:v>n.a.</x:v>
      </x:c>
      <x:c r="X64" s="16" t="n">
        <x:f>D64*V64</x:f>
        <x:v>0</x:v>
      </x:c>
      <x:c r="Y64" s="16" t="n">
        <x:f>M64*V64</x:f>
        <x:v>0</x:v>
      </x:c>
      <x:c r="Z64" s="16" t="n">
        <x:f>N64*V64</x:f>
        <x:v>0</x:v>
      </x:c>
      <x:c r="AA64" s="16" t="n">
        <x:f>O64*V64</x:f>
        <x:v>0</x:v>
      </x:c>
      <x:c r="AB64" s="16" t="n">
        <x:f>J64-X64</x:f>
        <x:v>0</x:v>
      </x:c>
      <x:c r="AC64" s="16" t="str">
        <x:f>IF(ISNUMBER(W64),D64*(W64-V64),"n.a.")</x:f>
        <x:v>n.a.</x:v>
      </x:c>
      <x:c r="AD64" s="12" t="n">
        <x:f>F64-SUMIFS('PO detail'!$S$2:$S$672,'PO detail'!$A$2:$A$672,A64,'PO detail'!$B$2:$B$672,B64)</x:f>
        <x:v>0</x:v>
      </x:c>
    </x:row>
    <x:row r="65" ht="21" customHeight="1">
      <x:c r="A65" s="1" t="str">
        <x:v>10</x:v>
      </x:c>
      <x:c r="B65" s="1" t="str">
        <x:v>800BWHTCSC</x:v>
      </x:c>
      <x:c r="C65" s="1" t="str">
        <x:v>ECOLOGICAL FIBERS, INC</x:v>
      </x:c>
      <x:c r="D65" s="8" t="n">
        <x:v>0</x:v>
      </x:c>
      <x:c r="E65" s="8" t="n">
        <x:v>0</x:v>
      </x:c>
      <x:c r="F65" s="8" t="n">
        <x:v>0</x:v>
      </x:c>
      <x:c r="G65" s="9" t="n">
        <x:v>21.56</x:v>
      </x:c>
      <x:c r="H65" s="9" t="n">
        <x:v>0</x:v>
      </x:c>
      <x:c r="I65" s="1" t="n">
        <x:v>100</x:v>
      </x:c>
      <x:c r="J65" s="10" t="n">
        <x:v>0</x:v>
      </x:c>
      <x:c r="K65" s="9"/>
      <x:c r="L65" s="9"/>
      <x:c r="M65" s="11" t="n">
        <x:f>IF(P65=1,SUMIFS('PO detail'!$P$2:$P$672,'PO detail'!$A$2:$A$672,A65,'PO detail'!$B$2:$B$672,B65,'PO detail'!$K$2:$K$672,"&lt;="&amp;(K65*1.01)),0)</x:f>
        <x:v>0</x:v>
      </x:c>
      <x:c r="N65" s="11" t="n">
        <x:f>IF(P65=1,D65-M65,0)</x:f>
        <x:v>0</x:v>
      </x:c>
      <x:c r="O65" s="11" t="n">
        <x:f>D65-M65-N65</x:f>
        <x:v>0</x:v>
      </x:c>
      <x:c r="P65" s="15" t="n">
        <x:f>IF(AND(K65&gt;0,ABS(D65-SUMIFS('PO detail'!$P$2:$P$672,'PO detail'!$A$2:$A$672,A65,'PO detail'!$B$2:$B$672,B65))&lt;0.01),1,0)</x:f>
        <x:v>0</x:v>
      </x:c>
      <x:c r="Q65" s="15" t="n">
        <x:f>IF(AND(L65&gt;0,H65&gt;0,ABS(H65-L65)&lt;0.01),1,0)</x:f>
        <x:v>0</x:v>
      </x:c>
      <x:c r="R65" s="15" t="str">
        <x:f>IF(P65=1,"Estimated FIFO layers covered",IF(K65="","No original PO-price baseline","Insufficient dated receipt quantity"))</x:f>
        <x:v>No original PO-price baseline</x:v>
      </x:c>
      <x:c r="S65" s="15" t="n">
        <x:f>SUMIFS('PO detail'!$P$2:$P$672,'PO detail'!$A$2:$A$672,A65,'PO detail'!$B$2:$B$672,B65)</x:f>
        <x:v>0</x:v>
      </x:c>
      <x:c r="T65" s="1" t="str">
        <x:v>2024-02-08 00:00:00</x:v>
      </x:c>
      <x:c r="U65" s="1" t="str">
        <x:v>Receipt GL and reported valuation; inferred, PrcCostPer not supplied</x:v>
      </x:c>
      <x:c r="V65" s="13" t="n">
        <x:f>G65/I65</x:f>
        <x:v>0.21559999999999999</x:v>
      </x:c>
      <x:c r="W65" s="13" t="str">
        <x:f>IF(Q65=1,H65*(1+Summary!$J$5)/I65,"n.a.")</x:f>
        <x:v>n.a.</x:v>
      </x:c>
      <x:c r="X65" s="16" t="n">
        <x:f>D65*V65</x:f>
        <x:v>0</x:v>
      </x:c>
      <x:c r="Y65" s="16" t="n">
        <x:f>M65*V65</x:f>
        <x:v>0</x:v>
      </x:c>
      <x:c r="Z65" s="16" t="n">
        <x:f>N65*V65</x:f>
        <x:v>0</x:v>
      </x:c>
      <x:c r="AA65" s="16" t="n">
        <x:f>O65*V65</x:f>
        <x:v>0</x:v>
      </x:c>
      <x:c r="AB65" s="16" t="n">
        <x:f>J65-X65</x:f>
        <x:v>0</x:v>
      </x:c>
      <x:c r="AC65" s="16" t="str">
        <x:f>IF(ISNUMBER(W65),D65*(W65-V65),"n.a.")</x:f>
        <x:v>n.a.</x:v>
      </x:c>
      <x:c r="AD65" s="12" t="n">
        <x:f>F65-SUMIFS('PO detail'!$S$2:$S$672,'PO detail'!$A$2:$A$672,A65,'PO detail'!$B$2:$B$672,B65)</x:f>
        <x:v>0</x:v>
      </x:c>
    </x:row>
    <x:row r="66" ht="21" customHeight="1">
      <x:c r="A66" s="1" t="str">
        <x:v>10</x:v>
      </x:c>
      <x:c r="B66" s="1" t="str">
        <x:v>800BWHTDSC</x:v>
      </x:c>
      <x:c r="C66" s="1" t="str">
        <x:v>ECOLOGICAL FIBERS, INC</x:v>
      </x:c>
      <x:c r="D66" s="8" t="n">
        <x:v>0</x:v>
      </x:c>
      <x:c r="E66" s="8" t="n">
        <x:v>0</x:v>
      </x:c>
      <x:c r="F66" s="8" t="n">
        <x:v>0</x:v>
      </x:c>
      <x:c r="G66" s="9" t="n">
        <x:v>38</x:v>
      </x:c>
      <x:c r="H66" s="9" t="n">
        <x:v>17.37</x:v>
      </x:c>
      <x:c r="I66" s="1" t="n">
        <x:v>100</x:v>
      </x:c>
      <x:c r="J66" s="10" t="n">
        <x:v>0</x:v>
      </x:c>
      <x:c r="K66" s="9"/>
      <x:c r="L66" s="9"/>
      <x:c r="M66" s="11" t="n">
        <x:f>IF(P66=1,SUMIFS('PO detail'!$P$2:$P$672,'PO detail'!$A$2:$A$672,A66,'PO detail'!$B$2:$B$672,B66,'PO detail'!$K$2:$K$672,"&lt;="&amp;(K66*1.01)),0)</x:f>
        <x:v>0</x:v>
      </x:c>
      <x:c r="N66" s="11" t="n">
        <x:f>IF(P66=1,D66-M66,0)</x:f>
        <x:v>0</x:v>
      </x:c>
      <x:c r="O66" s="11" t="n">
        <x:f>D66-M66-N66</x:f>
        <x:v>0</x:v>
      </x:c>
      <x:c r="P66" s="15" t="n">
        <x:f>IF(AND(K66&gt;0,ABS(D66-SUMIFS('PO detail'!$P$2:$P$672,'PO detail'!$A$2:$A$672,A66,'PO detail'!$B$2:$B$672,B66))&lt;0.01),1,0)</x:f>
        <x:v>0</x:v>
      </x:c>
      <x:c r="Q66" s="15" t="n">
        <x:f>IF(AND(L66&gt;0,H66&gt;0,ABS(H66-L66)&lt;0.01),1,0)</x:f>
        <x:v>0</x:v>
      </x:c>
      <x:c r="R66" s="15" t="str">
        <x:f>IF(P66=1,"Estimated FIFO layers covered",IF(K66="","No original PO-price baseline","Insufficient dated receipt quantity"))</x:f>
        <x:v>No original PO-price baseline</x:v>
      </x:c>
      <x:c r="S66" s="15" t="n">
        <x:f>SUMIFS('PO detail'!$P$2:$P$672,'PO detail'!$A$2:$A$672,A66,'PO detail'!$B$2:$B$672,B66)</x:f>
        <x:v>0</x:v>
      </x:c>
      <x:c r="T66" s="1" t="str">
        <x:v>2018-04-05 00:00:00</x:v>
      </x:c>
      <x:c r="U66" s="1" t="str">
        <x:v>Receipt GL and reported valuation; inferred, PrcCostPer not supplied</x:v>
      </x:c>
      <x:c r="V66" s="13" t="n">
        <x:f>G66/I66</x:f>
        <x:v>0.38</x:v>
      </x:c>
      <x:c r="W66" s="13" t="str">
        <x:f>IF(Q66=1,H66*(1+Summary!$J$5)/I66,"n.a.")</x:f>
        <x:v>n.a.</x:v>
      </x:c>
      <x:c r="X66" s="16" t="n">
        <x:f>D66*V66</x:f>
        <x:v>0</x:v>
      </x:c>
      <x:c r="Y66" s="16" t="n">
        <x:f>M66*V66</x:f>
        <x:v>0</x:v>
      </x:c>
      <x:c r="Z66" s="16" t="n">
        <x:f>N66*V66</x:f>
        <x:v>0</x:v>
      </x:c>
      <x:c r="AA66" s="16" t="n">
        <x:f>O66*V66</x:f>
        <x:v>0</x:v>
      </x:c>
      <x:c r="AB66" s="16" t="n">
        <x:f>J66-X66</x:f>
        <x:v>0</x:v>
      </x:c>
      <x:c r="AC66" s="16" t="str">
        <x:f>IF(ISNUMBER(W66),D66*(W66-V66),"n.a.")</x:f>
        <x:v>n.a.</x:v>
      </x:c>
      <x:c r="AD66" s="12" t="n">
        <x:f>F66-SUMIFS('PO detail'!$S$2:$S$672,'PO detail'!$A$2:$A$672,A66,'PO detail'!$B$2:$B$672,B66)</x:f>
        <x:v>0</x:v>
      </x:c>
    </x:row>
    <x:row r="67" ht="21" customHeight="1">
      <x:c r="A67" s="1" t="str">
        <x:v>10</x:v>
      </x:c>
      <x:c r="B67" s="1" t="str">
        <x:v>800BWHTISC</x:v>
      </x:c>
      <x:c r="C67" s="1" t="str">
        <x:v>ECOLOGICAL FIBERS, INC</x:v>
      </x:c>
      <x:c r="D67" s="8" t="n">
        <x:v>0</x:v>
      </x:c>
      <x:c r="E67" s="8" t="n">
        <x:v>0</x:v>
      </x:c>
      <x:c r="F67" s="8" t="n">
        <x:v>0</x:v>
      </x:c>
      <x:c r="G67" s="9" t="n">
        <x:v>17.97</x:v>
      </x:c>
      <x:c r="H67" s="9" t="n">
        <x:v>9.06</x:v>
      </x:c>
      <x:c r="I67" s="1" t="n">
        <x:v>100</x:v>
      </x:c>
      <x:c r="J67" s="10" t="n">
        <x:v>0</x:v>
      </x:c>
      <x:c r="K67" s="9"/>
      <x:c r="L67" s="9"/>
      <x:c r="M67" s="11" t="n">
        <x:f>IF(P67=1,SUMIFS('PO detail'!$P$2:$P$672,'PO detail'!$A$2:$A$672,A67,'PO detail'!$B$2:$B$672,B67,'PO detail'!$K$2:$K$672,"&lt;="&amp;(K67*1.01)),0)</x:f>
        <x:v>0</x:v>
      </x:c>
      <x:c r="N67" s="11" t="n">
        <x:f>IF(P67=1,D67-M67,0)</x:f>
        <x:v>0</x:v>
      </x:c>
      <x:c r="O67" s="11" t="n">
        <x:f>D67-M67-N67</x:f>
        <x:v>0</x:v>
      </x:c>
      <x:c r="P67" s="15" t="n">
        <x:f>IF(AND(K67&gt;0,ABS(D67-SUMIFS('PO detail'!$P$2:$P$672,'PO detail'!$A$2:$A$672,A67,'PO detail'!$B$2:$B$672,B67))&lt;0.01),1,0)</x:f>
        <x:v>0</x:v>
      </x:c>
      <x:c r="Q67" s="15" t="n">
        <x:f>IF(AND(L67&gt;0,H67&gt;0,ABS(H67-L67)&lt;0.01),1,0)</x:f>
        <x:v>0</x:v>
      </x:c>
      <x:c r="R67" s="15" t="str">
        <x:f>IF(P67=1,"Estimated FIFO layers covered",IF(K67="","No original PO-price baseline","Insufficient dated receipt quantity"))</x:f>
        <x:v>No original PO-price baseline</x:v>
      </x:c>
      <x:c r="S67" s="15" t="n">
        <x:f>SUMIFS('PO detail'!$P$2:$P$672,'PO detail'!$A$2:$A$672,A67,'PO detail'!$B$2:$B$672,B67)</x:f>
        <x:v>0</x:v>
      </x:c>
      <x:c r="T67" s="1" t="str">
        <x:v>2016-07-11 00:00:00</x:v>
      </x:c>
      <x:c r="U67" s="1" t="str">
        <x:v>Receipt GL and reported valuation; inferred, PrcCostPer not supplied</x:v>
      </x:c>
      <x:c r="V67" s="13" t="n">
        <x:f>G67/I67</x:f>
        <x:v>0.1797</x:v>
      </x:c>
      <x:c r="W67" s="13" t="str">
        <x:f>IF(Q67=1,H67*(1+Summary!$J$5)/I67,"n.a.")</x:f>
        <x:v>n.a.</x:v>
      </x:c>
      <x:c r="X67" s="16" t="n">
        <x:f>D67*V67</x:f>
        <x:v>0</x:v>
      </x:c>
      <x:c r="Y67" s="16" t="n">
        <x:f>M67*V67</x:f>
        <x:v>0</x:v>
      </x:c>
      <x:c r="Z67" s="16" t="n">
        <x:f>N67*V67</x:f>
        <x:v>0</x:v>
      </x:c>
      <x:c r="AA67" s="16" t="n">
        <x:f>O67*V67</x:f>
        <x:v>0</x:v>
      </x:c>
      <x:c r="AB67" s="16" t="n">
        <x:f>J67-X67</x:f>
        <x:v>0</x:v>
      </x:c>
      <x:c r="AC67" s="16" t="str">
        <x:f>IF(ISNUMBER(W67),D67*(W67-V67),"n.a.")</x:f>
        <x:v>n.a.</x:v>
      </x:c>
      <x:c r="AD67" s="12" t="n">
        <x:f>F67-SUMIFS('PO detail'!$S$2:$S$672,'PO detail'!$A$2:$A$672,A67,'PO detail'!$B$2:$B$672,B67)</x:f>
        <x:v>0</x:v>
      </x:c>
    </x:row>
    <x:row r="68" ht="21" customHeight="1">
      <x:c r="A68" s="1" t="str">
        <x:v>10</x:v>
      </x:c>
      <x:c r="B68" s="1" t="str">
        <x:v>800FGE</x:v>
      </x:c>
      <x:c r="C68" s="1" t="str">
        <x:v>ECOLOGICAL FIBERS, INC</x:v>
      </x:c>
      <x:c r="D68" s="8" t="n">
        <x:v>0</x:v>
      </x:c>
      <x:c r="E68" s="8" t="n">
        <x:v>0</x:v>
      </x:c>
      <x:c r="F68" s="8" t="n">
        <x:v>0</x:v>
      </x:c>
      <x:c r="G68" s="9" t="n">
        <x:v>1078</x:v>
      </x:c>
      <x:c r="H68" s="9" t="n">
        <x:v>980</x:v>
      </x:c>
      <x:c r="I68" s="1" t="n">
        <x:v>100</x:v>
      </x:c>
      <x:c r="J68" s="10" t="n">
        <x:v>0</x:v>
      </x:c>
      <x:c r="K68" s="9"/>
      <x:c r="L68" s="9"/>
      <x:c r="M68" s="11" t="n">
        <x:f>IF(P68=1,SUMIFS('PO detail'!$P$2:$P$672,'PO detail'!$A$2:$A$672,A68,'PO detail'!$B$2:$B$672,B68,'PO detail'!$K$2:$K$672,"&lt;="&amp;(K68*1.01)),0)</x:f>
        <x:v>0</x:v>
      </x:c>
      <x:c r="N68" s="11" t="n">
        <x:f>IF(P68=1,D68-M68,0)</x:f>
        <x:v>0</x:v>
      </x:c>
      <x:c r="O68" s="11" t="n">
        <x:f>D68-M68-N68</x:f>
        <x:v>0</x:v>
      </x:c>
      <x:c r="P68" s="15" t="n">
        <x:f>IF(AND(K68&gt;0,ABS(D68-SUMIFS('PO detail'!$P$2:$P$672,'PO detail'!$A$2:$A$672,A68,'PO detail'!$B$2:$B$672,B68))&lt;0.01),1,0)</x:f>
        <x:v>0</x:v>
      </x:c>
      <x:c r="Q68" s="15" t="n">
        <x:f>IF(AND(L68&gt;0,H68&gt;0,ABS(H68-L68)&lt;0.01),1,0)</x:f>
        <x:v>0</x:v>
      </x:c>
      <x:c r="R68" s="15" t="str">
        <x:f>IF(P68=1,"Estimated FIFO layers covered",IF(K68="","No original PO-price baseline","Insufficient dated receipt quantity"))</x:f>
        <x:v>No original PO-price baseline</x:v>
      </x:c>
      <x:c r="S68" s="15" t="n">
        <x:f>SUMIFS('PO detail'!$P$2:$P$672,'PO detail'!$A$2:$A$672,A68,'PO detail'!$B$2:$B$672,B68)</x:f>
        <x:v>0</x:v>
      </x:c>
      <x:c r="T68" s="1" t="str"/>
      <x:c r="U68" s="1" t="str">
        <x:v>Receipt GL and reported valuation; inferred, PrcCostPer not supplied</x:v>
      </x:c>
      <x:c r="V68" s="13" t="n">
        <x:f>G68/I68</x:f>
        <x:v>10.78</x:v>
      </x:c>
      <x:c r="W68" s="13" t="str">
        <x:f>IF(Q68=1,H68*(1+Summary!$J$5)/I68,"n.a.")</x:f>
        <x:v>n.a.</x:v>
      </x:c>
      <x:c r="X68" s="16" t="n">
        <x:f>D68*V68</x:f>
        <x:v>0</x:v>
      </x:c>
      <x:c r="Y68" s="16" t="n">
        <x:f>M68*V68</x:f>
        <x:v>0</x:v>
      </x:c>
      <x:c r="Z68" s="16" t="n">
        <x:f>N68*V68</x:f>
        <x:v>0</x:v>
      </x:c>
      <x:c r="AA68" s="16" t="n">
        <x:f>O68*V68</x:f>
        <x:v>0</x:v>
      </x:c>
      <x:c r="AB68" s="16" t="n">
        <x:f>J68-X68</x:f>
        <x:v>0</x:v>
      </x:c>
      <x:c r="AC68" s="16" t="str">
        <x:f>IF(ISNUMBER(W68),D68*(W68-V68),"n.a.")</x:f>
        <x:v>n.a.</x:v>
      </x:c>
      <x:c r="AD68" s="12" t="n">
        <x:f>F68-SUMIFS('PO detail'!$S$2:$S$672,'PO detail'!$A$2:$A$672,A68,'PO detail'!$B$2:$B$672,B68)</x:f>
        <x:v>0</x:v>
      </x:c>
    </x:row>
    <x:row r="69" ht="21" customHeight="1">
      <x:c r="A69" s="1" t="str">
        <x:v>10</x:v>
      </x:c>
      <x:c r="B69" s="1" t="str">
        <x:v>800NAVF</x:v>
      </x:c>
      <x:c r="C69" s="1" t="str">
        <x:v>ECOLOGICAL FIBERS, INC</x:v>
      </x:c>
      <x:c r="D69" s="8" t="n">
        <x:v>0</x:v>
      </x:c>
      <x:c r="E69" s="8" t="n">
        <x:v>0</x:v>
      </x:c>
      <x:c r="F69" s="8" t="n">
        <x:v>0</x:v>
      </x:c>
      <x:c r="G69" s="9" t="n">
        <x:v>703</x:v>
      </x:c>
      <x:c r="H69" s="9" t="n">
        <x:v>710</x:v>
      </x:c>
      <x:c r="I69" s="1" t="n">
        <x:v>100</x:v>
      </x:c>
      <x:c r="J69" s="10" t="n">
        <x:v>0</x:v>
      </x:c>
      <x:c r="K69" s="9"/>
      <x:c r="L69" s="9"/>
      <x:c r="M69" s="11" t="n">
        <x:f>IF(P69=1,SUMIFS('PO detail'!$P$2:$P$672,'PO detail'!$A$2:$A$672,A69,'PO detail'!$B$2:$B$672,B69,'PO detail'!$K$2:$K$672,"&lt;="&amp;(K69*1.01)),0)</x:f>
        <x:v>0</x:v>
      </x:c>
      <x:c r="N69" s="11" t="n">
        <x:f>IF(P69=1,D69-M69,0)</x:f>
        <x:v>0</x:v>
      </x:c>
      <x:c r="O69" s="11" t="n">
        <x:f>D69-M69-N69</x:f>
        <x:v>0</x:v>
      </x:c>
      <x:c r="P69" s="15" t="n">
        <x:f>IF(AND(K69&gt;0,ABS(D69-SUMIFS('PO detail'!$P$2:$P$672,'PO detail'!$A$2:$A$672,A69,'PO detail'!$B$2:$B$672,B69))&lt;0.01),1,0)</x:f>
        <x:v>0</x:v>
      </x:c>
      <x:c r="Q69" s="15" t="n">
        <x:f>IF(AND(L69&gt;0,H69&gt;0,ABS(H69-L69)&lt;0.01),1,0)</x:f>
        <x:v>0</x:v>
      </x:c>
      <x:c r="R69" s="15" t="str">
        <x:f>IF(P69=1,"Estimated FIFO layers covered",IF(K69="","No original PO-price baseline","Insufficient dated receipt quantity"))</x:f>
        <x:v>No original PO-price baseline</x:v>
      </x:c>
      <x:c r="S69" s="15" t="n">
        <x:f>SUMIFS('PO detail'!$P$2:$P$672,'PO detail'!$A$2:$A$672,A69,'PO detail'!$B$2:$B$672,B69)</x:f>
        <x:v>0</x:v>
      </x:c>
      <x:c r="T69" s="1" t="str">
        <x:v>2019-10-02 00:00:00</x:v>
      </x:c>
      <x:c r="U69" s="1" t="str">
        <x:v>Receipt GL and reported valuation; inferred, PrcCostPer not supplied</x:v>
      </x:c>
      <x:c r="V69" s="13" t="n">
        <x:f>G69/I69</x:f>
        <x:v>7.03</x:v>
      </x:c>
      <x:c r="W69" s="13" t="str">
        <x:f>IF(Q69=1,H69*(1+Summary!$J$5)/I69,"n.a.")</x:f>
        <x:v>n.a.</x:v>
      </x:c>
      <x:c r="X69" s="16" t="n">
        <x:f>D69*V69</x:f>
        <x:v>0</x:v>
      </x:c>
      <x:c r="Y69" s="16" t="n">
        <x:f>M69*V69</x:f>
        <x:v>0</x:v>
      </x:c>
      <x:c r="Z69" s="16" t="n">
        <x:f>N69*V69</x:f>
        <x:v>0</x:v>
      </x:c>
      <x:c r="AA69" s="16" t="n">
        <x:f>O69*V69</x:f>
        <x:v>0</x:v>
      </x:c>
      <x:c r="AB69" s="16" t="n">
        <x:f>J69-X69</x:f>
        <x:v>0</x:v>
      </x:c>
      <x:c r="AC69" s="16" t="str">
        <x:f>IF(ISNUMBER(W69),D69*(W69-V69),"n.a.")</x:f>
        <x:v>n.a.</x:v>
      </x:c>
      <x:c r="AD69" s="12" t="n">
        <x:f>F69-SUMIFS('PO detail'!$S$2:$S$672,'PO detail'!$A$2:$A$672,A69,'PO detail'!$B$2:$B$672,B69)</x:f>
        <x:v>0</x:v>
      </x:c>
    </x:row>
    <x:row r="70" ht="21" customHeight="1">
      <x:c r="A70" s="1" t="str">
        <x:v>10</x:v>
      </x:c>
      <x:c r="B70" s="1" t="str">
        <x:v>800WHTE</x:v>
      </x:c>
      <x:c r="C70" s="1" t="str">
        <x:v>ECOLOGICAL FIBERS, INC</x:v>
      </x:c>
      <x:c r="D70" s="8" t="n">
        <x:v>0</x:v>
      </x:c>
      <x:c r="E70" s="8" t="n">
        <x:v>0</x:v>
      </x:c>
      <x:c r="F70" s="8" t="n">
        <x:v>0</x:v>
      </x:c>
      <x:c r="G70" s="9" t="n">
        <x:v>1144</x:v>
      </x:c>
      <x:c r="H70" s="9" t="n">
        <x:v>1040</x:v>
      </x:c>
      <x:c r="I70" s="1" t="n">
        <x:v>100</x:v>
      </x:c>
      <x:c r="J70" s="10" t="n">
        <x:v>0</x:v>
      </x:c>
      <x:c r="K70" s="9"/>
      <x:c r="L70" s="9"/>
      <x:c r="M70" s="11" t="n">
        <x:f>IF(P70=1,SUMIFS('PO detail'!$P$2:$P$672,'PO detail'!$A$2:$A$672,A70,'PO detail'!$B$2:$B$672,B70,'PO detail'!$K$2:$K$672,"&lt;="&amp;(K70*1.01)),0)</x:f>
        <x:v>0</x:v>
      </x:c>
      <x:c r="N70" s="11" t="n">
        <x:f>IF(P70=1,D70-M70,0)</x:f>
        <x:v>0</x:v>
      </x:c>
      <x:c r="O70" s="11" t="n">
        <x:f>D70-M70-N70</x:f>
        <x:v>0</x:v>
      </x:c>
      <x:c r="P70" s="15" t="n">
        <x:f>IF(AND(K70&gt;0,ABS(D70-SUMIFS('PO detail'!$P$2:$P$672,'PO detail'!$A$2:$A$672,A70,'PO detail'!$B$2:$B$672,B70))&lt;0.01),1,0)</x:f>
        <x:v>0</x:v>
      </x:c>
      <x:c r="Q70" s="15" t="n">
        <x:f>IF(AND(L70&gt;0,H70&gt;0,ABS(H70-L70)&lt;0.01),1,0)</x:f>
        <x:v>0</x:v>
      </x:c>
      <x:c r="R70" s="15" t="str">
        <x:f>IF(P70=1,"Estimated FIFO layers covered",IF(K70="","No original PO-price baseline","Insufficient dated receipt quantity"))</x:f>
        <x:v>No original PO-price baseline</x:v>
      </x:c>
      <x:c r="S70" s="15" t="n">
        <x:f>SUMIFS('PO detail'!$P$2:$P$672,'PO detail'!$A$2:$A$672,A70,'PO detail'!$B$2:$B$672,B70)</x:f>
        <x:v>0</x:v>
      </x:c>
      <x:c r="T70" s="1" t="str"/>
      <x:c r="U70" s="1" t="str">
        <x:v>Receipt GL and reported valuation; inferred, PrcCostPer not supplied</x:v>
      </x:c>
      <x:c r="V70" s="13" t="n">
        <x:f>G70/I70</x:f>
        <x:v>11.44</x:v>
      </x:c>
      <x:c r="W70" s="13" t="str">
        <x:f>IF(Q70=1,H70*(1+Summary!$J$5)/I70,"n.a.")</x:f>
        <x:v>n.a.</x:v>
      </x:c>
      <x:c r="X70" s="16" t="n">
        <x:f>D70*V70</x:f>
        <x:v>0</x:v>
      </x:c>
      <x:c r="Y70" s="16" t="n">
        <x:f>M70*V70</x:f>
        <x:v>0</x:v>
      </x:c>
      <x:c r="Z70" s="16" t="n">
        <x:f>N70*V70</x:f>
        <x:v>0</x:v>
      </x:c>
      <x:c r="AA70" s="16" t="n">
        <x:f>O70*V70</x:f>
        <x:v>0</x:v>
      </x:c>
      <x:c r="AB70" s="16" t="n">
        <x:f>J70-X70</x:f>
        <x:v>0</x:v>
      </x:c>
      <x:c r="AC70" s="16" t="str">
        <x:f>IF(ISNUMBER(W70),D70*(W70-V70),"n.a.")</x:f>
        <x:v>n.a.</x:v>
      </x:c>
      <x:c r="AD70" s="12" t="n">
        <x:f>F70-SUMIFS('PO detail'!$S$2:$S$672,'PO detail'!$A$2:$A$672,A70,'PO detail'!$B$2:$B$672,B70)</x:f>
        <x:v>0</x:v>
      </x:c>
    </x:row>
    <x:row r="71" ht="21" customHeight="1">
      <x:c r="A71" s="1" t="str">
        <x:v>10</x:v>
      </x:c>
      <x:c r="B71" s="1" t="str">
        <x:v>880BLKE</x:v>
      </x:c>
      <x:c r="C71" s="1" t="str">
        <x:v>ECOLOGICAL FIBERS, INC</x:v>
      </x:c>
      <x:c r="D71" s="8" t="n">
        <x:v>0</x:v>
      </x:c>
      <x:c r="E71" s="8" t="n">
        <x:v>0</x:v>
      </x:c>
      <x:c r="F71" s="8" t="n">
        <x:v>0</x:v>
      </x:c>
      <x:c r="G71" s="9" t="n">
        <x:v>2134</x:v>
      </x:c>
      <x:c r="H71" s="9" t="n">
        <x:v>1940</x:v>
      </x:c>
      <x:c r="I71" s="1" t="n">
        <x:v>100</x:v>
      </x:c>
      <x:c r="J71" s="10" t="n">
        <x:v>0</x:v>
      </x:c>
      <x:c r="K71" s="9"/>
      <x:c r="L71" s="9"/>
      <x:c r="M71" s="11" t="n">
        <x:f>IF(P71=1,SUMIFS('PO detail'!$P$2:$P$672,'PO detail'!$A$2:$A$672,A71,'PO detail'!$B$2:$B$672,B71,'PO detail'!$K$2:$K$672,"&lt;="&amp;(K71*1.01)),0)</x:f>
        <x:v>0</x:v>
      </x:c>
      <x:c r="N71" s="11" t="n">
        <x:f>IF(P71=1,D71-M71,0)</x:f>
        <x:v>0</x:v>
      </x:c>
      <x:c r="O71" s="11" t="n">
        <x:f>D71-M71-N71</x:f>
        <x:v>0</x:v>
      </x:c>
      <x:c r="P71" s="15" t="n">
        <x:f>IF(AND(K71&gt;0,ABS(D71-SUMIFS('PO detail'!$P$2:$P$672,'PO detail'!$A$2:$A$672,A71,'PO detail'!$B$2:$B$672,B71))&lt;0.01),1,0)</x:f>
        <x:v>0</x:v>
      </x:c>
      <x:c r="Q71" s="15" t="n">
        <x:f>IF(AND(L71&gt;0,H71&gt;0,ABS(H71-L71)&lt;0.01),1,0)</x:f>
        <x:v>0</x:v>
      </x:c>
      <x:c r="R71" s="15" t="str">
        <x:f>IF(P71=1,"Estimated FIFO layers covered",IF(K71="","No original PO-price baseline","Insufficient dated receipt quantity"))</x:f>
        <x:v>No original PO-price baseline</x:v>
      </x:c>
      <x:c r="S71" s="15" t="n">
        <x:f>SUMIFS('PO detail'!$P$2:$P$672,'PO detail'!$A$2:$A$672,A71,'PO detail'!$B$2:$B$672,B71)</x:f>
        <x:v>0</x:v>
      </x:c>
      <x:c r="T71" s="1" t="str"/>
      <x:c r="U71" s="1" t="str">
        <x:v>Receipt GL and reported valuation; inferred, PrcCostPer not supplied</x:v>
      </x:c>
      <x:c r="V71" s="13" t="n">
        <x:f>G71/I71</x:f>
        <x:v>21.34</x:v>
      </x:c>
      <x:c r="W71" s="13" t="str">
        <x:f>IF(Q71=1,H71*(1+Summary!$J$5)/I71,"n.a.")</x:f>
        <x:v>n.a.</x:v>
      </x:c>
      <x:c r="X71" s="16" t="n">
        <x:f>D71*V71</x:f>
        <x:v>0</x:v>
      </x:c>
      <x:c r="Y71" s="16" t="n">
        <x:f>M71*V71</x:f>
        <x:v>0</x:v>
      </x:c>
      <x:c r="Z71" s="16" t="n">
        <x:f>N71*V71</x:f>
        <x:v>0</x:v>
      </x:c>
      <x:c r="AA71" s="16" t="n">
        <x:f>O71*V71</x:f>
        <x:v>0</x:v>
      </x:c>
      <x:c r="AB71" s="16" t="n">
        <x:f>J71-X71</x:f>
        <x:v>0</x:v>
      </x:c>
      <x:c r="AC71" s="16" t="str">
        <x:f>IF(ISNUMBER(W71),D71*(W71-V71),"n.a.")</x:f>
        <x:v>n.a.</x:v>
      </x:c>
      <x:c r="AD71" s="12" t="n">
        <x:f>F71-SUMIFS('PO detail'!$S$2:$S$672,'PO detail'!$A$2:$A$672,A71,'PO detail'!$B$2:$B$672,B71)</x:f>
        <x:v>0</x:v>
      </x:c>
    </x:row>
    <x:row r="72" ht="21" customHeight="1">
      <x:c r="A72" s="1" t="str">
        <x:v>10</x:v>
      </x:c>
      <x:c r="B72" s="1" t="str">
        <x:v>880NAVE</x:v>
      </x:c>
      <x:c r="C72" s="1" t="str">
        <x:v>ECOLOGICAL FIBERS, INC</x:v>
      </x:c>
      <x:c r="D72" s="8" t="n">
        <x:v>0</x:v>
      </x:c>
      <x:c r="E72" s="8" t="n">
        <x:v>0</x:v>
      </x:c>
      <x:c r="F72" s="8" t="n">
        <x:v>0</x:v>
      </x:c>
      <x:c r="G72" s="9" t="n">
        <x:v>2134</x:v>
      </x:c>
      <x:c r="H72" s="9" t="n">
        <x:v>1940</x:v>
      </x:c>
      <x:c r="I72" s="1" t="n">
        <x:v>100</x:v>
      </x:c>
      <x:c r="J72" s="10" t="n">
        <x:v>0</x:v>
      </x:c>
      <x:c r="K72" s="9"/>
      <x:c r="L72" s="9"/>
      <x:c r="M72" s="11" t="n">
        <x:f>IF(P72=1,SUMIFS('PO detail'!$P$2:$P$672,'PO detail'!$A$2:$A$672,A72,'PO detail'!$B$2:$B$672,B72,'PO detail'!$K$2:$K$672,"&lt;="&amp;(K72*1.01)),0)</x:f>
        <x:v>0</x:v>
      </x:c>
      <x:c r="N72" s="11" t="n">
        <x:f>IF(P72=1,D72-M72,0)</x:f>
        <x:v>0</x:v>
      </x:c>
      <x:c r="O72" s="11" t="n">
        <x:f>D72-M72-N72</x:f>
        <x:v>0</x:v>
      </x:c>
      <x:c r="P72" s="15" t="n">
        <x:f>IF(AND(K72&gt;0,ABS(D72-SUMIFS('PO detail'!$P$2:$P$672,'PO detail'!$A$2:$A$672,A72,'PO detail'!$B$2:$B$672,B72))&lt;0.01),1,0)</x:f>
        <x:v>0</x:v>
      </x:c>
      <x:c r="Q72" s="15" t="n">
        <x:f>IF(AND(L72&gt;0,H72&gt;0,ABS(H72-L72)&lt;0.01),1,0)</x:f>
        <x:v>0</x:v>
      </x:c>
      <x:c r="R72" s="15" t="str">
        <x:f>IF(P72=1,"Estimated FIFO layers covered",IF(K72="","No original PO-price baseline","Insufficient dated receipt quantity"))</x:f>
        <x:v>No original PO-price baseline</x:v>
      </x:c>
      <x:c r="S72" s="15" t="n">
        <x:f>SUMIFS('PO detail'!$P$2:$P$672,'PO detail'!$A$2:$A$672,A72,'PO detail'!$B$2:$B$672,B72)</x:f>
        <x:v>0</x:v>
      </x:c>
      <x:c r="T72" s="1" t="str"/>
      <x:c r="U72" s="1" t="str">
        <x:v>Receipt GL and reported valuation; inferred, PrcCostPer not supplied</x:v>
      </x:c>
      <x:c r="V72" s="13" t="n">
        <x:f>G72/I72</x:f>
        <x:v>21.34</x:v>
      </x:c>
      <x:c r="W72" s="13" t="str">
        <x:f>IF(Q72=1,H72*(1+Summary!$J$5)/I72,"n.a.")</x:f>
        <x:v>n.a.</x:v>
      </x:c>
      <x:c r="X72" s="16" t="n">
        <x:f>D72*V72</x:f>
        <x:v>0</x:v>
      </x:c>
      <x:c r="Y72" s="16" t="n">
        <x:f>M72*V72</x:f>
        <x:v>0</x:v>
      </x:c>
      <x:c r="Z72" s="16" t="n">
        <x:f>N72*V72</x:f>
        <x:v>0</x:v>
      </x:c>
      <x:c r="AA72" s="16" t="n">
        <x:f>O72*V72</x:f>
        <x:v>0</x:v>
      </x:c>
      <x:c r="AB72" s="16" t="n">
        <x:f>J72-X72</x:f>
        <x:v>0</x:v>
      </x:c>
      <x:c r="AC72" s="16" t="str">
        <x:f>IF(ISNUMBER(W72),D72*(W72-V72),"n.a.")</x:f>
        <x:v>n.a.</x:v>
      </x:c>
      <x:c r="AD72" s="12" t="n">
        <x:f>F72-SUMIFS('PO detail'!$S$2:$S$672,'PO detail'!$A$2:$A$672,A72,'PO detail'!$B$2:$B$672,B72)</x:f>
        <x:v>0</x:v>
      </x:c>
    </x:row>
    <x:row r="73" ht="21" customHeight="1">
      <x:c r="A73" s="1" t="str">
        <x:v>10</x:v>
      </x:c>
      <x:c r="B73" s="1" t="str">
        <x:v>800BLKTB</x:v>
      </x:c>
      <x:c r="C73" s="1" t="str">
        <x:v>NEENAH PAPER, INC.</x:v>
      </x:c>
      <x:c r="D73" s="8" t="n">
        <x:v>1050</x:v>
      </x:c>
      <x:c r="E73" s="8" t="n">
        <x:v>0</x:v>
      </x:c>
      <x:c r="F73" s="8" t="n">
        <x:v>0</x:v>
      </x:c>
      <x:c r="G73" s="9" t="n">
        <x:v>532</x:v>
      </x:c>
      <x:c r="H73" s="9" t="n">
        <x:v>557.167</x:v>
      </x:c>
      <x:c r="I73" s="1" t="n">
        <x:v>1000</x:v>
      </x:c>
      <x:c r="J73" s="10" t="n">
        <x:v>558.6</x:v>
      </x:c>
      <x:c r="K73" s="9"/>
      <x:c r="L73" s="9"/>
      <x:c r="M73" s="11" t="n">
        <x:f>IF(P73=1,SUMIFS('PO detail'!$P$2:$P$672,'PO detail'!$A$2:$A$672,A73,'PO detail'!$B$2:$B$672,B73,'PO detail'!$K$2:$K$672,"&lt;="&amp;(K73*1.01)),0)</x:f>
        <x:v>0</x:v>
      </x:c>
      <x:c r="N73" s="11" t="n">
        <x:f>IF(P73=1,D73-M73,0)</x:f>
        <x:v>0</x:v>
      </x:c>
      <x:c r="O73" s="11" t="n">
        <x:f>D73-M73-N73</x:f>
        <x:v>1050</x:v>
      </x:c>
      <x:c r="P73" s="15" t="n">
        <x:f>IF(AND(K73&gt;0,ABS(D73-SUMIFS('PO detail'!$P$2:$P$672,'PO detail'!$A$2:$A$672,A73,'PO detail'!$B$2:$B$672,B73))&lt;0.01),1,0)</x:f>
        <x:v>0</x:v>
      </x:c>
      <x:c r="Q73" s="15" t="n">
        <x:f>IF(AND(L73&gt;0,H73&gt;0,ABS(H73-L73)&lt;0.01),1,0)</x:f>
        <x:v>0</x:v>
      </x:c>
      <x:c r="R73" s="15" t="str">
        <x:f>IF(P73=1,"Estimated FIFO layers covered",IF(K73="","No original PO-price baseline","Insufficient dated receipt quantity"))</x:f>
        <x:v>No original PO-price baseline</x:v>
      </x:c>
      <x:c r="S73" s="15" t="n">
        <x:f>SUMIFS('PO detail'!$P$2:$P$672,'PO detail'!$A$2:$A$672,A73,'PO detail'!$B$2:$B$672,B73)</x:f>
        <x:v>0</x:v>
      </x:c>
      <x:c r="T73" s="1" t="str">
        <x:v>2018-12-20 00:00:00</x:v>
      </x:c>
      <x:c r="U73" s="1" t="str">
        <x:v>Receipt GL and reported valuation; inferred, PrcCostPer not supplied</x:v>
      </x:c>
      <x:c r="V73" s="13" t="n">
        <x:f>G73/I73</x:f>
        <x:v>0.532</x:v>
      </x:c>
      <x:c r="W73" s="13" t="str">
        <x:f>IF(Q73=1,H73*(1+Summary!$J$5)/I73,"n.a.")</x:f>
        <x:v>n.a.</x:v>
      </x:c>
      <x:c r="X73" s="16" t="n">
        <x:f>D73*V73</x:f>
        <x:v>558.6</x:v>
      </x:c>
      <x:c r="Y73" s="16" t="n">
        <x:f>M73*V73</x:f>
        <x:v>0</x:v>
      </x:c>
      <x:c r="Z73" s="16" t="n">
        <x:f>N73*V73</x:f>
        <x:v>0</x:v>
      </x:c>
      <x:c r="AA73" s="16" t="n">
        <x:f>O73*V73</x:f>
        <x:v>558.6</x:v>
      </x:c>
      <x:c r="AB73" s="16" t="n">
        <x:f>J73-X73</x:f>
        <x:v>0</x:v>
      </x:c>
      <x:c r="AC73" s="16" t="str">
        <x:f>IF(ISNUMBER(W73),D73*(W73-V73),"n.a.")</x:f>
        <x:v>n.a.</x:v>
      </x:c>
      <x:c r="AD73" s="12" t="n">
        <x:f>F73-SUMIFS('PO detail'!$S$2:$S$672,'PO detail'!$A$2:$A$672,A73,'PO detail'!$B$2:$B$672,B73)</x:f>
        <x:v>0</x:v>
      </x:c>
    </x:row>
    <x:row r="74" ht="21" customHeight="1">
      <x:c r="A74" s="1" t="str">
        <x:v>10</x:v>
      </x:c>
      <x:c r="B74" s="1" t="str">
        <x:v>800BREDASC</x:v>
      </x:c>
      <x:c r="C74" s="1" t="str">
        <x:v>SOUTHWEST CONVERSION</x:v>
      </x:c>
      <x:c r="D74" s="8" t="n">
        <x:v>0</x:v>
      </x:c>
      <x:c r="E74" s="8" t="n">
        <x:v>0</x:v>
      </x:c>
      <x:c r="F74" s="8" t="n">
        <x:v>0</x:v>
      </x:c>
      <x:c r="G74" s="9" t="n">
        <x:v>7.92</x:v>
      </x:c>
      <x:c r="H74" s="9" t="n">
        <x:v>0</x:v>
      </x:c>
      <x:c r="I74" s="1" t="n">
        <x:v>100</x:v>
      </x:c>
      <x:c r="J74" s="10" t="n">
        <x:v>0</x:v>
      </x:c>
      <x:c r="K74" s="9"/>
      <x:c r="L74" s="9"/>
      <x:c r="M74" s="11" t="n">
        <x:f>IF(P74=1,SUMIFS('PO detail'!$P$2:$P$672,'PO detail'!$A$2:$A$672,A74,'PO detail'!$B$2:$B$672,B74,'PO detail'!$K$2:$K$672,"&lt;="&amp;(K74*1.01)),0)</x:f>
        <x:v>0</x:v>
      </x:c>
      <x:c r="N74" s="11" t="n">
        <x:f>IF(P74=1,D74-M74,0)</x:f>
        <x:v>0</x:v>
      </x:c>
      <x:c r="O74" s="11" t="n">
        <x:f>D74-M74-N74</x:f>
        <x:v>0</x:v>
      </x:c>
      <x:c r="P74" s="15" t="n">
        <x:f>IF(AND(K74&gt;0,ABS(D74-SUMIFS('PO detail'!$P$2:$P$672,'PO detail'!$A$2:$A$672,A74,'PO detail'!$B$2:$B$672,B74))&lt;0.01),1,0)</x:f>
        <x:v>0</x:v>
      </x:c>
      <x:c r="Q74" s="15" t="n">
        <x:f>IF(AND(L74&gt;0,H74&gt;0,ABS(H74-L74)&lt;0.01),1,0)</x:f>
        <x:v>0</x:v>
      </x:c>
      <x:c r="R74" s="15" t="str">
        <x:f>IF(P74=1,"Estimated FIFO layers covered",IF(K74="","No original PO-price baseline","Insufficient dated receipt quantity"))</x:f>
        <x:v>No original PO-price baseline</x:v>
      </x:c>
      <x:c r="S74" s="15" t="n">
        <x:f>SUMIFS('PO detail'!$P$2:$P$672,'PO detail'!$A$2:$A$672,A74,'PO detail'!$B$2:$B$672,B74)</x:f>
        <x:v>0</x:v>
      </x:c>
      <x:c r="T74" s="1" t="str">
        <x:v>2019-06-07 00:00:00</x:v>
      </x:c>
      <x:c r="U74" s="1" t="str">
        <x:v>Receipt GL and reported valuation; inferred, PrcCostPer not supplied</x:v>
      </x:c>
      <x:c r="V74" s="13" t="n">
        <x:f>G74/I74</x:f>
        <x:v>0.07919999999999999</x:v>
      </x:c>
      <x:c r="W74" s="13" t="str">
        <x:f>IF(Q74=1,H74*(1+Summary!$J$5)/I74,"n.a.")</x:f>
        <x:v>n.a.</x:v>
      </x:c>
      <x:c r="X74" s="16" t="n">
        <x:f>D74*V74</x:f>
        <x:v>0</x:v>
      </x:c>
      <x:c r="Y74" s="16" t="n">
        <x:f>M74*V74</x:f>
        <x:v>0</x:v>
      </x:c>
      <x:c r="Z74" s="16" t="n">
        <x:f>N74*V74</x:f>
        <x:v>0</x:v>
      </x:c>
      <x:c r="AA74" s="16" t="n">
        <x:f>O74*V74</x:f>
        <x:v>0</x:v>
      </x:c>
      <x:c r="AB74" s="16" t="n">
        <x:f>J74-X74</x:f>
        <x:v>0</x:v>
      </x:c>
      <x:c r="AC74" s="16" t="str">
        <x:f>IF(ISNUMBER(W74),D74*(W74-V74),"n.a.")</x:f>
        <x:v>n.a.</x:v>
      </x:c>
      <x:c r="AD74" s="12" t="n">
        <x:f>F74-SUMIFS('PO detail'!$S$2:$S$672,'PO detail'!$A$2:$A$672,A74,'PO detail'!$B$2:$B$672,B74)</x:f>
        <x:v>0</x:v>
      </x:c>
    </x:row>
    <x:row r="75" ht="21" customHeight="1">
      <x:c r="A75" s="1" t="str">
        <x:v>10</x:v>
      </x:c>
      <x:c r="B75" s="1" t="str">
        <x:v>800BREDBRC</x:v>
      </x:c>
      <x:c r="C75" s="1" t="str">
        <x:v>SOUTHWEST CONVERSION</x:v>
      </x:c>
      <x:c r="D75" s="8" t="n">
        <x:v>0</x:v>
      </x:c>
      <x:c r="E75" s="8" t="n">
        <x:v>0</x:v>
      </x:c>
      <x:c r="F75" s="8" t="n">
        <x:v>0</x:v>
      </x:c>
      <x:c r="G75" s="9" t="n">
        <x:v>8.98</x:v>
      </x:c>
      <x:c r="H75" s="9" t="n">
        <x:v>0</x:v>
      </x:c>
      <x:c r="I75" s="1" t="n">
        <x:v>100</x:v>
      </x:c>
      <x:c r="J75" s="10" t="n">
        <x:v>0</x:v>
      </x:c>
      <x:c r="K75" s="9"/>
      <x:c r="L75" s="9"/>
      <x:c r="M75" s="11" t="n">
        <x:f>IF(P75=1,SUMIFS('PO detail'!$P$2:$P$672,'PO detail'!$A$2:$A$672,A75,'PO detail'!$B$2:$B$672,B75,'PO detail'!$K$2:$K$672,"&lt;="&amp;(K75*1.01)),0)</x:f>
        <x:v>0</x:v>
      </x:c>
      <x:c r="N75" s="11" t="n">
        <x:f>IF(P75=1,D75-M75,0)</x:f>
        <x:v>0</x:v>
      </x:c>
      <x:c r="O75" s="11" t="n">
        <x:f>D75-M75-N75</x:f>
        <x:v>0</x:v>
      </x:c>
      <x:c r="P75" s="15" t="n">
        <x:f>IF(AND(K75&gt;0,ABS(D75-SUMIFS('PO detail'!$P$2:$P$672,'PO detail'!$A$2:$A$672,A75,'PO detail'!$B$2:$B$672,B75))&lt;0.01),1,0)</x:f>
        <x:v>0</x:v>
      </x:c>
      <x:c r="Q75" s="15" t="n">
        <x:f>IF(AND(L75&gt;0,H75&gt;0,ABS(H75-L75)&lt;0.01),1,0)</x:f>
        <x:v>0</x:v>
      </x:c>
      <x:c r="R75" s="15" t="str">
        <x:f>IF(P75=1,"Estimated FIFO layers covered",IF(K75="","No original PO-price baseline","Insufficient dated receipt quantity"))</x:f>
        <x:v>No original PO-price baseline</x:v>
      </x:c>
      <x:c r="S75" s="15" t="n">
        <x:f>SUMIFS('PO detail'!$P$2:$P$672,'PO detail'!$A$2:$A$672,A75,'PO detail'!$B$2:$B$672,B75)</x:f>
        <x:v>0</x:v>
      </x:c>
      <x:c r="T75" s="1" t="str">
        <x:v>2019-06-07 00:00:00</x:v>
      </x:c>
      <x:c r="U75" s="1" t="str">
        <x:v>Receipt GL and reported valuation; inferred, PrcCostPer not supplied</x:v>
      </x:c>
      <x:c r="V75" s="13" t="n">
        <x:f>G75/I75</x:f>
        <x:v>0.0898</x:v>
      </x:c>
      <x:c r="W75" s="13" t="str">
        <x:f>IF(Q75=1,H75*(1+Summary!$J$5)/I75,"n.a.")</x:f>
        <x:v>n.a.</x:v>
      </x:c>
      <x:c r="X75" s="16" t="n">
        <x:f>D75*V75</x:f>
        <x:v>0</x:v>
      </x:c>
      <x:c r="Y75" s="16" t="n">
        <x:f>M75*V75</x:f>
        <x:v>0</x:v>
      </x:c>
      <x:c r="Z75" s="16" t="n">
        <x:f>N75*V75</x:f>
        <x:v>0</x:v>
      </x:c>
      <x:c r="AA75" s="16" t="n">
        <x:f>O75*V75</x:f>
        <x:v>0</x:v>
      </x:c>
      <x:c r="AB75" s="16" t="n">
        <x:f>J75-X75</x:f>
        <x:v>0</x:v>
      </x:c>
      <x:c r="AC75" s="16" t="str">
        <x:f>IF(ISNUMBER(W75),D75*(W75-V75),"n.a.")</x:f>
        <x:v>n.a.</x:v>
      </x:c>
      <x:c r="AD75" s="12" t="n">
        <x:f>F75-SUMIFS('PO detail'!$S$2:$S$672,'PO detail'!$A$2:$A$672,A75,'PO detail'!$B$2:$B$672,B75)</x:f>
        <x:v>0</x:v>
      </x:c>
    </x:row>
    <x:row r="76" ht="21" customHeight="1">
      <x:c r="A76" s="1" t="str">
        <x:v>10</x:v>
      </x:c>
      <x:c r="B76" s="1" t="str">
        <x:v>800WBLKBRC</x:v>
      </x:c>
      <x:c r="C76" s="1" t="str">
        <x:v>SOUTHWEST CONVERSION</x:v>
      </x:c>
      <x:c r="D76" s="8" t="n">
        <x:v>200</x:v>
      </x:c>
      <x:c r="E76" s="8" t="n">
        <x:v>0</x:v>
      </x:c>
      <x:c r="F76" s="8" t="n">
        <x:v>0</x:v>
      </x:c>
      <x:c r="G76" s="9" t="n">
        <x:v>14.15</x:v>
      </x:c>
      <x:c r="H76" s="9" t="n">
        <x:v>0</x:v>
      </x:c>
      <x:c r="I76" s="1" t="n">
        <x:v>100</x:v>
      </x:c>
      <x:c r="J76" s="10" t="n">
        <x:v>28.3</x:v>
      </x:c>
      <x:c r="K76" s="9"/>
      <x:c r="L76" s="9"/>
      <x:c r="M76" s="11" t="n">
        <x:f>IF(P76=1,SUMIFS('PO detail'!$P$2:$P$672,'PO detail'!$A$2:$A$672,A76,'PO detail'!$B$2:$B$672,B76,'PO detail'!$K$2:$K$672,"&lt;="&amp;(K76*1.01)),0)</x:f>
        <x:v>0</x:v>
      </x:c>
      <x:c r="N76" s="11" t="n">
        <x:f>IF(P76=1,D76-M76,0)</x:f>
        <x:v>0</x:v>
      </x:c>
      <x:c r="O76" s="11" t="n">
        <x:f>D76-M76-N76</x:f>
        <x:v>200</x:v>
      </x:c>
      <x:c r="P76" s="15" t="n">
        <x:f>IF(AND(K76&gt;0,ABS(D76-SUMIFS('PO detail'!$P$2:$P$672,'PO detail'!$A$2:$A$672,A76,'PO detail'!$B$2:$B$672,B76))&lt;0.01),1,0)</x:f>
        <x:v>0</x:v>
      </x:c>
      <x:c r="Q76" s="15" t="n">
        <x:f>IF(AND(L76&gt;0,H76&gt;0,ABS(H76-L76)&lt;0.01),1,0)</x:f>
        <x:v>0</x:v>
      </x:c>
      <x:c r="R76" s="15" t="str">
        <x:f>IF(P76=1,"Estimated FIFO layers covered",IF(K76="","No original PO-price baseline","Insufficient dated receipt quantity"))</x:f>
        <x:v>No original PO-price baseline</x:v>
      </x:c>
      <x:c r="S76" s="15" t="n">
        <x:f>SUMIFS('PO detail'!$P$2:$P$672,'PO detail'!$A$2:$A$672,A76,'PO detail'!$B$2:$B$672,B76)</x:f>
        <x:v>0</x:v>
      </x:c>
      <x:c r="T76" s="1" t="str"/>
      <x:c r="U76" s="1" t="str">
        <x:v>Receipt GL and reported valuation; inferred, PrcCostPer not supplied</x:v>
      </x:c>
      <x:c r="V76" s="13" t="n">
        <x:f>G76/I76</x:f>
        <x:v>0.14150000000000001</x:v>
      </x:c>
      <x:c r="W76" s="13" t="str">
        <x:f>IF(Q76=1,H76*(1+Summary!$J$5)/I76,"n.a.")</x:f>
        <x:v>n.a.</x:v>
      </x:c>
      <x:c r="X76" s="16" t="n">
        <x:f>D76*V76</x:f>
        <x:v>28.300000000000004</x:v>
      </x:c>
      <x:c r="Y76" s="16" t="n">
        <x:f>M76*V76</x:f>
        <x:v>0</x:v>
      </x:c>
      <x:c r="Z76" s="16" t="n">
        <x:f>N76*V76</x:f>
        <x:v>0</x:v>
      </x:c>
      <x:c r="AA76" s="16" t="n">
        <x:f>O76*V76</x:f>
        <x:v>28.300000000000004</x:v>
      </x:c>
      <x:c r="AB76" s="16" t="n">
        <x:f>J76-X76</x:f>
        <x:v>-3.552713678800501e-15</x:v>
      </x:c>
      <x:c r="AC76" s="16" t="str">
        <x:f>IF(ISNUMBER(W76),D76*(W76-V76),"n.a.")</x:f>
        <x:v>n.a.</x:v>
      </x:c>
      <x:c r="AD76" s="12" t="n">
        <x:f>F76-SUMIFS('PO detail'!$S$2:$S$672,'PO detail'!$A$2:$A$672,A76,'PO detail'!$B$2:$B$672,B76)</x:f>
        <x:v>0</x:v>
      </x:c>
    </x:row>
    <x:row r="77" ht="21" customHeight="1">
      <x:c r="A77" s="1" t="str">
        <x:v>10</x:v>
      </x:c>
      <x:c r="B77" s="1" t="str">
        <x:v>800WFGASC</x:v>
      </x:c>
      <x:c r="C77" s="1" t="str">
        <x:v>SOUTHWEST CONVERSION</x:v>
      </x:c>
      <x:c r="D77" s="8" t="n">
        <x:v>0</x:v>
      </x:c>
      <x:c r="E77" s="8" t="n">
        <x:v>0</x:v>
      </x:c>
      <x:c r="F77" s="8" t="n">
        <x:v>0</x:v>
      </x:c>
      <x:c r="G77" s="9" t="n">
        <x:v>14.56</x:v>
      </x:c>
      <x:c r="H77" s="9" t="n">
        <x:v>0</x:v>
      </x:c>
      <x:c r="I77" s="1" t="n">
        <x:v>100</x:v>
      </x:c>
      <x:c r="J77" s="10" t="n">
        <x:v>0</x:v>
      </x:c>
      <x:c r="K77" s="9"/>
      <x:c r="L77" s="9"/>
      <x:c r="M77" s="11" t="n">
        <x:f>IF(P77=1,SUMIFS('PO detail'!$P$2:$P$672,'PO detail'!$A$2:$A$672,A77,'PO detail'!$B$2:$B$672,B77,'PO detail'!$K$2:$K$672,"&lt;="&amp;(K77*1.01)),0)</x:f>
        <x:v>0</x:v>
      </x:c>
      <x:c r="N77" s="11" t="n">
        <x:f>IF(P77=1,D77-M77,0)</x:f>
        <x:v>0</x:v>
      </x:c>
      <x:c r="O77" s="11" t="n">
        <x:f>D77-M77-N77</x:f>
        <x:v>0</x:v>
      </x:c>
      <x:c r="P77" s="15" t="n">
        <x:f>IF(AND(K77&gt;0,ABS(D77-SUMIFS('PO detail'!$P$2:$P$672,'PO detail'!$A$2:$A$672,A77,'PO detail'!$B$2:$B$672,B77))&lt;0.01),1,0)</x:f>
        <x:v>0</x:v>
      </x:c>
      <x:c r="Q77" s="15" t="n">
        <x:f>IF(AND(L77&gt;0,H77&gt;0,ABS(H77-L77)&lt;0.01),1,0)</x:f>
        <x:v>0</x:v>
      </x:c>
      <x:c r="R77" s="15" t="str">
        <x:f>IF(P77=1,"Estimated FIFO layers covered",IF(K77="","No original PO-price baseline","Insufficient dated receipt quantity"))</x:f>
        <x:v>No original PO-price baseline</x:v>
      </x:c>
      <x:c r="S77" s="15" t="n">
        <x:f>SUMIFS('PO detail'!$P$2:$P$672,'PO detail'!$A$2:$A$672,A77,'PO detail'!$B$2:$B$672,B77)</x:f>
        <x:v>0</x:v>
      </x:c>
      <x:c r="T77" s="1" t="str"/>
      <x:c r="U77" s="1" t="str">
        <x:v>Receipt GL and reported valuation; inferred, PrcCostPer not supplied</x:v>
      </x:c>
      <x:c r="V77" s="13" t="n">
        <x:f>G77/I77</x:f>
        <x:v>0.1456</x:v>
      </x:c>
      <x:c r="W77" s="13" t="str">
        <x:f>IF(Q77=1,H77*(1+Summary!$J$5)/I77,"n.a.")</x:f>
        <x:v>n.a.</x:v>
      </x:c>
      <x:c r="X77" s="16" t="n">
        <x:f>D77*V77</x:f>
        <x:v>0</x:v>
      </x:c>
      <x:c r="Y77" s="16" t="n">
        <x:f>M77*V77</x:f>
        <x:v>0</x:v>
      </x:c>
      <x:c r="Z77" s="16" t="n">
        <x:f>N77*V77</x:f>
        <x:v>0</x:v>
      </x:c>
      <x:c r="AA77" s="16" t="n">
        <x:f>O77*V77</x:f>
        <x:v>0</x:v>
      </x:c>
      <x:c r="AB77" s="16" t="n">
        <x:f>J77-X77</x:f>
        <x:v>0</x:v>
      </x:c>
      <x:c r="AC77" s="16" t="str">
        <x:f>IF(ISNUMBER(W77),D77*(W77-V77),"n.a.")</x:f>
        <x:v>n.a.</x:v>
      </x:c>
      <x:c r="AD77" s="12" t="n">
        <x:f>F77-SUMIFS('PO detail'!$S$2:$S$672,'PO detail'!$A$2:$A$672,A77,'PO detail'!$B$2:$B$672,B77)</x:f>
        <x:v>0</x:v>
      </x:c>
    </x:row>
    <x:row r="78" ht="21" customHeight="1">
      <x:c r="A78" s="1" t="str">
        <x:v>10</x:v>
      </x:c>
      <x:c r="B78" s="1" t="str">
        <x:v>800WFGBRC</x:v>
      </x:c>
      <x:c r="C78" s="1" t="str">
        <x:v>SOUTHWEST CONVERSION</x:v>
      </x:c>
      <x:c r="D78" s="8" t="n">
        <x:v>0</x:v>
      </x:c>
      <x:c r="E78" s="8" t="n">
        <x:v>0</x:v>
      </x:c>
      <x:c r="F78" s="8" t="n">
        <x:v>0</x:v>
      </x:c>
      <x:c r="G78" s="9" t="n">
        <x:v>18.47</x:v>
      </x:c>
      <x:c r="H78" s="9" t="n">
        <x:v>0</x:v>
      </x:c>
      <x:c r="I78" s="1" t="n">
        <x:v>100</x:v>
      </x:c>
      <x:c r="J78" s="10" t="n">
        <x:v>0</x:v>
      </x:c>
      <x:c r="K78" s="9"/>
      <x:c r="L78" s="9"/>
      <x:c r="M78" s="11" t="n">
        <x:f>IF(P78=1,SUMIFS('PO detail'!$P$2:$P$672,'PO detail'!$A$2:$A$672,A78,'PO detail'!$B$2:$B$672,B78,'PO detail'!$K$2:$K$672,"&lt;="&amp;(K78*1.01)),0)</x:f>
        <x:v>0</x:v>
      </x:c>
      <x:c r="N78" s="11" t="n">
        <x:f>IF(P78=1,D78-M78,0)</x:f>
        <x:v>0</x:v>
      </x:c>
      <x:c r="O78" s="11" t="n">
        <x:f>D78-M78-N78</x:f>
        <x:v>0</x:v>
      </x:c>
      <x:c r="P78" s="15" t="n">
        <x:f>IF(AND(K78&gt;0,ABS(D78-SUMIFS('PO detail'!$P$2:$P$672,'PO detail'!$A$2:$A$672,A78,'PO detail'!$B$2:$B$672,B78))&lt;0.01),1,0)</x:f>
        <x:v>0</x:v>
      </x:c>
      <x:c r="Q78" s="15" t="n">
        <x:f>IF(AND(L78&gt;0,H78&gt;0,ABS(H78-L78)&lt;0.01),1,0)</x:f>
        <x:v>0</x:v>
      </x:c>
      <x:c r="R78" s="15" t="str">
        <x:f>IF(P78=1,"Estimated FIFO layers covered",IF(K78="","No original PO-price baseline","Insufficient dated receipt quantity"))</x:f>
        <x:v>No original PO-price baseline</x:v>
      </x:c>
      <x:c r="S78" s="15" t="n">
        <x:f>SUMIFS('PO detail'!$P$2:$P$672,'PO detail'!$A$2:$A$672,A78,'PO detail'!$B$2:$B$672,B78)</x:f>
        <x:v>0</x:v>
      </x:c>
      <x:c r="T78" s="1" t="str"/>
      <x:c r="U78" s="1" t="str">
        <x:v>Receipt GL and reported valuation; inferred, PrcCostPer not supplied</x:v>
      </x:c>
      <x:c r="V78" s="13" t="n">
        <x:f>G78/I78</x:f>
        <x:v>0.18469999999999998</x:v>
      </x:c>
      <x:c r="W78" s="13" t="str">
        <x:f>IF(Q78=1,H78*(1+Summary!$J$5)/I78,"n.a.")</x:f>
        <x:v>n.a.</x:v>
      </x:c>
      <x:c r="X78" s="16" t="n">
        <x:f>D78*V78</x:f>
        <x:v>0</x:v>
      </x:c>
      <x:c r="Y78" s="16" t="n">
        <x:f>M78*V78</x:f>
        <x:v>0</x:v>
      </x:c>
      <x:c r="Z78" s="16" t="n">
        <x:f>N78*V78</x:f>
        <x:v>0</x:v>
      </x:c>
      <x:c r="AA78" s="16" t="n">
        <x:f>O78*V78</x:f>
        <x:v>0</x:v>
      </x:c>
      <x:c r="AB78" s="16" t="n">
        <x:f>J78-X78</x:f>
        <x:v>0</x:v>
      </x:c>
      <x:c r="AC78" s="16" t="str">
        <x:f>IF(ISNUMBER(W78),D78*(W78-V78),"n.a.")</x:f>
        <x:v>n.a.</x:v>
      </x:c>
      <x:c r="AD78" s="12" t="n">
        <x:f>F78-SUMIFS('PO detail'!$S$2:$S$672,'PO detail'!$A$2:$A$672,A78,'PO detail'!$B$2:$B$672,B78)</x:f>
        <x:v>0</x:v>
      </x:c>
    </x:row>
    <x:row r="79" ht="21" customHeight="1">
      <x:c r="A79" s="1" t="str">
        <x:v>10</x:v>
      </x:c>
      <x:c r="B79" s="1" t="str">
        <x:v>800WMARBRC</x:v>
      </x:c>
      <x:c r="C79" s="1" t="str">
        <x:v>SOUTHWEST CONVERSION</x:v>
      </x:c>
      <x:c r="D79" s="8" t="n">
        <x:v>900</x:v>
      </x:c>
      <x:c r="E79" s="8" t="n">
        <x:v>0</x:v>
      </x:c>
      <x:c r="F79" s="8" t="n">
        <x:v>0</x:v>
      </x:c>
      <x:c r="G79" s="9" t="n">
        <x:v>17.35</x:v>
      </x:c>
      <x:c r="H79" s="9" t="n">
        <x:v>0</x:v>
      </x:c>
      <x:c r="I79" s="1" t="n">
        <x:v>100</x:v>
      </x:c>
      <x:c r="J79" s="10" t="n">
        <x:v>156.15000000000003</x:v>
      </x:c>
      <x:c r="K79" s="9"/>
      <x:c r="L79" s="9"/>
      <x:c r="M79" s="11" t="n">
        <x:f>IF(P79=1,SUMIFS('PO detail'!$P$2:$P$672,'PO detail'!$A$2:$A$672,A79,'PO detail'!$B$2:$B$672,B79,'PO detail'!$K$2:$K$672,"&lt;="&amp;(K79*1.01)),0)</x:f>
        <x:v>0</x:v>
      </x:c>
      <x:c r="N79" s="11" t="n">
        <x:f>IF(P79=1,D79-M79,0)</x:f>
        <x:v>0</x:v>
      </x:c>
      <x:c r="O79" s="11" t="n">
        <x:f>D79-M79-N79</x:f>
        <x:v>900</x:v>
      </x:c>
      <x:c r="P79" s="15" t="n">
        <x:f>IF(AND(K79&gt;0,ABS(D79-SUMIFS('PO detail'!$P$2:$P$672,'PO detail'!$A$2:$A$672,A79,'PO detail'!$B$2:$B$672,B79))&lt;0.01),1,0)</x:f>
        <x:v>0</x:v>
      </x:c>
      <x:c r="Q79" s="15" t="n">
        <x:f>IF(AND(L79&gt;0,H79&gt;0,ABS(H79-L79)&lt;0.01),1,0)</x:f>
        <x:v>0</x:v>
      </x:c>
      <x:c r="R79" s="15" t="str">
        <x:f>IF(P79=1,"Estimated FIFO layers covered",IF(K79="","No original PO-price baseline","Insufficient dated receipt quantity"))</x:f>
        <x:v>No original PO-price baseline</x:v>
      </x:c>
      <x:c r="S79" s="15" t="n">
        <x:f>SUMIFS('PO detail'!$P$2:$P$672,'PO detail'!$A$2:$A$672,A79,'PO detail'!$B$2:$B$672,B79)</x:f>
        <x:v>0</x:v>
      </x:c>
      <x:c r="T79" s="1" t="str"/>
      <x:c r="U79" s="1" t="str">
        <x:v>Receipt GL and reported valuation; inferred, PrcCostPer not supplied</x:v>
      </x:c>
      <x:c r="V79" s="13" t="n">
        <x:f>G79/I79</x:f>
        <x:v>0.17350000000000002</x:v>
      </x:c>
      <x:c r="W79" s="13" t="str">
        <x:f>IF(Q79=1,H79*(1+Summary!$J$5)/I79,"n.a.")</x:f>
        <x:v>n.a.</x:v>
      </x:c>
      <x:c r="X79" s="16" t="n">
        <x:f>D79*V79</x:f>
        <x:v>156.15</x:v>
      </x:c>
      <x:c r="Y79" s="16" t="n">
        <x:f>M79*V79</x:f>
        <x:v>0</x:v>
      </x:c>
      <x:c r="Z79" s="16" t="n">
        <x:f>N79*V79</x:f>
        <x:v>0</x:v>
      </x:c>
      <x:c r="AA79" s="16" t="n">
        <x:f>O79*V79</x:f>
        <x:v>156.15</x:v>
      </x:c>
      <x:c r="AB79" s="16" t="n">
        <x:f>J79-X79</x:f>
        <x:v>2.842170943040401e-14</x:v>
      </x:c>
      <x:c r="AC79" s="16" t="str">
        <x:f>IF(ISNUMBER(W79),D79*(W79-V79),"n.a.")</x:f>
        <x:v>n.a.</x:v>
      </x:c>
      <x:c r="AD79" s="12" t="n">
        <x:f>F79-SUMIFS('PO detail'!$S$2:$S$672,'PO detail'!$A$2:$A$672,A79,'PO detail'!$B$2:$B$672,B79)</x:f>
        <x:v>0</x:v>
      </x:c>
    </x:row>
    <x:row r="80" ht="21" customHeight="1">
      <x:c r="A80" s="1" t="str">
        <x:v>10</x:v>
      </x:c>
      <x:c r="B80" s="1" t="str">
        <x:v>800WNAVBRC</x:v>
      </x:c>
      <x:c r="C80" s="1" t="str">
        <x:v>SOUTHWEST CONVERSION</x:v>
      </x:c>
      <x:c r="D80" s="8" t="n">
        <x:v>600</x:v>
      </x:c>
      <x:c r="E80" s="8" t="n">
        <x:v>0</x:v>
      </x:c>
      <x:c r="F80" s="8" t="n">
        <x:v>0</x:v>
      </x:c>
      <x:c r="G80" s="9" t="n">
        <x:v>17.35</x:v>
      </x:c>
      <x:c r="H80" s="9" t="n">
        <x:v>0</x:v>
      </x:c>
      <x:c r="I80" s="1" t="n">
        <x:v>100</x:v>
      </x:c>
      <x:c r="J80" s="10" t="n">
        <x:v>104.10000000000001</x:v>
      </x:c>
      <x:c r="K80" s="9"/>
      <x:c r="L80" s="9"/>
      <x:c r="M80" s="11" t="n">
        <x:f>IF(P80=1,SUMIFS('PO detail'!$P$2:$P$672,'PO detail'!$A$2:$A$672,A80,'PO detail'!$B$2:$B$672,B80,'PO detail'!$K$2:$K$672,"&lt;="&amp;(K80*1.01)),0)</x:f>
        <x:v>0</x:v>
      </x:c>
      <x:c r="N80" s="11" t="n">
        <x:f>IF(P80=1,D80-M80,0)</x:f>
        <x:v>0</x:v>
      </x:c>
      <x:c r="O80" s="11" t="n">
        <x:f>D80-M80-N80</x:f>
        <x:v>600</x:v>
      </x:c>
      <x:c r="P80" s="15" t="n">
        <x:f>IF(AND(K80&gt;0,ABS(D80-SUMIFS('PO detail'!$P$2:$P$672,'PO detail'!$A$2:$A$672,A80,'PO detail'!$B$2:$B$672,B80))&lt;0.01),1,0)</x:f>
        <x:v>0</x:v>
      </x:c>
      <x:c r="Q80" s="15" t="n">
        <x:f>IF(AND(L80&gt;0,H80&gt;0,ABS(H80-L80)&lt;0.01),1,0)</x:f>
        <x:v>0</x:v>
      </x:c>
      <x:c r="R80" s="15" t="str">
        <x:f>IF(P80=1,"Estimated FIFO layers covered",IF(K80="","No original PO-price baseline","Insufficient dated receipt quantity"))</x:f>
        <x:v>No original PO-price baseline</x:v>
      </x:c>
      <x:c r="S80" s="15" t="n">
        <x:f>SUMIFS('PO detail'!$P$2:$P$672,'PO detail'!$A$2:$A$672,A80,'PO detail'!$B$2:$B$672,B80)</x:f>
        <x:v>0</x:v>
      </x:c>
      <x:c r="T80" s="1" t="str"/>
      <x:c r="U80" s="1" t="str">
        <x:v>Receipt GL and reported valuation; inferred, PrcCostPer not supplied</x:v>
      </x:c>
      <x:c r="V80" s="13" t="n">
        <x:f>G80/I80</x:f>
        <x:v>0.17350000000000002</x:v>
      </x:c>
      <x:c r="W80" s="13" t="str">
        <x:f>IF(Q80=1,H80*(1+Summary!$J$5)/I80,"n.a.")</x:f>
        <x:v>n.a.</x:v>
      </x:c>
      <x:c r="X80" s="16" t="n">
        <x:f>D80*V80</x:f>
        <x:v>104.10000000000001</x:v>
      </x:c>
      <x:c r="Y80" s="16" t="n">
        <x:f>M80*V80</x:f>
        <x:v>0</x:v>
      </x:c>
      <x:c r="Z80" s="16" t="n">
        <x:f>N80*V80</x:f>
        <x:v>0</x:v>
      </x:c>
      <x:c r="AA80" s="16" t="n">
        <x:f>O80*V80</x:f>
        <x:v>104.10000000000001</x:v>
      </x:c>
      <x:c r="AB80" s="16" t="n">
        <x:f>J80-X80</x:f>
        <x:v>0</x:v>
      </x:c>
      <x:c r="AC80" s="16" t="str">
        <x:f>IF(ISNUMBER(W80),D80*(W80-V80),"n.a.")</x:f>
        <x:v>n.a.</x:v>
      </x:c>
      <x:c r="AD80" s="12" t="n">
        <x:f>F80-SUMIFS('PO detail'!$S$2:$S$672,'PO detail'!$A$2:$A$672,A80,'PO detail'!$B$2:$B$672,B80)</x:f>
        <x:v>0</x:v>
      </x:c>
    </x:row>
    <x:row r="81" ht="21" customHeight="1">
      <x:c r="A81" s="1" t="str">
        <x:v>10</x:v>
      </x:c>
      <x:c r="B81" s="1" t="str">
        <x:v>800WREDASC</x:v>
      </x:c>
      <x:c r="C81" s="1" t="str">
        <x:v>SOUTHWEST CONVERSION</x:v>
      </x:c>
      <x:c r="D81" s="8" t="n">
        <x:v>0</x:v>
      </x:c>
      <x:c r="E81" s="8" t="n">
        <x:v>0</x:v>
      </x:c>
      <x:c r="F81" s="8" t="n">
        <x:v>0</x:v>
      </x:c>
      <x:c r="G81" s="9" t="n">
        <x:v>7.92</x:v>
      </x:c>
      <x:c r="H81" s="9" t="n">
        <x:v>0</x:v>
      </x:c>
      <x:c r="I81" s="1" t="n">
        <x:v>100</x:v>
      </x:c>
      <x:c r="J81" s="10" t="n">
        <x:v>0</x:v>
      </x:c>
      <x:c r="K81" s="9"/>
      <x:c r="L81" s="9"/>
      <x:c r="M81" s="11" t="n">
        <x:f>IF(P81=1,SUMIFS('PO detail'!$P$2:$P$672,'PO detail'!$A$2:$A$672,A81,'PO detail'!$B$2:$B$672,B81,'PO detail'!$K$2:$K$672,"&lt;="&amp;(K81*1.01)),0)</x:f>
        <x:v>0</x:v>
      </x:c>
      <x:c r="N81" s="11" t="n">
        <x:f>IF(P81=1,D81-M81,0)</x:f>
        <x:v>0</x:v>
      </x:c>
      <x:c r="O81" s="11" t="n">
        <x:f>D81-M81-N81</x:f>
        <x:v>0</x:v>
      </x:c>
      <x:c r="P81" s="15" t="n">
        <x:f>IF(AND(K81&gt;0,ABS(D81-SUMIFS('PO detail'!$P$2:$P$672,'PO detail'!$A$2:$A$672,A81,'PO detail'!$B$2:$B$672,B81))&lt;0.01),1,0)</x:f>
        <x:v>0</x:v>
      </x:c>
      <x:c r="Q81" s="15" t="n">
        <x:f>IF(AND(L81&gt;0,H81&gt;0,ABS(H81-L81)&lt;0.01),1,0)</x:f>
        <x:v>0</x:v>
      </x:c>
      <x:c r="R81" s="15" t="str">
        <x:f>IF(P81=1,"Estimated FIFO layers covered",IF(K81="","No original PO-price baseline","Insufficient dated receipt quantity"))</x:f>
        <x:v>No original PO-price baseline</x:v>
      </x:c>
      <x:c r="S81" s="15" t="n">
        <x:f>SUMIFS('PO detail'!$P$2:$P$672,'PO detail'!$A$2:$A$672,A81,'PO detail'!$B$2:$B$672,B81)</x:f>
        <x:v>0</x:v>
      </x:c>
      <x:c r="T81" s="1" t="str"/>
      <x:c r="U81" s="1" t="str">
        <x:v>Receipt GL and reported valuation; inferred, PrcCostPer not supplied</x:v>
      </x:c>
      <x:c r="V81" s="13" t="n">
        <x:f>G81/I81</x:f>
        <x:v>0.07919999999999999</x:v>
      </x:c>
      <x:c r="W81" s="13" t="str">
        <x:f>IF(Q81=1,H81*(1+Summary!$J$5)/I81,"n.a.")</x:f>
        <x:v>n.a.</x:v>
      </x:c>
      <x:c r="X81" s="16" t="n">
        <x:f>D81*V81</x:f>
        <x:v>0</x:v>
      </x:c>
      <x:c r="Y81" s="16" t="n">
        <x:f>M81*V81</x:f>
        <x:v>0</x:v>
      </x:c>
      <x:c r="Z81" s="16" t="n">
        <x:f>N81*V81</x:f>
        <x:v>0</x:v>
      </x:c>
      <x:c r="AA81" s="16" t="n">
        <x:f>O81*V81</x:f>
        <x:v>0</x:v>
      </x:c>
      <x:c r="AB81" s="16" t="n">
        <x:f>J81-X81</x:f>
        <x:v>0</x:v>
      </x:c>
      <x:c r="AC81" s="16" t="str">
        <x:f>IF(ISNUMBER(W81),D81*(W81-V81),"n.a.")</x:f>
        <x:v>n.a.</x:v>
      </x:c>
      <x:c r="AD81" s="12" t="n">
        <x:f>F81-SUMIFS('PO detail'!$S$2:$S$672,'PO detail'!$A$2:$A$672,A81,'PO detail'!$B$2:$B$672,B81)</x:f>
        <x:v>0</x:v>
      </x:c>
    </x:row>
    <x:row r="82" ht="21" customHeight="1">
      <x:c r="A82" s="1" t="str">
        <x:v>10</x:v>
      </x:c>
      <x:c r="B82" s="1" t="str">
        <x:v>800WREDBRC</x:v>
      </x:c>
      <x:c r="C82" s="1" t="str">
        <x:v>SOUTHWEST CONVERSION</x:v>
      </x:c>
      <x:c r="D82" s="8" t="n">
        <x:v>0</x:v>
      </x:c>
      <x:c r="E82" s="8" t="n">
        <x:v>0</x:v>
      </x:c>
      <x:c r="F82" s="8" t="n">
        <x:v>0</x:v>
      </x:c>
      <x:c r="G82" s="9" t="n">
        <x:v>8.98</x:v>
      </x:c>
      <x:c r="H82" s="9" t="n">
        <x:v>0</x:v>
      </x:c>
      <x:c r="I82" s="1" t="n">
        <x:v>100</x:v>
      </x:c>
      <x:c r="J82" s="10" t="n">
        <x:v>0</x:v>
      </x:c>
      <x:c r="K82" s="9"/>
      <x:c r="L82" s="9"/>
      <x:c r="M82" s="11" t="n">
        <x:f>IF(P82=1,SUMIFS('PO detail'!$P$2:$P$672,'PO detail'!$A$2:$A$672,A82,'PO detail'!$B$2:$B$672,B82,'PO detail'!$K$2:$K$672,"&lt;="&amp;(K82*1.01)),0)</x:f>
        <x:v>0</x:v>
      </x:c>
      <x:c r="N82" s="11" t="n">
        <x:f>IF(P82=1,D82-M82,0)</x:f>
        <x:v>0</x:v>
      </x:c>
      <x:c r="O82" s="11" t="n">
        <x:f>D82-M82-N82</x:f>
        <x:v>0</x:v>
      </x:c>
      <x:c r="P82" s="15" t="n">
        <x:f>IF(AND(K82&gt;0,ABS(D82-SUMIFS('PO detail'!$P$2:$P$672,'PO detail'!$A$2:$A$672,A82,'PO detail'!$B$2:$B$672,B82))&lt;0.01),1,0)</x:f>
        <x:v>0</x:v>
      </x:c>
      <x:c r="Q82" s="15" t="n">
        <x:f>IF(AND(L82&gt;0,H82&gt;0,ABS(H82-L82)&lt;0.01),1,0)</x:f>
        <x:v>0</x:v>
      </x:c>
      <x:c r="R82" s="15" t="str">
        <x:f>IF(P82=1,"Estimated FIFO layers covered",IF(K82="","No original PO-price baseline","Insufficient dated receipt quantity"))</x:f>
        <x:v>No original PO-price baseline</x:v>
      </x:c>
      <x:c r="S82" s="15" t="n">
        <x:f>SUMIFS('PO detail'!$P$2:$P$672,'PO detail'!$A$2:$A$672,A82,'PO detail'!$B$2:$B$672,B82)</x:f>
        <x:v>0</x:v>
      </x:c>
      <x:c r="T82" s="1" t="str"/>
      <x:c r="U82" s="1" t="str">
        <x:v>Receipt GL and reported valuation; inferred, PrcCostPer not supplied</x:v>
      </x:c>
      <x:c r="V82" s="13" t="n">
        <x:f>G82/I82</x:f>
        <x:v>0.0898</x:v>
      </x:c>
      <x:c r="W82" s="13" t="str">
        <x:f>IF(Q82=1,H82*(1+Summary!$J$5)/I82,"n.a.")</x:f>
        <x:v>n.a.</x:v>
      </x:c>
      <x:c r="X82" s="16" t="n">
        <x:f>D82*V82</x:f>
        <x:v>0</x:v>
      </x:c>
      <x:c r="Y82" s="16" t="n">
        <x:f>M82*V82</x:f>
        <x:v>0</x:v>
      </x:c>
      <x:c r="Z82" s="16" t="n">
        <x:f>N82*V82</x:f>
        <x:v>0</x:v>
      </x:c>
      <x:c r="AA82" s="16" t="n">
        <x:f>O82*V82</x:f>
        <x:v>0</x:v>
      </x:c>
      <x:c r="AB82" s="16" t="n">
        <x:f>J82-X82</x:f>
        <x:v>0</x:v>
      </x:c>
      <x:c r="AC82" s="16" t="str">
        <x:f>IF(ISNUMBER(W82),D82*(W82-V82),"n.a.")</x:f>
        <x:v>n.a.</x:v>
      </x:c>
      <x:c r="AD82" s="12" t="n">
        <x:f>F82-SUMIFS('PO detail'!$S$2:$S$672,'PO detail'!$A$2:$A$672,A82,'PO detail'!$B$2:$B$672,B82)</x:f>
        <x:v>0</x:v>
      </x:c>
    </x:row>
    <x:row r="83" ht="21" customHeight="1">
      <x:c r="A83" s="1" t="str">
        <x:v>10</x:v>
      </x:c>
      <x:c r="B83" s="1" t="str">
        <x:v>800WWHTASC</x:v>
      </x:c>
      <x:c r="C83" s="1" t="str">
        <x:v>SOUTHWEST CONVERSION</x:v>
      </x:c>
      <x:c r="D83" s="8" t="n">
        <x:v>0</x:v>
      </x:c>
      <x:c r="E83" s="8" t="n">
        <x:v>0</x:v>
      </x:c>
      <x:c r="F83" s="8" t="n">
        <x:v>0</x:v>
      </x:c>
      <x:c r="G83" s="9" t="n">
        <x:v>14.56</x:v>
      </x:c>
      <x:c r="H83" s="9" t="n">
        <x:v>0</x:v>
      </x:c>
      <x:c r="I83" s="1" t="n">
        <x:v>100</x:v>
      </x:c>
      <x:c r="J83" s="10" t="n">
        <x:v>0</x:v>
      </x:c>
      <x:c r="K83" s="9"/>
      <x:c r="L83" s="9"/>
      <x:c r="M83" s="11" t="n">
        <x:f>IF(P83=1,SUMIFS('PO detail'!$P$2:$P$672,'PO detail'!$A$2:$A$672,A83,'PO detail'!$B$2:$B$672,B83,'PO detail'!$K$2:$K$672,"&lt;="&amp;(K83*1.01)),0)</x:f>
        <x:v>0</x:v>
      </x:c>
      <x:c r="N83" s="11" t="n">
        <x:f>IF(P83=1,D83-M83,0)</x:f>
        <x:v>0</x:v>
      </x:c>
      <x:c r="O83" s="11" t="n">
        <x:f>D83-M83-N83</x:f>
        <x:v>0</x:v>
      </x:c>
      <x:c r="P83" s="15" t="n">
        <x:f>IF(AND(K83&gt;0,ABS(D83-SUMIFS('PO detail'!$P$2:$P$672,'PO detail'!$A$2:$A$672,A83,'PO detail'!$B$2:$B$672,B83))&lt;0.01),1,0)</x:f>
        <x:v>0</x:v>
      </x:c>
      <x:c r="Q83" s="15" t="n">
        <x:f>IF(AND(L83&gt;0,H83&gt;0,ABS(H83-L83)&lt;0.01),1,0)</x:f>
        <x:v>0</x:v>
      </x:c>
      <x:c r="R83" s="15" t="str">
        <x:f>IF(P83=1,"Estimated FIFO layers covered",IF(K83="","No original PO-price baseline","Insufficient dated receipt quantity"))</x:f>
        <x:v>No original PO-price baseline</x:v>
      </x:c>
      <x:c r="S83" s="15" t="n">
        <x:f>SUMIFS('PO detail'!$P$2:$P$672,'PO detail'!$A$2:$A$672,A83,'PO detail'!$B$2:$B$672,B83)</x:f>
        <x:v>0</x:v>
      </x:c>
      <x:c r="T83" s="1" t="str"/>
      <x:c r="U83" s="1" t="str">
        <x:v>Receipt GL and reported valuation; inferred, PrcCostPer not supplied</x:v>
      </x:c>
      <x:c r="V83" s="13" t="n">
        <x:f>G83/I83</x:f>
        <x:v>0.1456</x:v>
      </x:c>
      <x:c r="W83" s="13" t="str">
        <x:f>IF(Q83=1,H83*(1+Summary!$J$5)/I83,"n.a.")</x:f>
        <x:v>n.a.</x:v>
      </x:c>
      <x:c r="X83" s="16" t="n">
        <x:f>D83*V83</x:f>
        <x:v>0</x:v>
      </x:c>
      <x:c r="Y83" s="16" t="n">
        <x:f>M83*V83</x:f>
        <x:v>0</x:v>
      </x:c>
      <x:c r="Z83" s="16" t="n">
        <x:f>N83*V83</x:f>
        <x:v>0</x:v>
      </x:c>
      <x:c r="AA83" s="16" t="n">
        <x:f>O83*V83</x:f>
        <x:v>0</x:v>
      </x:c>
      <x:c r="AB83" s="16" t="n">
        <x:f>J83-X83</x:f>
        <x:v>0</x:v>
      </x:c>
      <x:c r="AC83" s="16" t="str">
        <x:f>IF(ISNUMBER(W83),D83*(W83-V83),"n.a.")</x:f>
        <x:v>n.a.</x:v>
      </x:c>
      <x:c r="AD83" s="12" t="n">
        <x:f>F83-SUMIFS('PO detail'!$S$2:$S$672,'PO detail'!$A$2:$A$672,A83,'PO detail'!$B$2:$B$672,B83)</x:f>
        <x:v>0</x:v>
      </x:c>
    </x:row>
    <x:row r="84" ht="21" customHeight="1">
      <x:c r="A84" s="1" t="str">
        <x:v>10</x:v>
      </x:c>
      <x:c r="B84" s="1" t="str">
        <x:v>800WWHTBRC</x:v>
      </x:c>
      <x:c r="C84" s="1" t="str">
        <x:v>SOUTHWEST CONVERSION</x:v>
      </x:c>
      <x:c r="D84" s="8" t="n">
        <x:v>0</x:v>
      </x:c>
      <x:c r="E84" s="8" t="n">
        <x:v>0</x:v>
      </x:c>
      <x:c r="F84" s="8" t="n">
        <x:v>0</x:v>
      </x:c>
      <x:c r="G84" s="9" t="n">
        <x:v>18.47</x:v>
      </x:c>
      <x:c r="H84" s="9" t="n">
        <x:v>0</x:v>
      </x:c>
      <x:c r="I84" s="1" t="n">
        <x:v>100</x:v>
      </x:c>
      <x:c r="J84" s="10" t="n">
        <x:v>0</x:v>
      </x:c>
      <x:c r="K84" s="9"/>
      <x:c r="L84" s="9"/>
      <x:c r="M84" s="11" t="n">
        <x:f>IF(P84=1,SUMIFS('PO detail'!$P$2:$P$672,'PO detail'!$A$2:$A$672,A84,'PO detail'!$B$2:$B$672,B84,'PO detail'!$K$2:$K$672,"&lt;="&amp;(K84*1.01)),0)</x:f>
        <x:v>0</x:v>
      </x:c>
      <x:c r="N84" s="11" t="n">
        <x:f>IF(P84=1,D84-M84,0)</x:f>
        <x:v>0</x:v>
      </x:c>
      <x:c r="O84" s="11" t="n">
        <x:f>D84-M84-N84</x:f>
        <x:v>0</x:v>
      </x:c>
      <x:c r="P84" s="15" t="n">
        <x:f>IF(AND(K84&gt;0,ABS(D84-SUMIFS('PO detail'!$P$2:$P$672,'PO detail'!$A$2:$A$672,A84,'PO detail'!$B$2:$B$672,B84))&lt;0.01),1,0)</x:f>
        <x:v>0</x:v>
      </x:c>
      <x:c r="Q84" s="15" t="n">
        <x:f>IF(AND(L84&gt;0,H84&gt;0,ABS(H84-L84)&lt;0.01),1,0)</x:f>
        <x:v>0</x:v>
      </x:c>
      <x:c r="R84" s="15" t="str">
        <x:f>IF(P84=1,"Estimated FIFO layers covered",IF(K84="","No original PO-price baseline","Insufficient dated receipt quantity"))</x:f>
        <x:v>No original PO-price baseline</x:v>
      </x:c>
      <x:c r="S84" s="15" t="n">
        <x:f>SUMIFS('PO detail'!$P$2:$P$672,'PO detail'!$A$2:$A$672,A84,'PO detail'!$B$2:$B$672,B84)</x:f>
        <x:v>0</x:v>
      </x:c>
      <x:c r="T84" s="1" t="str"/>
      <x:c r="U84" s="1" t="str">
        <x:v>Receipt GL and reported valuation; inferred, PrcCostPer not supplied</x:v>
      </x:c>
      <x:c r="V84" s="13" t="n">
        <x:f>G84/I84</x:f>
        <x:v>0.18469999999999998</x:v>
      </x:c>
      <x:c r="W84" s="13" t="str">
        <x:f>IF(Q84=1,H84*(1+Summary!$J$5)/I84,"n.a.")</x:f>
        <x:v>n.a.</x:v>
      </x:c>
      <x:c r="X84" s="16" t="n">
        <x:f>D84*V84</x:f>
        <x:v>0</x:v>
      </x:c>
      <x:c r="Y84" s="16" t="n">
        <x:f>M84*V84</x:f>
        <x:v>0</x:v>
      </x:c>
      <x:c r="Z84" s="16" t="n">
        <x:f>N84*V84</x:f>
        <x:v>0</x:v>
      </x:c>
      <x:c r="AA84" s="16" t="n">
        <x:f>O84*V84</x:f>
        <x:v>0</x:v>
      </x:c>
      <x:c r="AB84" s="16" t="n">
        <x:f>J84-X84</x:f>
        <x:v>0</x:v>
      </x:c>
      <x:c r="AC84" s="16" t="str">
        <x:f>IF(ISNUMBER(W84),D84*(W84-V84),"n.a.")</x:f>
        <x:v>n.a.</x:v>
      </x:c>
      <x:c r="AD84" s="12" t="n">
        <x:f>F84-SUMIFS('PO detail'!$S$2:$S$672,'PO detail'!$A$2:$A$672,A84,'PO detail'!$B$2:$B$672,B84)</x:f>
        <x:v>0</x:v>
      </x:c>
    </x:row>
    <x:row r="85" ht="21" customHeight="1">
      <x:c r="A85" s="1" t="str">
        <x:v>30</x:v>
      </x:c>
      <x:c r="B85" s="1" t="str">
        <x:v>800BFGASC</x:v>
      </x:c>
      <x:c r="C85" s="1" t="str">
        <x:v>ECOLOGICAL FIBERS, INC</x:v>
      </x:c>
      <x:c r="D85" s="8" t="n">
        <x:v>0</x:v>
      </x:c>
      <x:c r="E85" s="8" t="n">
        <x:v>0</x:v>
      </x:c>
      <x:c r="F85" s="8" t="n">
        <x:v>0</x:v>
      </x:c>
      <x:c r="G85" s="9" t="n">
        <x:v>14.56</x:v>
      </x:c>
      <x:c r="H85" s="9" t="n">
        <x:v>0</x:v>
      </x:c>
      <x:c r="I85" s="1" t="n">
        <x:v>100</x:v>
      </x:c>
      <x:c r="J85" s="10" t="n">
        <x:v>0</x:v>
      </x:c>
      <x:c r="K85" s="9"/>
      <x:c r="L85" s="9"/>
      <x:c r="M85" s="11" t="n">
        <x:f>IF(P85=1,SUMIFS('PO detail'!$P$2:$P$672,'PO detail'!$A$2:$A$672,A85,'PO detail'!$B$2:$B$672,B85,'PO detail'!$K$2:$K$672,"&lt;="&amp;(K85*1.01)),0)</x:f>
        <x:v>0</x:v>
      </x:c>
      <x:c r="N85" s="11" t="n">
        <x:f>IF(P85=1,D85-M85,0)</x:f>
        <x:v>0</x:v>
      </x:c>
      <x:c r="O85" s="11" t="n">
        <x:f>D85-M85-N85</x:f>
        <x:v>0</x:v>
      </x:c>
      <x:c r="P85" s="15" t="n">
        <x:f>IF(AND(K85&gt;0,ABS(D85-SUMIFS('PO detail'!$P$2:$P$672,'PO detail'!$A$2:$A$672,A85,'PO detail'!$B$2:$B$672,B85))&lt;0.01),1,0)</x:f>
        <x:v>0</x:v>
      </x:c>
      <x:c r="Q85" s="15" t="n">
        <x:f>IF(AND(L85&gt;0,H85&gt;0,ABS(H85-L85)&lt;0.01),1,0)</x:f>
        <x:v>0</x:v>
      </x:c>
      <x:c r="R85" s="15" t="str">
        <x:f>IF(P85=1,"Estimated FIFO layers covered",IF(K85="","No original PO-price baseline","Insufficient dated receipt quantity"))</x:f>
        <x:v>No original PO-price baseline</x:v>
      </x:c>
      <x:c r="S85" s="15" t="n">
        <x:f>SUMIFS('PO detail'!$P$2:$P$672,'PO detail'!$A$2:$A$672,A85,'PO detail'!$B$2:$B$672,B85)</x:f>
        <x:v>0</x:v>
      </x:c>
      <x:c r="T85" s="1" t="str">
        <x:v>2023-03-15 00:00:00</x:v>
      </x:c>
      <x:c r="U85" s="1" t="str">
        <x:v>Receipt GL and reported valuation; inferred, PrcCostPer not supplied</x:v>
      </x:c>
      <x:c r="V85" s="13" t="n">
        <x:f>G85/I85</x:f>
        <x:v>0.1456</x:v>
      </x:c>
      <x:c r="W85" s="13" t="str">
        <x:f>IF(Q85=1,H85*(1+Summary!$J$5)/I85,"n.a.")</x:f>
        <x:v>n.a.</x:v>
      </x:c>
      <x:c r="X85" s="16" t="n">
        <x:f>D85*V85</x:f>
        <x:v>0</x:v>
      </x:c>
      <x:c r="Y85" s="16" t="n">
        <x:f>M85*V85</x:f>
        <x:v>0</x:v>
      </x:c>
      <x:c r="Z85" s="16" t="n">
        <x:f>N85*V85</x:f>
        <x:v>0</x:v>
      </x:c>
      <x:c r="AA85" s="16" t="n">
        <x:f>O85*V85</x:f>
        <x:v>0</x:v>
      </x:c>
      <x:c r="AB85" s="16" t="n">
        <x:f>J85-X85</x:f>
        <x:v>0</x:v>
      </x:c>
      <x:c r="AC85" s="16" t="str">
        <x:f>IF(ISNUMBER(W85),D85*(W85-V85),"n.a.")</x:f>
        <x:v>n.a.</x:v>
      </x:c>
      <x:c r="AD85" s="12" t="n">
        <x:f>F85-SUMIFS('PO detail'!$S$2:$S$672,'PO detail'!$A$2:$A$672,A85,'PO detail'!$B$2:$B$672,B85)</x:f>
        <x:v>0</x:v>
      </x:c>
    </x:row>
    <x:row r="86" ht="21" customHeight="1">
      <x:c r="A86" s="1" t="str">
        <x:v>30</x:v>
      </x:c>
      <x:c r="B86" s="1" t="str">
        <x:v>800BFGBRC</x:v>
      </x:c>
      <x:c r="C86" s="1" t="str">
        <x:v>ECOLOGICAL FIBERS, INC</x:v>
      </x:c>
      <x:c r="D86" s="8" t="n">
        <x:v>0</x:v>
      </x:c>
      <x:c r="E86" s="8" t="n">
        <x:v>0</x:v>
      </x:c>
      <x:c r="F86" s="8" t="n">
        <x:v>0</x:v>
      </x:c>
      <x:c r="G86" s="9" t="n">
        <x:v>18.47</x:v>
      </x:c>
      <x:c r="H86" s="9" t="n">
        <x:v>0</x:v>
      </x:c>
      <x:c r="I86" s="1" t="n">
        <x:v>100</x:v>
      </x:c>
      <x:c r="J86" s="10" t="n">
        <x:v>0</x:v>
      </x:c>
      <x:c r="K86" s="9"/>
      <x:c r="L86" s="9"/>
      <x:c r="M86" s="11" t="n">
        <x:f>IF(P86=1,SUMIFS('PO detail'!$P$2:$P$672,'PO detail'!$A$2:$A$672,A86,'PO detail'!$B$2:$B$672,B86,'PO detail'!$K$2:$K$672,"&lt;="&amp;(K86*1.01)),0)</x:f>
        <x:v>0</x:v>
      </x:c>
      <x:c r="N86" s="11" t="n">
        <x:f>IF(P86=1,D86-M86,0)</x:f>
        <x:v>0</x:v>
      </x:c>
      <x:c r="O86" s="11" t="n">
        <x:f>D86-M86-N86</x:f>
        <x:v>0</x:v>
      </x:c>
      <x:c r="P86" s="15" t="n">
        <x:f>IF(AND(K86&gt;0,ABS(D86-SUMIFS('PO detail'!$P$2:$P$672,'PO detail'!$A$2:$A$672,A86,'PO detail'!$B$2:$B$672,B86))&lt;0.01),1,0)</x:f>
        <x:v>0</x:v>
      </x:c>
      <x:c r="Q86" s="15" t="n">
        <x:f>IF(AND(L86&gt;0,H86&gt;0,ABS(H86-L86)&lt;0.01),1,0)</x:f>
        <x:v>0</x:v>
      </x:c>
      <x:c r="R86" s="15" t="str">
        <x:f>IF(P86=1,"Estimated FIFO layers covered",IF(K86="","No original PO-price baseline","Insufficient dated receipt quantity"))</x:f>
        <x:v>No original PO-price baseline</x:v>
      </x:c>
      <x:c r="S86" s="15" t="n">
        <x:f>SUMIFS('PO detail'!$P$2:$P$672,'PO detail'!$A$2:$A$672,A86,'PO detail'!$B$2:$B$672,B86)</x:f>
        <x:v>0</x:v>
      </x:c>
      <x:c r="T86" s="1" t="str">
        <x:v>2015-04-21 00:00:00</x:v>
      </x:c>
      <x:c r="U86" s="1" t="str">
        <x:v>Receipt GL and reported valuation; inferred, PrcCostPer not supplied</x:v>
      </x:c>
      <x:c r="V86" s="13" t="n">
        <x:f>G86/I86</x:f>
        <x:v>0.18469999999999998</x:v>
      </x:c>
      <x:c r="W86" s="13" t="str">
        <x:f>IF(Q86=1,H86*(1+Summary!$J$5)/I86,"n.a.")</x:f>
        <x:v>n.a.</x:v>
      </x:c>
      <x:c r="X86" s="16" t="n">
        <x:f>D86*V86</x:f>
        <x:v>0</x:v>
      </x:c>
      <x:c r="Y86" s="16" t="n">
        <x:f>M86*V86</x:f>
        <x:v>0</x:v>
      </x:c>
      <x:c r="Z86" s="16" t="n">
        <x:f>N86*V86</x:f>
        <x:v>0</x:v>
      </x:c>
      <x:c r="AA86" s="16" t="n">
        <x:f>O86*V86</x:f>
        <x:v>0</x:v>
      </x:c>
      <x:c r="AB86" s="16" t="n">
        <x:f>J86-X86</x:f>
        <x:v>0</x:v>
      </x:c>
      <x:c r="AC86" s="16" t="str">
        <x:f>IF(ISNUMBER(W86),D86*(W86-V86),"n.a.")</x:f>
        <x:v>n.a.</x:v>
      </x:c>
      <x:c r="AD86" s="12" t="n">
        <x:f>F86-SUMIFS('PO detail'!$S$2:$S$672,'PO detail'!$A$2:$A$672,A86,'PO detail'!$B$2:$B$672,B86)</x:f>
        <x:v>0</x:v>
      </x:c>
    </x:row>
    <x:row r="87" ht="21" customHeight="1">
      <x:c r="A87" s="1" t="str">
        <x:v>30</x:v>
      </x:c>
      <x:c r="B87" s="1" t="str">
        <x:v>800BFGCSC</x:v>
      </x:c>
      <x:c r="C87" s="1" t="str">
        <x:v>ECOLOGICAL FIBERS, INC</x:v>
      </x:c>
      <x:c r="D87" s="8" t="n">
        <x:v>0</x:v>
      </x:c>
      <x:c r="E87" s="8" t="n">
        <x:v>0</x:v>
      </x:c>
      <x:c r="F87" s="8" t="n">
        <x:v>0</x:v>
      </x:c>
      <x:c r="G87" s="9" t="n">
        <x:v>21.56</x:v>
      </x:c>
      <x:c r="H87" s="9" t="n">
        <x:v>11.13</x:v>
      </x:c>
      <x:c r="I87" s="1" t="n">
        <x:v>100</x:v>
      </x:c>
      <x:c r="J87" s="10" t="n">
        <x:v>0</x:v>
      </x:c>
      <x:c r="K87" s="9"/>
      <x:c r="L87" s="9"/>
      <x:c r="M87" s="11" t="n">
        <x:f>IF(P87=1,SUMIFS('PO detail'!$P$2:$P$672,'PO detail'!$A$2:$A$672,A87,'PO detail'!$B$2:$B$672,B87,'PO detail'!$K$2:$K$672,"&lt;="&amp;(K87*1.01)),0)</x:f>
        <x:v>0</x:v>
      </x:c>
      <x:c r="N87" s="11" t="n">
        <x:f>IF(P87=1,D87-M87,0)</x:f>
        <x:v>0</x:v>
      </x:c>
      <x:c r="O87" s="11" t="n">
        <x:f>D87-M87-N87</x:f>
        <x:v>0</x:v>
      </x:c>
      <x:c r="P87" s="15" t="n">
        <x:f>IF(AND(K87&gt;0,ABS(D87-SUMIFS('PO detail'!$P$2:$P$672,'PO detail'!$A$2:$A$672,A87,'PO detail'!$B$2:$B$672,B87))&lt;0.01),1,0)</x:f>
        <x:v>0</x:v>
      </x:c>
      <x:c r="Q87" s="15" t="n">
        <x:f>IF(AND(L87&gt;0,H87&gt;0,ABS(H87-L87)&lt;0.01),1,0)</x:f>
        <x:v>0</x:v>
      </x:c>
      <x:c r="R87" s="15" t="str">
        <x:f>IF(P87=1,"Estimated FIFO layers covered",IF(K87="","No original PO-price baseline","Insufficient dated receipt quantity"))</x:f>
        <x:v>No original PO-price baseline</x:v>
      </x:c>
      <x:c r="S87" s="15" t="n">
        <x:f>SUMIFS('PO detail'!$P$2:$P$672,'PO detail'!$A$2:$A$672,A87,'PO detail'!$B$2:$B$672,B87)</x:f>
        <x:v>0</x:v>
      </x:c>
      <x:c r="T87" s="1" t="str">
        <x:v>2008-12-31 00:00:00</x:v>
      </x:c>
      <x:c r="U87" s="1" t="str">
        <x:v>Receipt GL and reported valuation; inferred, PrcCostPer not supplied</x:v>
      </x:c>
      <x:c r="V87" s="13" t="n">
        <x:f>G87/I87</x:f>
        <x:v>0.21559999999999999</x:v>
      </x:c>
      <x:c r="W87" s="13" t="str">
        <x:f>IF(Q87=1,H87*(1+Summary!$J$5)/I87,"n.a.")</x:f>
        <x:v>n.a.</x:v>
      </x:c>
      <x:c r="X87" s="16" t="n">
        <x:f>D87*V87</x:f>
        <x:v>0</x:v>
      </x:c>
      <x:c r="Y87" s="16" t="n">
        <x:f>M87*V87</x:f>
        <x:v>0</x:v>
      </x:c>
      <x:c r="Z87" s="16" t="n">
        <x:f>N87*V87</x:f>
        <x:v>0</x:v>
      </x:c>
      <x:c r="AA87" s="16" t="n">
        <x:f>O87*V87</x:f>
        <x:v>0</x:v>
      </x:c>
      <x:c r="AB87" s="16" t="n">
        <x:f>J87-X87</x:f>
        <x:v>0</x:v>
      </x:c>
      <x:c r="AC87" s="16" t="str">
        <x:f>IF(ISNUMBER(W87),D87*(W87-V87),"n.a.")</x:f>
        <x:v>n.a.</x:v>
      </x:c>
      <x:c r="AD87" s="12" t="n">
        <x:f>F87-SUMIFS('PO detail'!$S$2:$S$672,'PO detail'!$A$2:$A$672,A87,'PO detail'!$B$2:$B$672,B87)</x:f>
        <x:v>0</x:v>
      </x:c>
    </x:row>
    <x:row r="88" ht="21" customHeight="1">
      <x:c r="A88" s="1" t="str">
        <x:v>30</x:v>
      </x:c>
      <x:c r="B88" s="1" t="str">
        <x:v>800BFGDSC</x:v>
      </x:c>
      <x:c r="C88" s="1" t="str">
        <x:v>ECOLOGICAL FIBERS, INC</x:v>
      </x:c>
      <x:c r="D88" s="8" t="n">
        <x:v>0</x:v>
      </x:c>
      <x:c r="E88" s="8" t="n">
        <x:v>0</x:v>
      </x:c>
      <x:c r="F88" s="8" t="n">
        <x:v>0</x:v>
      </x:c>
      <x:c r="G88" s="9" t="n">
        <x:v>38</x:v>
      </x:c>
      <x:c r="H88" s="9" t="n">
        <x:v>17.37</x:v>
      </x:c>
      <x:c r="I88" s="1" t="n">
        <x:v>100</x:v>
      </x:c>
      <x:c r="J88" s="10" t="n">
        <x:v>0</x:v>
      </x:c>
      <x:c r="K88" s="9"/>
      <x:c r="L88" s="9"/>
      <x:c r="M88" s="11" t="n">
        <x:f>IF(P88=1,SUMIFS('PO detail'!$P$2:$P$672,'PO detail'!$A$2:$A$672,A88,'PO detail'!$B$2:$B$672,B88,'PO detail'!$K$2:$K$672,"&lt;="&amp;(K88*1.01)),0)</x:f>
        <x:v>0</x:v>
      </x:c>
      <x:c r="N88" s="11" t="n">
        <x:f>IF(P88=1,D88-M88,0)</x:f>
        <x:v>0</x:v>
      </x:c>
      <x:c r="O88" s="11" t="n">
        <x:f>D88-M88-N88</x:f>
        <x:v>0</x:v>
      </x:c>
      <x:c r="P88" s="15" t="n">
        <x:f>IF(AND(K88&gt;0,ABS(D88-SUMIFS('PO detail'!$P$2:$P$672,'PO detail'!$A$2:$A$672,A88,'PO detail'!$B$2:$B$672,B88))&lt;0.01),1,0)</x:f>
        <x:v>0</x:v>
      </x:c>
      <x:c r="Q88" s="15" t="n">
        <x:f>IF(AND(L88&gt;0,H88&gt;0,ABS(H88-L88)&lt;0.01),1,0)</x:f>
        <x:v>0</x:v>
      </x:c>
      <x:c r="R88" s="15" t="str">
        <x:f>IF(P88=1,"Estimated FIFO layers covered",IF(K88="","No original PO-price baseline","Insufficient dated receipt quantity"))</x:f>
        <x:v>No original PO-price baseline</x:v>
      </x:c>
      <x:c r="S88" s="15" t="n">
        <x:f>SUMIFS('PO detail'!$P$2:$P$672,'PO detail'!$A$2:$A$672,A88,'PO detail'!$B$2:$B$672,B88)</x:f>
        <x:v>0</x:v>
      </x:c>
      <x:c r="T88" s="1" t="str">
        <x:v>2011-11-09 00:00:00</x:v>
      </x:c>
      <x:c r="U88" s="1" t="str">
        <x:v>Receipt GL and reported valuation; inferred, PrcCostPer not supplied</x:v>
      </x:c>
      <x:c r="V88" s="13" t="n">
        <x:f>G88/I88</x:f>
        <x:v>0.38</x:v>
      </x:c>
      <x:c r="W88" s="13" t="str">
        <x:f>IF(Q88=1,H88*(1+Summary!$J$5)/I88,"n.a.")</x:f>
        <x:v>n.a.</x:v>
      </x:c>
      <x:c r="X88" s="16" t="n">
        <x:f>D88*V88</x:f>
        <x:v>0</x:v>
      </x:c>
      <x:c r="Y88" s="16" t="n">
        <x:f>M88*V88</x:f>
        <x:v>0</x:v>
      </x:c>
      <x:c r="Z88" s="16" t="n">
        <x:f>N88*V88</x:f>
        <x:v>0</x:v>
      </x:c>
      <x:c r="AA88" s="16" t="n">
        <x:f>O88*V88</x:f>
        <x:v>0</x:v>
      </x:c>
      <x:c r="AB88" s="16" t="n">
        <x:f>J88-X88</x:f>
        <x:v>0</x:v>
      </x:c>
      <x:c r="AC88" s="16" t="str">
        <x:f>IF(ISNUMBER(W88),D88*(W88-V88),"n.a.")</x:f>
        <x:v>n.a.</x:v>
      </x:c>
      <x:c r="AD88" s="12" t="n">
        <x:f>F88-SUMIFS('PO detail'!$S$2:$S$672,'PO detail'!$A$2:$A$672,A88,'PO detail'!$B$2:$B$672,B88)</x:f>
        <x:v>0</x:v>
      </x:c>
    </x:row>
    <x:row r="89" ht="21" customHeight="1">
      <x:c r="A89" s="1" t="str">
        <x:v>30</x:v>
      </x:c>
      <x:c r="B89" s="1" t="str">
        <x:v>800BFGISC</x:v>
      </x:c>
      <x:c r="C89" s="1" t="str">
        <x:v>ECOLOGICAL FIBERS, INC</x:v>
      </x:c>
      <x:c r="D89" s="8" t="n">
        <x:v>0</x:v>
      </x:c>
      <x:c r="E89" s="8" t="n">
        <x:v>0</x:v>
      </x:c>
      <x:c r="F89" s="8" t="n">
        <x:v>0</x:v>
      </x:c>
      <x:c r="G89" s="9" t="n">
        <x:v>17.97</x:v>
      </x:c>
      <x:c r="H89" s="9" t="n">
        <x:v>0</x:v>
      </x:c>
      <x:c r="I89" s="1" t="n">
        <x:v>100</x:v>
      </x:c>
      <x:c r="J89" s="10" t="n">
        <x:v>0</x:v>
      </x:c>
      <x:c r="K89" s="9"/>
      <x:c r="L89" s="9"/>
      <x:c r="M89" s="11" t="n">
        <x:f>IF(P89=1,SUMIFS('PO detail'!$P$2:$P$672,'PO detail'!$A$2:$A$672,A89,'PO detail'!$B$2:$B$672,B89,'PO detail'!$K$2:$K$672,"&lt;="&amp;(K89*1.01)),0)</x:f>
        <x:v>0</x:v>
      </x:c>
      <x:c r="N89" s="11" t="n">
        <x:f>IF(P89=1,D89-M89,0)</x:f>
        <x:v>0</x:v>
      </x:c>
      <x:c r="O89" s="11" t="n">
        <x:f>D89-M89-N89</x:f>
        <x:v>0</x:v>
      </x:c>
      <x:c r="P89" s="15" t="n">
        <x:f>IF(AND(K89&gt;0,ABS(D89-SUMIFS('PO detail'!$P$2:$P$672,'PO detail'!$A$2:$A$672,A89,'PO detail'!$B$2:$B$672,B89))&lt;0.01),1,0)</x:f>
        <x:v>0</x:v>
      </x:c>
      <x:c r="Q89" s="15" t="n">
        <x:f>IF(AND(L89&gt;0,H89&gt;0,ABS(H89-L89)&lt;0.01),1,0)</x:f>
        <x:v>0</x:v>
      </x:c>
      <x:c r="R89" s="15" t="str">
        <x:f>IF(P89=1,"Estimated FIFO layers covered",IF(K89="","No original PO-price baseline","Insufficient dated receipt quantity"))</x:f>
        <x:v>No original PO-price baseline</x:v>
      </x:c>
      <x:c r="S89" s="15" t="n">
        <x:f>SUMIFS('PO detail'!$P$2:$P$672,'PO detail'!$A$2:$A$672,A89,'PO detail'!$B$2:$B$672,B89)</x:f>
        <x:v>0</x:v>
      </x:c>
      <x:c r="T89" s="1" t="str">
        <x:v>2017-01-30 00:00:00</x:v>
      </x:c>
      <x:c r="U89" s="1" t="str">
        <x:v>Receipt GL and reported valuation; inferred, PrcCostPer not supplied</x:v>
      </x:c>
      <x:c r="V89" s="13" t="n">
        <x:f>G89/I89</x:f>
        <x:v>0.1797</x:v>
      </x:c>
      <x:c r="W89" s="13" t="str">
        <x:f>IF(Q89=1,H89*(1+Summary!$J$5)/I89,"n.a.")</x:f>
        <x:v>n.a.</x:v>
      </x:c>
      <x:c r="X89" s="16" t="n">
        <x:f>D89*V89</x:f>
        <x:v>0</x:v>
      </x:c>
      <x:c r="Y89" s="16" t="n">
        <x:f>M89*V89</x:f>
        <x:v>0</x:v>
      </x:c>
      <x:c r="Z89" s="16" t="n">
        <x:f>N89*V89</x:f>
        <x:v>0</x:v>
      </x:c>
      <x:c r="AA89" s="16" t="n">
        <x:f>O89*V89</x:f>
        <x:v>0</x:v>
      </x:c>
      <x:c r="AB89" s="16" t="n">
        <x:f>J89-X89</x:f>
        <x:v>0</x:v>
      </x:c>
      <x:c r="AC89" s="16" t="str">
        <x:f>IF(ISNUMBER(W89),D89*(W89-V89),"n.a.")</x:f>
        <x:v>n.a.</x:v>
      </x:c>
      <x:c r="AD89" s="12" t="n">
        <x:f>F89-SUMIFS('PO detail'!$S$2:$S$672,'PO detail'!$A$2:$A$672,A89,'PO detail'!$B$2:$B$672,B89)</x:f>
        <x:v>0</x:v>
      </x:c>
    </x:row>
    <x:row r="90" ht="21" customHeight="1">
      <x:c r="A90" s="1" t="str">
        <x:v>30</x:v>
      </x:c>
      <x:c r="B90" s="1" t="str">
        <x:v>800BWHTASC</x:v>
      </x:c>
      <x:c r="C90" s="1" t="str">
        <x:v>ECOLOGICAL FIBERS, INC</x:v>
      </x:c>
      <x:c r="D90" s="8" t="n">
        <x:v>0</x:v>
      </x:c>
      <x:c r="E90" s="8" t="n">
        <x:v>0</x:v>
      </x:c>
      <x:c r="F90" s="8" t="n">
        <x:v>0</x:v>
      </x:c>
      <x:c r="G90" s="9" t="n">
        <x:v>14.56</x:v>
      </x:c>
      <x:c r="H90" s="9" t="n">
        <x:v>0</x:v>
      </x:c>
      <x:c r="I90" s="1" t="n">
        <x:v>100</x:v>
      </x:c>
      <x:c r="J90" s="10" t="n">
        <x:v>0</x:v>
      </x:c>
      <x:c r="K90" s="9"/>
      <x:c r="L90" s="9"/>
      <x:c r="M90" s="11" t="n">
        <x:f>IF(P90=1,SUMIFS('PO detail'!$P$2:$P$672,'PO detail'!$A$2:$A$672,A90,'PO detail'!$B$2:$B$672,B90,'PO detail'!$K$2:$K$672,"&lt;="&amp;(K90*1.01)),0)</x:f>
        <x:v>0</x:v>
      </x:c>
      <x:c r="N90" s="11" t="n">
        <x:f>IF(P90=1,D90-M90,0)</x:f>
        <x:v>0</x:v>
      </x:c>
      <x:c r="O90" s="11" t="n">
        <x:f>D90-M90-N90</x:f>
        <x:v>0</x:v>
      </x:c>
      <x:c r="P90" s="15" t="n">
        <x:f>IF(AND(K90&gt;0,ABS(D90-SUMIFS('PO detail'!$P$2:$P$672,'PO detail'!$A$2:$A$672,A90,'PO detail'!$B$2:$B$672,B90))&lt;0.01),1,0)</x:f>
        <x:v>0</x:v>
      </x:c>
      <x:c r="Q90" s="15" t="n">
        <x:f>IF(AND(L90&gt;0,H90&gt;0,ABS(H90-L90)&lt;0.01),1,0)</x:f>
        <x:v>0</x:v>
      </x:c>
      <x:c r="R90" s="15" t="str">
        <x:f>IF(P90=1,"Estimated FIFO layers covered",IF(K90="","No original PO-price baseline","Insufficient dated receipt quantity"))</x:f>
        <x:v>No original PO-price baseline</x:v>
      </x:c>
      <x:c r="S90" s="15" t="n">
        <x:f>SUMIFS('PO detail'!$P$2:$P$672,'PO detail'!$A$2:$A$672,A90,'PO detail'!$B$2:$B$672,B90)</x:f>
        <x:v>0</x:v>
      </x:c>
      <x:c r="T90" s="1" t="str">
        <x:v>2023-03-15 00:00:00</x:v>
      </x:c>
      <x:c r="U90" s="1" t="str">
        <x:v>Receipt GL and reported valuation; inferred, PrcCostPer not supplied</x:v>
      </x:c>
      <x:c r="V90" s="13" t="n">
        <x:f>G90/I90</x:f>
        <x:v>0.1456</x:v>
      </x:c>
      <x:c r="W90" s="13" t="str">
        <x:f>IF(Q90=1,H90*(1+Summary!$J$5)/I90,"n.a.")</x:f>
        <x:v>n.a.</x:v>
      </x:c>
      <x:c r="X90" s="16" t="n">
        <x:f>D90*V90</x:f>
        <x:v>0</x:v>
      </x:c>
      <x:c r="Y90" s="16" t="n">
        <x:f>M90*V90</x:f>
        <x:v>0</x:v>
      </x:c>
      <x:c r="Z90" s="16" t="n">
        <x:f>N90*V90</x:f>
        <x:v>0</x:v>
      </x:c>
      <x:c r="AA90" s="16" t="n">
        <x:f>O90*V90</x:f>
        <x:v>0</x:v>
      </x:c>
      <x:c r="AB90" s="16" t="n">
        <x:f>J90-X90</x:f>
        <x:v>0</x:v>
      </x:c>
      <x:c r="AC90" s="16" t="str">
        <x:f>IF(ISNUMBER(W90),D90*(W90-V90),"n.a.")</x:f>
        <x:v>n.a.</x:v>
      </x:c>
      <x:c r="AD90" s="12" t="n">
        <x:f>F90-SUMIFS('PO detail'!$S$2:$S$672,'PO detail'!$A$2:$A$672,A90,'PO detail'!$B$2:$B$672,B90)</x:f>
        <x:v>0</x:v>
      </x:c>
    </x:row>
    <x:row r="91" ht="21" customHeight="1">
      <x:c r="A91" s="1" t="str">
        <x:v>30</x:v>
      </x:c>
      <x:c r="B91" s="1" t="str">
        <x:v>800BWHTBRC</x:v>
      </x:c>
      <x:c r="C91" s="1" t="str">
        <x:v>ECOLOGICAL FIBERS, INC</x:v>
      </x:c>
      <x:c r="D91" s="8" t="n">
        <x:v>0</x:v>
      </x:c>
      <x:c r="E91" s="8" t="n">
        <x:v>0</x:v>
      </x:c>
      <x:c r="F91" s="8" t="n">
        <x:v>0</x:v>
      </x:c>
      <x:c r="G91" s="9" t="n">
        <x:v>18.47</x:v>
      </x:c>
      <x:c r="H91" s="9" t="n">
        <x:v>0</x:v>
      </x:c>
      <x:c r="I91" s="1" t="n">
        <x:v>100</x:v>
      </x:c>
      <x:c r="J91" s="10" t="n">
        <x:v>0</x:v>
      </x:c>
      <x:c r="K91" s="9"/>
      <x:c r="L91" s="9"/>
      <x:c r="M91" s="11" t="n">
        <x:f>IF(P91=1,SUMIFS('PO detail'!$P$2:$P$672,'PO detail'!$A$2:$A$672,A91,'PO detail'!$B$2:$B$672,B91,'PO detail'!$K$2:$K$672,"&lt;="&amp;(K91*1.01)),0)</x:f>
        <x:v>0</x:v>
      </x:c>
      <x:c r="N91" s="11" t="n">
        <x:f>IF(P91=1,D91-M91,0)</x:f>
        <x:v>0</x:v>
      </x:c>
      <x:c r="O91" s="11" t="n">
        <x:f>D91-M91-N91</x:f>
        <x:v>0</x:v>
      </x:c>
      <x:c r="P91" s="15" t="n">
        <x:f>IF(AND(K91&gt;0,ABS(D91-SUMIFS('PO detail'!$P$2:$P$672,'PO detail'!$A$2:$A$672,A91,'PO detail'!$B$2:$B$672,B91))&lt;0.01),1,0)</x:f>
        <x:v>0</x:v>
      </x:c>
      <x:c r="Q91" s="15" t="n">
        <x:f>IF(AND(L91&gt;0,H91&gt;0,ABS(H91-L91)&lt;0.01),1,0)</x:f>
        <x:v>0</x:v>
      </x:c>
      <x:c r="R91" s="15" t="str">
        <x:f>IF(P91=1,"Estimated FIFO layers covered",IF(K91="","No original PO-price baseline","Insufficient dated receipt quantity"))</x:f>
        <x:v>No original PO-price baseline</x:v>
      </x:c>
      <x:c r="S91" s="15" t="n">
        <x:f>SUMIFS('PO detail'!$P$2:$P$672,'PO detail'!$A$2:$A$672,A91,'PO detail'!$B$2:$B$672,B91)</x:f>
        <x:v>0</x:v>
      </x:c>
      <x:c r="T91" s="1" t="str">
        <x:v>2010-11-10 00:00:00</x:v>
      </x:c>
      <x:c r="U91" s="1" t="str">
        <x:v>Receipt GL and reported valuation; inferred, PrcCostPer not supplied</x:v>
      </x:c>
      <x:c r="V91" s="13" t="n">
        <x:f>G91/I91</x:f>
        <x:v>0.18469999999999998</x:v>
      </x:c>
      <x:c r="W91" s="13" t="str">
        <x:f>IF(Q91=1,H91*(1+Summary!$J$5)/I91,"n.a.")</x:f>
        <x:v>n.a.</x:v>
      </x:c>
      <x:c r="X91" s="16" t="n">
        <x:f>D91*V91</x:f>
        <x:v>0</x:v>
      </x:c>
      <x:c r="Y91" s="16" t="n">
        <x:f>M91*V91</x:f>
        <x:v>0</x:v>
      </x:c>
      <x:c r="Z91" s="16" t="n">
        <x:f>N91*V91</x:f>
        <x:v>0</x:v>
      </x:c>
      <x:c r="AA91" s="16" t="n">
        <x:f>O91*V91</x:f>
        <x:v>0</x:v>
      </x:c>
      <x:c r="AB91" s="16" t="n">
        <x:f>J91-X91</x:f>
        <x:v>0</x:v>
      </x:c>
      <x:c r="AC91" s="16" t="str">
        <x:f>IF(ISNUMBER(W91),D91*(W91-V91),"n.a.")</x:f>
        <x:v>n.a.</x:v>
      </x:c>
      <x:c r="AD91" s="12" t="n">
        <x:f>F91-SUMIFS('PO detail'!$S$2:$S$672,'PO detail'!$A$2:$A$672,A91,'PO detail'!$B$2:$B$672,B91)</x:f>
        <x:v>0</x:v>
      </x:c>
    </x:row>
    <x:row r="92" ht="21" customHeight="1">
      <x:c r="A92" s="1" t="str">
        <x:v>30</x:v>
      </x:c>
      <x:c r="B92" s="1" t="str">
        <x:v>800BWHTCSC</x:v>
      </x:c>
      <x:c r="C92" s="1" t="str">
        <x:v>ECOLOGICAL FIBERS, INC</x:v>
      </x:c>
      <x:c r="D92" s="8" t="n">
        <x:v>0</x:v>
      </x:c>
      <x:c r="E92" s="8" t="n">
        <x:v>0</x:v>
      </x:c>
      <x:c r="F92" s="8" t="n">
        <x:v>0</x:v>
      </x:c>
      <x:c r="G92" s="9" t="n">
        <x:v>21.56</x:v>
      </x:c>
      <x:c r="H92" s="9" t="n">
        <x:v>0</x:v>
      </x:c>
      <x:c r="I92" s="1" t="n">
        <x:v>100</x:v>
      </x:c>
      <x:c r="J92" s="10" t="n">
        <x:v>0</x:v>
      </x:c>
      <x:c r="K92" s="9"/>
      <x:c r="L92" s="9"/>
      <x:c r="M92" s="11" t="n">
        <x:f>IF(P92=1,SUMIFS('PO detail'!$P$2:$P$672,'PO detail'!$A$2:$A$672,A92,'PO detail'!$B$2:$B$672,B92,'PO detail'!$K$2:$K$672,"&lt;="&amp;(K92*1.01)),0)</x:f>
        <x:v>0</x:v>
      </x:c>
      <x:c r="N92" s="11" t="n">
        <x:f>IF(P92=1,D92-M92,0)</x:f>
        <x:v>0</x:v>
      </x:c>
      <x:c r="O92" s="11" t="n">
        <x:f>D92-M92-N92</x:f>
        <x:v>0</x:v>
      </x:c>
      <x:c r="P92" s="15" t="n">
        <x:f>IF(AND(K92&gt;0,ABS(D92-SUMIFS('PO detail'!$P$2:$P$672,'PO detail'!$A$2:$A$672,A92,'PO detail'!$B$2:$B$672,B92))&lt;0.01),1,0)</x:f>
        <x:v>0</x:v>
      </x:c>
      <x:c r="Q92" s="15" t="n">
        <x:f>IF(AND(L92&gt;0,H92&gt;0,ABS(H92-L92)&lt;0.01),1,0)</x:f>
        <x:v>0</x:v>
      </x:c>
      <x:c r="R92" s="15" t="str">
        <x:f>IF(P92=1,"Estimated FIFO layers covered",IF(K92="","No original PO-price baseline","Insufficient dated receipt quantity"))</x:f>
        <x:v>No original PO-price baseline</x:v>
      </x:c>
      <x:c r="S92" s="15" t="n">
        <x:f>SUMIFS('PO detail'!$P$2:$P$672,'PO detail'!$A$2:$A$672,A92,'PO detail'!$B$2:$B$672,B92)</x:f>
        <x:v>0</x:v>
      </x:c>
      <x:c r="T92" s="1" t="str">
        <x:v>2008-05-29 00:00:00</x:v>
      </x:c>
      <x:c r="U92" s="1" t="str">
        <x:v>Receipt GL and reported valuation; inferred, PrcCostPer not supplied</x:v>
      </x:c>
      <x:c r="V92" s="13" t="n">
        <x:f>G92/I92</x:f>
        <x:v>0.21559999999999999</x:v>
      </x:c>
      <x:c r="W92" s="13" t="str">
        <x:f>IF(Q92=1,H92*(1+Summary!$J$5)/I92,"n.a.")</x:f>
        <x:v>n.a.</x:v>
      </x:c>
      <x:c r="X92" s="16" t="n">
        <x:f>D92*V92</x:f>
        <x:v>0</x:v>
      </x:c>
      <x:c r="Y92" s="16" t="n">
        <x:f>M92*V92</x:f>
        <x:v>0</x:v>
      </x:c>
      <x:c r="Z92" s="16" t="n">
        <x:f>N92*V92</x:f>
        <x:v>0</x:v>
      </x:c>
      <x:c r="AA92" s="16" t="n">
        <x:f>O92*V92</x:f>
        <x:v>0</x:v>
      </x:c>
      <x:c r="AB92" s="16" t="n">
        <x:f>J92-X92</x:f>
        <x:v>0</x:v>
      </x:c>
      <x:c r="AC92" s="16" t="str">
        <x:f>IF(ISNUMBER(W92),D92*(W92-V92),"n.a.")</x:f>
        <x:v>n.a.</x:v>
      </x:c>
      <x:c r="AD92" s="12" t="n">
        <x:f>F92-SUMIFS('PO detail'!$S$2:$S$672,'PO detail'!$A$2:$A$672,A92,'PO detail'!$B$2:$B$672,B92)</x:f>
        <x:v>0</x:v>
      </x:c>
    </x:row>
    <x:row r="93" ht="21" customHeight="1">
      <x:c r="A93" s="1" t="str">
        <x:v>30</x:v>
      </x:c>
      <x:c r="B93" s="1" t="str">
        <x:v>800BWHTDSC</x:v>
      </x:c>
      <x:c r="C93" s="1" t="str">
        <x:v>ECOLOGICAL FIBERS, INC</x:v>
      </x:c>
      <x:c r="D93" s="8" t="n">
        <x:v>0</x:v>
      </x:c>
      <x:c r="E93" s="8" t="n">
        <x:v>0</x:v>
      </x:c>
      <x:c r="F93" s="8" t="n">
        <x:v>0</x:v>
      </x:c>
      <x:c r="G93" s="9" t="n">
        <x:v>38</x:v>
      </x:c>
      <x:c r="H93" s="9" t="n">
        <x:v>17.37</x:v>
      </x:c>
      <x:c r="I93" s="1" t="n">
        <x:v>100</x:v>
      </x:c>
      <x:c r="J93" s="10" t="n">
        <x:v>0</x:v>
      </x:c>
      <x:c r="K93" s="9"/>
      <x:c r="L93" s="9"/>
      <x:c r="M93" s="11" t="n">
        <x:f>IF(P93=1,SUMIFS('PO detail'!$P$2:$P$672,'PO detail'!$A$2:$A$672,A93,'PO detail'!$B$2:$B$672,B93,'PO detail'!$K$2:$K$672,"&lt;="&amp;(K93*1.01)),0)</x:f>
        <x:v>0</x:v>
      </x:c>
      <x:c r="N93" s="11" t="n">
        <x:f>IF(P93=1,D93-M93,0)</x:f>
        <x:v>0</x:v>
      </x:c>
      <x:c r="O93" s="11" t="n">
        <x:f>D93-M93-N93</x:f>
        <x:v>0</x:v>
      </x:c>
      <x:c r="P93" s="15" t="n">
        <x:f>IF(AND(K93&gt;0,ABS(D93-SUMIFS('PO detail'!$P$2:$P$672,'PO detail'!$A$2:$A$672,A93,'PO detail'!$B$2:$B$672,B93))&lt;0.01),1,0)</x:f>
        <x:v>0</x:v>
      </x:c>
      <x:c r="Q93" s="15" t="n">
        <x:f>IF(AND(L93&gt;0,H93&gt;0,ABS(H93-L93)&lt;0.01),1,0)</x:f>
        <x:v>0</x:v>
      </x:c>
      <x:c r="R93" s="15" t="str">
        <x:f>IF(P93=1,"Estimated FIFO layers covered",IF(K93="","No original PO-price baseline","Insufficient dated receipt quantity"))</x:f>
        <x:v>No original PO-price baseline</x:v>
      </x:c>
      <x:c r="S93" s="15" t="n">
        <x:f>SUMIFS('PO detail'!$P$2:$P$672,'PO detail'!$A$2:$A$672,A93,'PO detail'!$B$2:$B$672,B93)</x:f>
        <x:v>0</x:v>
      </x:c>
      <x:c r="T93" s="1" t="str">
        <x:v>2019-04-16 00:00:00</x:v>
      </x:c>
      <x:c r="U93" s="1" t="str">
        <x:v>Receipt GL and reported valuation; inferred, PrcCostPer not supplied</x:v>
      </x:c>
      <x:c r="V93" s="13" t="n">
        <x:f>G93/I93</x:f>
        <x:v>0.38</x:v>
      </x:c>
      <x:c r="W93" s="13" t="str">
        <x:f>IF(Q93=1,H93*(1+Summary!$J$5)/I93,"n.a.")</x:f>
        <x:v>n.a.</x:v>
      </x:c>
      <x:c r="X93" s="16" t="n">
        <x:f>D93*V93</x:f>
        <x:v>0</x:v>
      </x:c>
      <x:c r="Y93" s="16" t="n">
        <x:f>M93*V93</x:f>
        <x:v>0</x:v>
      </x:c>
      <x:c r="Z93" s="16" t="n">
        <x:f>N93*V93</x:f>
        <x:v>0</x:v>
      </x:c>
      <x:c r="AA93" s="16" t="n">
        <x:f>O93*V93</x:f>
        <x:v>0</x:v>
      </x:c>
      <x:c r="AB93" s="16" t="n">
        <x:f>J93-X93</x:f>
        <x:v>0</x:v>
      </x:c>
      <x:c r="AC93" s="16" t="str">
        <x:f>IF(ISNUMBER(W93),D93*(W93-V93),"n.a.")</x:f>
        <x:v>n.a.</x:v>
      </x:c>
      <x:c r="AD93" s="12" t="n">
        <x:f>F93-SUMIFS('PO detail'!$S$2:$S$672,'PO detail'!$A$2:$A$672,A93,'PO detail'!$B$2:$B$672,B93)</x:f>
        <x:v>0</x:v>
      </x:c>
    </x:row>
    <x:row r="94" ht="21" customHeight="1">
      <x:c r="A94" s="1" t="str">
        <x:v>30</x:v>
      </x:c>
      <x:c r="B94" s="1" t="str">
        <x:v>800BWHTISC</x:v>
      </x:c>
      <x:c r="C94" s="1" t="str">
        <x:v>ECOLOGICAL FIBERS, INC</x:v>
      </x:c>
      <x:c r="D94" s="8" t="n">
        <x:v>0</x:v>
      </x:c>
      <x:c r="E94" s="8" t="n">
        <x:v>0</x:v>
      </x:c>
      <x:c r="F94" s="8" t="n">
        <x:v>0</x:v>
      </x:c>
      <x:c r="G94" s="9" t="n">
        <x:v>17.97</x:v>
      </x:c>
      <x:c r="H94" s="9" t="n">
        <x:v>9.06</x:v>
      </x:c>
      <x:c r="I94" s="1" t="n">
        <x:v>100</x:v>
      </x:c>
      <x:c r="J94" s="10" t="n">
        <x:v>0</x:v>
      </x:c>
      <x:c r="K94" s="9"/>
      <x:c r="L94" s="9"/>
      <x:c r="M94" s="11" t="n">
        <x:f>IF(P94=1,SUMIFS('PO detail'!$P$2:$P$672,'PO detail'!$A$2:$A$672,A94,'PO detail'!$B$2:$B$672,B94,'PO detail'!$K$2:$K$672,"&lt;="&amp;(K94*1.01)),0)</x:f>
        <x:v>0</x:v>
      </x:c>
      <x:c r="N94" s="11" t="n">
        <x:f>IF(P94=1,D94-M94,0)</x:f>
        <x:v>0</x:v>
      </x:c>
      <x:c r="O94" s="11" t="n">
        <x:f>D94-M94-N94</x:f>
        <x:v>0</x:v>
      </x:c>
      <x:c r="P94" s="15" t="n">
        <x:f>IF(AND(K94&gt;0,ABS(D94-SUMIFS('PO detail'!$P$2:$P$672,'PO detail'!$A$2:$A$672,A94,'PO detail'!$B$2:$B$672,B94))&lt;0.01),1,0)</x:f>
        <x:v>0</x:v>
      </x:c>
      <x:c r="Q94" s="15" t="n">
        <x:f>IF(AND(L94&gt;0,H94&gt;0,ABS(H94-L94)&lt;0.01),1,0)</x:f>
        <x:v>0</x:v>
      </x:c>
      <x:c r="R94" s="15" t="str">
        <x:f>IF(P94=1,"Estimated FIFO layers covered",IF(K94="","No original PO-price baseline","Insufficient dated receipt quantity"))</x:f>
        <x:v>No original PO-price baseline</x:v>
      </x:c>
      <x:c r="S94" s="15" t="n">
        <x:f>SUMIFS('PO detail'!$P$2:$P$672,'PO detail'!$A$2:$A$672,A94,'PO detail'!$B$2:$B$672,B94)</x:f>
        <x:v>0</x:v>
      </x:c>
      <x:c r="T94" s="1" t="str">
        <x:v>2014-01-22 00:00:00</x:v>
      </x:c>
      <x:c r="U94" s="1" t="str">
        <x:v>Receipt GL and reported valuation; inferred, PrcCostPer not supplied</x:v>
      </x:c>
      <x:c r="V94" s="13" t="n">
        <x:f>G94/I94</x:f>
        <x:v>0.1797</x:v>
      </x:c>
      <x:c r="W94" s="13" t="str">
        <x:f>IF(Q94=1,H94*(1+Summary!$J$5)/I94,"n.a.")</x:f>
        <x:v>n.a.</x:v>
      </x:c>
      <x:c r="X94" s="16" t="n">
        <x:f>D94*V94</x:f>
        <x:v>0</x:v>
      </x:c>
      <x:c r="Y94" s="16" t="n">
        <x:f>M94*V94</x:f>
        <x:v>0</x:v>
      </x:c>
      <x:c r="Z94" s="16" t="n">
        <x:f>N94*V94</x:f>
        <x:v>0</x:v>
      </x:c>
      <x:c r="AA94" s="16" t="n">
        <x:f>O94*V94</x:f>
        <x:v>0</x:v>
      </x:c>
      <x:c r="AB94" s="16" t="n">
        <x:f>J94-X94</x:f>
        <x:v>0</x:v>
      </x:c>
      <x:c r="AC94" s="16" t="str">
        <x:f>IF(ISNUMBER(W94),D94*(W94-V94),"n.a.")</x:f>
        <x:v>n.a.</x:v>
      </x:c>
      <x:c r="AD94" s="12" t="n">
        <x:f>F94-SUMIFS('PO detail'!$S$2:$S$672,'PO detail'!$A$2:$A$672,A94,'PO detail'!$B$2:$B$672,B94)</x:f>
        <x:v>0</x:v>
      </x:c>
    </x:row>
    <x:row r="95" ht="21" customHeight="1">
      <x:c r="A95" s="1" t="str">
        <x:v>30</x:v>
      </x:c>
      <x:c r="B95" s="1" t="str">
        <x:v>800BREDASC</x:v>
      </x:c>
      <x:c r="C95" s="1" t="str">
        <x:v>SOUTHWEST CONVERSION</x:v>
      </x:c>
      <x:c r="D95" s="8" t="n">
        <x:v>0</x:v>
      </x:c>
      <x:c r="E95" s="8" t="n">
        <x:v>0</x:v>
      </x:c>
      <x:c r="F95" s="8" t="n">
        <x:v>0</x:v>
      </x:c>
      <x:c r="G95" s="9" t="n">
        <x:v>7.92</x:v>
      </x:c>
      <x:c r="H95" s="9" t="n">
        <x:v>0</x:v>
      </x:c>
      <x:c r="I95" s="1" t="n">
        <x:v>100</x:v>
      </x:c>
      <x:c r="J95" s="10" t="n">
        <x:v>0</x:v>
      </x:c>
      <x:c r="K95" s="9"/>
      <x:c r="L95" s="9"/>
      <x:c r="M95" s="11" t="n">
        <x:f>IF(P95=1,SUMIFS('PO detail'!$P$2:$P$672,'PO detail'!$A$2:$A$672,A95,'PO detail'!$B$2:$B$672,B95,'PO detail'!$K$2:$K$672,"&lt;="&amp;(K95*1.01)),0)</x:f>
        <x:v>0</x:v>
      </x:c>
      <x:c r="N95" s="11" t="n">
        <x:f>IF(P95=1,D95-M95,0)</x:f>
        <x:v>0</x:v>
      </x:c>
      <x:c r="O95" s="11" t="n">
        <x:f>D95-M95-N95</x:f>
        <x:v>0</x:v>
      </x:c>
      <x:c r="P95" s="15" t="n">
        <x:f>IF(AND(K95&gt;0,ABS(D95-SUMIFS('PO detail'!$P$2:$P$672,'PO detail'!$A$2:$A$672,A95,'PO detail'!$B$2:$B$672,B95))&lt;0.01),1,0)</x:f>
        <x:v>0</x:v>
      </x:c>
      <x:c r="Q95" s="15" t="n">
        <x:f>IF(AND(L95&gt;0,H95&gt;0,ABS(H95-L95)&lt;0.01),1,0)</x:f>
        <x:v>0</x:v>
      </x:c>
      <x:c r="R95" s="15" t="str">
        <x:f>IF(P95=1,"Estimated FIFO layers covered",IF(K95="","No original PO-price baseline","Insufficient dated receipt quantity"))</x:f>
        <x:v>No original PO-price baseline</x:v>
      </x:c>
      <x:c r="S95" s="15" t="n">
        <x:f>SUMIFS('PO detail'!$P$2:$P$672,'PO detail'!$A$2:$A$672,A95,'PO detail'!$B$2:$B$672,B95)</x:f>
        <x:v>0</x:v>
      </x:c>
      <x:c r="T95" s="1" t="str">
        <x:v>2018-02-27 00:00:00</x:v>
      </x:c>
      <x:c r="U95" s="1" t="str">
        <x:v>Receipt GL and reported valuation; inferred, PrcCostPer not supplied</x:v>
      </x:c>
      <x:c r="V95" s="13" t="n">
        <x:f>G95/I95</x:f>
        <x:v>0.07919999999999999</x:v>
      </x:c>
      <x:c r="W95" s="13" t="str">
        <x:f>IF(Q95=1,H95*(1+Summary!$J$5)/I95,"n.a.")</x:f>
        <x:v>n.a.</x:v>
      </x:c>
      <x:c r="X95" s="16" t="n">
        <x:f>D95*V95</x:f>
        <x:v>0</x:v>
      </x:c>
      <x:c r="Y95" s="16" t="n">
        <x:f>M95*V95</x:f>
        <x:v>0</x:v>
      </x:c>
      <x:c r="Z95" s="16" t="n">
        <x:f>N95*V95</x:f>
        <x:v>0</x:v>
      </x:c>
      <x:c r="AA95" s="16" t="n">
        <x:f>O95*V95</x:f>
        <x:v>0</x:v>
      </x:c>
      <x:c r="AB95" s="16" t="n">
        <x:f>J95-X95</x:f>
        <x:v>0</x:v>
      </x:c>
      <x:c r="AC95" s="16" t="str">
        <x:f>IF(ISNUMBER(W95),D95*(W95-V95),"n.a.")</x:f>
        <x:v>n.a.</x:v>
      </x:c>
      <x:c r="AD95" s="12" t="n">
        <x:f>F95-SUMIFS('PO detail'!$S$2:$S$672,'PO detail'!$A$2:$A$672,A95,'PO detail'!$B$2:$B$672,B95)</x:f>
        <x:v>0</x:v>
      </x:c>
    </x:row>
    <x:row r="96" ht="21" customHeight="1">
      <x:c r="A96" s="1" t="str">
        <x:v>30</x:v>
      </x:c>
      <x:c r="B96" s="1" t="str">
        <x:v>800BREDBRC</x:v>
      </x:c>
      <x:c r="C96" s="1" t="str">
        <x:v>SOUTHWEST CONVERSION</x:v>
      </x:c>
      <x:c r="D96" s="8" t="n">
        <x:v>0</x:v>
      </x:c>
      <x:c r="E96" s="8" t="n">
        <x:v>0</x:v>
      </x:c>
      <x:c r="F96" s="8" t="n">
        <x:v>0</x:v>
      </x:c>
      <x:c r="G96" s="9" t="n">
        <x:v>8.98</x:v>
      </x:c>
      <x:c r="H96" s="9" t="n">
        <x:v>0</x:v>
      </x:c>
      <x:c r="I96" s="1" t="n">
        <x:v>100</x:v>
      </x:c>
      <x:c r="J96" s="10" t="n">
        <x:v>0</x:v>
      </x:c>
      <x:c r="K96" s="9"/>
      <x:c r="L96" s="9"/>
      <x:c r="M96" s="11" t="n">
        <x:f>IF(P96=1,SUMIFS('PO detail'!$P$2:$P$672,'PO detail'!$A$2:$A$672,A96,'PO detail'!$B$2:$B$672,B96,'PO detail'!$K$2:$K$672,"&lt;="&amp;(K96*1.01)),0)</x:f>
        <x:v>0</x:v>
      </x:c>
      <x:c r="N96" s="11" t="n">
        <x:f>IF(P96=1,D96-M96,0)</x:f>
        <x:v>0</x:v>
      </x:c>
      <x:c r="O96" s="11" t="n">
        <x:f>D96-M96-N96</x:f>
        <x:v>0</x:v>
      </x:c>
      <x:c r="P96" s="15" t="n">
        <x:f>IF(AND(K96&gt;0,ABS(D96-SUMIFS('PO detail'!$P$2:$P$672,'PO detail'!$A$2:$A$672,A96,'PO detail'!$B$2:$B$672,B96))&lt;0.01),1,0)</x:f>
        <x:v>0</x:v>
      </x:c>
      <x:c r="Q96" s="15" t="n">
        <x:f>IF(AND(L96&gt;0,H96&gt;0,ABS(H96-L96)&lt;0.01),1,0)</x:f>
        <x:v>0</x:v>
      </x:c>
      <x:c r="R96" s="15" t="str">
        <x:f>IF(P96=1,"Estimated FIFO layers covered",IF(K96="","No original PO-price baseline","Insufficient dated receipt quantity"))</x:f>
        <x:v>No original PO-price baseline</x:v>
      </x:c>
      <x:c r="S96" s="15" t="n">
        <x:f>SUMIFS('PO detail'!$P$2:$P$672,'PO detail'!$A$2:$A$672,A96,'PO detail'!$B$2:$B$672,B96)</x:f>
        <x:v>0</x:v>
      </x:c>
      <x:c r="T96" s="1" t="str">
        <x:v>2012-11-15 00:00:00</x:v>
      </x:c>
      <x:c r="U96" s="1" t="str">
        <x:v>Receipt GL and reported valuation; inferred, PrcCostPer not supplied</x:v>
      </x:c>
      <x:c r="V96" s="13" t="n">
        <x:f>G96/I96</x:f>
        <x:v>0.0898</x:v>
      </x:c>
      <x:c r="W96" s="13" t="str">
        <x:f>IF(Q96=1,H96*(1+Summary!$J$5)/I96,"n.a.")</x:f>
        <x:v>n.a.</x:v>
      </x:c>
      <x:c r="X96" s="16" t="n">
        <x:f>D96*V96</x:f>
        <x:v>0</x:v>
      </x:c>
      <x:c r="Y96" s="16" t="n">
        <x:f>M96*V96</x:f>
        <x:v>0</x:v>
      </x:c>
      <x:c r="Z96" s="16" t="n">
        <x:f>N96*V96</x:f>
        <x:v>0</x:v>
      </x:c>
      <x:c r="AA96" s="16" t="n">
        <x:f>O96*V96</x:f>
        <x:v>0</x:v>
      </x:c>
      <x:c r="AB96" s="16" t="n">
        <x:f>J96-X96</x:f>
        <x:v>0</x:v>
      </x:c>
      <x:c r="AC96" s="16" t="str">
        <x:f>IF(ISNUMBER(W96),D96*(W96-V96),"n.a.")</x:f>
        <x:v>n.a.</x:v>
      </x:c>
      <x:c r="AD96" s="12" t="n">
        <x:f>F96-SUMIFS('PO detail'!$S$2:$S$672,'PO detail'!$A$2:$A$672,A96,'PO detail'!$B$2:$B$672,B96)</x:f>
        <x:v>0</x:v>
      </x:c>
    </x:row>
    <x:row r="97" ht="21" customHeight="1">
      <x:c r="A97" s="1" t="str">
        <x:v>30</x:v>
      </x:c>
      <x:c r="B97" s="1" t="str">
        <x:v>800WBLKASC</x:v>
      </x:c>
      <x:c r="C97" s="1" t="str">
        <x:v>SOUTHWEST CONVERSION</x:v>
      </x:c>
      <x:c r="D97" s="8" t="n">
        <x:v>0</x:v>
      </x:c>
      <x:c r="E97" s="8" t="n">
        <x:v>0</x:v>
      </x:c>
      <x:c r="F97" s="8" t="n">
        <x:v>0</x:v>
      </x:c>
      <x:c r="G97" s="9" t="n">
        <x:v>11.1</x:v>
      </x:c>
      <x:c r="H97" s="9" t="n">
        <x:v>0</x:v>
      </x:c>
      <x:c r="I97" s="1" t="n">
        <x:v>100</x:v>
      </x:c>
      <x:c r="J97" s="10" t="n">
        <x:v>0</x:v>
      </x:c>
      <x:c r="K97" s="9"/>
      <x:c r="L97" s="9"/>
      <x:c r="M97" s="11" t="n">
        <x:f>IF(P97=1,SUMIFS('PO detail'!$P$2:$P$672,'PO detail'!$A$2:$A$672,A97,'PO detail'!$B$2:$B$672,B97,'PO detail'!$K$2:$K$672,"&lt;="&amp;(K97*1.01)),0)</x:f>
        <x:v>0</x:v>
      </x:c>
      <x:c r="N97" s="11" t="n">
        <x:f>IF(P97=1,D97-M97,0)</x:f>
        <x:v>0</x:v>
      </x:c>
      <x:c r="O97" s="11" t="n">
        <x:f>D97-M97-N97</x:f>
        <x:v>0</x:v>
      </x:c>
      <x:c r="P97" s="15" t="n">
        <x:f>IF(AND(K97&gt;0,ABS(D97-SUMIFS('PO detail'!$P$2:$P$672,'PO detail'!$A$2:$A$672,A97,'PO detail'!$B$2:$B$672,B97))&lt;0.01),1,0)</x:f>
        <x:v>0</x:v>
      </x:c>
      <x:c r="Q97" s="15" t="n">
        <x:f>IF(AND(L97&gt;0,H97&gt;0,ABS(H97-L97)&lt;0.01),1,0)</x:f>
        <x:v>0</x:v>
      </x:c>
      <x:c r="R97" s="15" t="str">
        <x:f>IF(P97=1,"Estimated FIFO layers covered",IF(K97="","No original PO-price baseline","Insufficient dated receipt quantity"))</x:f>
        <x:v>No original PO-price baseline</x:v>
      </x:c>
      <x:c r="S97" s="15" t="n">
        <x:f>SUMIFS('PO detail'!$P$2:$P$672,'PO detail'!$A$2:$A$672,A97,'PO detail'!$B$2:$B$672,B97)</x:f>
        <x:v>0</x:v>
      </x:c>
      <x:c r="T97" s="1" t="str">
        <x:v>2007-03-09 00:00:00</x:v>
      </x:c>
      <x:c r="U97" s="1" t="str">
        <x:v>Receipt GL and reported valuation; inferred, PrcCostPer not supplied</x:v>
      </x:c>
      <x:c r="V97" s="13" t="n">
        <x:f>G97/I97</x:f>
        <x:v>0.111</x:v>
      </x:c>
      <x:c r="W97" s="13" t="str">
        <x:f>IF(Q97=1,H97*(1+Summary!$J$5)/I97,"n.a.")</x:f>
        <x:v>n.a.</x:v>
      </x:c>
      <x:c r="X97" s="16" t="n">
        <x:f>D97*V97</x:f>
        <x:v>0</x:v>
      </x:c>
      <x:c r="Y97" s="16" t="n">
        <x:f>M97*V97</x:f>
        <x:v>0</x:v>
      </x:c>
      <x:c r="Z97" s="16" t="n">
        <x:f>N97*V97</x:f>
        <x:v>0</x:v>
      </x:c>
      <x:c r="AA97" s="16" t="n">
        <x:f>O97*V97</x:f>
        <x:v>0</x:v>
      </x:c>
      <x:c r="AB97" s="16" t="n">
        <x:f>J97-X97</x:f>
        <x:v>0</x:v>
      </x:c>
      <x:c r="AC97" s="16" t="str">
        <x:f>IF(ISNUMBER(W97),D97*(W97-V97),"n.a.")</x:f>
        <x:v>n.a.</x:v>
      </x:c>
      <x:c r="AD97" s="12" t="n">
        <x:f>F97-SUMIFS('PO detail'!$S$2:$S$672,'PO detail'!$A$2:$A$672,A97,'PO detail'!$B$2:$B$672,B97)</x:f>
        <x:v>0</x:v>
      </x:c>
    </x:row>
    <x:row r="98" ht="21" customHeight="1">
      <x:c r="A98" s="1" t="str">
        <x:v>30</x:v>
      </x:c>
      <x:c r="B98" s="1" t="str">
        <x:v>800WNAVASC</x:v>
      </x:c>
      <x:c r="C98" s="1" t="str">
        <x:v>SOUTHWEST CONVERSION</x:v>
      </x:c>
      <x:c r="D98" s="8" t="n">
        <x:v>0</x:v>
      </x:c>
      <x:c r="E98" s="8" t="n">
        <x:v>0</x:v>
      </x:c>
      <x:c r="F98" s="8" t="n">
        <x:v>0</x:v>
      </x:c>
      <x:c r="G98" s="9" t="n">
        <x:v>13.57</x:v>
      </x:c>
      <x:c r="H98" s="9" t="n">
        <x:v>0</x:v>
      </x:c>
      <x:c r="I98" s="1" t="n">
        <x:v>100</x:v>
      </x:c>
      <x:c r="J98" s="10" t="n">
        <x:v>0</x:v>
      </x:c>
      <x:c r="K98" s="9"/>
      <x:c r="L98" s="9"/>
      <x:c r="M98" s="11" t="n">
        <x:f>IF(P98=1,SUMIFS('PO detail'!$P$2:$P$672,'PO detail'!$A$2:$A$672,A98,'PO detail'!$B$2:$B$672,B98,'PO detail'!$K$2:$K$672,"&lt;="&amp;(K98*1.01)),0)</x:f>
        <x:v>0</x:v>
      </x:c>
      <x:c r="N98" s="11" t="n">
        <x:f>IF(P98=1,D98-M98,0)</x:f>
        <x:v>0</x:v>
      </x:c>
      <x:c r="O98" s="11" t="n">
        <x:f>D98-M98-N98</x:f>
        <x:v>0</x:v>
      </x:c>
      <x:c r="P98" s="15" t="n">
        <x:f>IF(AND(K98&gt;0,ABS(D98-SUMIFS('PO detail'!$P$2:$P$672,'PO detail'!$A$2:$A$672,A98,'PO detail'!$B$2:$B$672,B98))&lt;0.01),1,0)</x:f>
        <x:v>0</x:v>
      </x:c>
      <x:c r="Q98" s="15" t="n">
        <x:f>IF(AND(L98&gt;0,H98&gt;0,ABS(H98-L98)&lt;0.01),1,0)</x:f>
        <x:v>0</x:v>
      </x:c>
      <x:c r="R98" s="15" t="str">
        <x:f>IF(P98=1,"Estimated FIFO layers covered",IF(K98="","No original PO-price baseline","Insufficient dated receipt quantity"))</x:f>
        <x:v>No original PO-price baseline</x:v>
      </x:c>
      <x:c r="S98" s="15" t="n">
        <x:f>SUMIFS('PO detail'!$P$2:$P$672,'PO detail'!$A$2:$A$672,A98,'PO detail'!$B$2:$B$672,B98)</x:f>
        <x:v>0</x:v>
      </x:c>
      <x:c r="T98" s="1" t="str">
        <x:v>2008-02-01 00:00:00</x:v>
      </x:c>
      <x:c r="U98" s="1" t="str">
        <x:v>Receipt GL and reported valuation; inferred, PrcCostPer not supplied</x:v>
      </x:c>
      <x:c r="V98" s="13" t="n">
        <x:f>G98/I98</x:f>
        <x:v>0.13570000000000002</x:v>
      </x:c>
      <x:c r="W98" s="13" t="str">
        <x:f>IF(Q98=1,H98*(1+Summary!$J$5)/I98,"n.a.")</x:f>
        <x:v>n.a.</x:v>
      </x:c>
      <x:c r="X98" s="16" t="n">
        <x:f>D98*V98</x:f>
        <x:v>0</x:v>
      </x:c>
      <x:c r="Y98" s="16" t="n">
        <x:f>M98*V98</x:f>
        <x:v>0</x:v>
      </x:c>
      <x:c r="Z98" s="16" t="n">
        <x:f>N98*V98</x:f>
        <x:v>0</x:v>
      </x:c>
      <x:c r="AA98" s="16" t="n">
        <x:f>O98*V98</x:f>
        <x:v>0</x:v>
      </x:c>
      <x:c r="AB98" s="16" t="n">
        <x:f>J98-X98</x:f>
        <x:v>0</x:v>
      </x:c>
      <x:c r="AC98" s="16" t="str">
        <x:f>IF(ISNUMBER(W98),D98*(W98-V98),"n.a.")</x:f>
        <x:v>n.a.</x:v>
      </x:c>
      <x:c r="AD98" s="12" t="n">
        <x:f>F98-SUMIFS('PO detail'!$S$2:$S$672,'PO detail'!$A$2:$A$672,A98,'PO detail'!$B$2:$B$672,B98)</x:f>
        <x:v>0</x:v>
      </x:c>
    </x:row>
    <x:row r="99" ht="21" customHeight="1">
      <x:c r="A99" s="1" t="str">
        <x:v>30</x:v>
      </x:c>
      <x:c r="B99" s="1" t="str">
        <x:v>800WNAVBRC</x:v>
      </x:c>
      <x:c r="C99" s="1" t="str">
        <x:v>SOUTHWEST CONVERSION</x:v>
      </x:c>
      <x:c r="D99" s="8" t="n">
        <x:v>0</x:v>
      </x:c>
      <x:c r="E99" s="8" t="n">
        <x:v>0</x:v>
      </x:c>
      <x:c r="F99" s="8" t="n">
        <x:v>0</x:v>
      </x:c>
      <x:c r="G99" s="9" t="n">
        <x:v>17.35</x:v>
      </x:c>
      <x:c r="H99" s="9" t="n">
        <x:v>0</x:v>
      </x:c>
      <x:c r="I99" s="1" t="n">
        <x:v>100</x:v>
      </x:c>
      <x:c r="J99" s="10" t="n">
        <x:v>0</x:v>
      </x:c>
      <x:c r="K99" s="9"/>
      <x:c r="L99" s="9"/>
      <x:c r="M99" s="11" t="n">
        <x:f>IF(P99=1,SUMIFS('PO detail'!$P$2:$P$672,'PO detail'!$A$2:$A$672,A99,'PO detail'!$B$2:$B$672,B99,'PO detail'!$K$2:$K$672,"&lt;="&amp;(K99*1.01)),0)</x:f>
        <x:v>0</x:v>
      </x:c>
      <x:c r="N99" s="11" t="n">
        <x:f>IF(P99=1,D99-M99,0)</x:f>
        <x:v>0</x:v>
      </x:c>
      <x:c r="O99" s="11" t="n">
        <x:f>D99-M99-N99</x:f>
        <x:v>0</x:v>
      </x:c>
      <x:c r="P99" s="15" t="n">
        <x:f>IF(AND(K99&gt;0,ABS(D99-SUMIFS('PO detail'!$P$2:$P$672,'PO detail'!$A$2:$A$672,A99,'PO detail'!$B$2:$B$672,B99))&lt;0.01),1,0)</x:f>
        <x:v>0</x:v>
      </x:c>
      <x:c r="Q99" s="15" t="n">
        <x:f>IF(AND(L99&gt;0,H99&gt;0,ABS(H99-L99)&lt;0.01),1,0)</x:f>
        <x:v>0</x:v>
      </x:c>
      <x:c r="R99" s="15" t="str">
        <x:f>IF(P99=1,"Estimated FIFO layers covered",IF(K99="","No original PO-price baseline","Insufficient dated receipt quantity"))</x:f>
        <x:v>No original PO-price baseline</x:v>
      </x:c>
      <x:c r="S99" s="15" t="n">
        <x:f>SUMIFS('PO detail'!$P$2:$P$672,'PO detail'!$A$2:$A$672,A99,'PO detail'!$B$2:$B$672,B99)</x:f>
        <x:v>0</x:v>
      </x:c>
      <x:c r="T99" s="1" t="str">
        <x:v>2007-10-11 00:00:00</x:v>
      </x:c>
      <x:c r="U99" s="1" t="str">
        <x:v>Receipt GL and reported valuation; inferred, PrcCostPer not supplied</x:v>
      </x:c>
      <x:c r="V99" s="13" t="n">
        <x:f>G99/I99</x:f>
        <x:v>0.17350000000000002</x:v>
      </x:c>
      <x:c r="W99" s="13" t="str">
        <x:f>IF(Q99=1,H99*(1+Summary!$J$5)/I99,"n.a.")</x:f>
        <x:v>n.a.</x:v>
      </x:c>
      <x:c r="X99" s="16" t="n">
        <x:f>D99*V99</x:f>
        <x:v>0</x:v>
      </x:c>
      <x:c r="Y99" s="16" t="n">
        <x:f>M99*V99</x:f>
        <x:v>0</x:v>
      </x:c>
      <x:c r="Z99" s="16" t="n">
        <x:f>N99*V99</x:f>
        <x:v>0</x:v>
      </x:c>
      <x:c r="AA99" s="16" t="n">
        <x:f>O99*V99</x:f>
        <x:v>0</x:v>
      </x:c>
      <x:c r="AB99" s="16" t="n">
        <x:f>J99-X99</x:f>
        <x:v>0</x:v>
      </x:c>
      <x:c r="AC99" s="16" t="str">
        <x:f>IF(ISNUMBER(W99),D99*(W99-V99),"n.a.")</x:f>
        <x:v>n.a.</x:v>
      </x:c>
      <x:c r="AD99" s="12" t="n">
        <x:f>F99-SUMIFS('PO detail'!$S$2:$S$672,'PO detail'!$A$2:$A$672,A99,'PO detail'!$B$2:$B$672,B99)</x:f>
        <x:v>0</x:v>
      </x:c>
    </x:row>
    <x:row r="100" ht="21" customHeight="1">
      <x:c r="A100" s="1" t="str">
        <x:v>60</x:v>
      </x:c>
      <x:c r="B100" s="1" t="str">
        <x:v>800BFGASC</x:v>
      </x:c>
      <x:c r="C100" s="1" t="str">
        <x:v>ECOLOGICAL FIBERS, INC</x:v>
      </x:c>
      <x:c r="D100" s="8" t="n">
        <x:v>0</x:v>
      </x:c>
      <x:c r="E100" s="8" t="n">
        <x:v>0</x:v>
      </x:c>
      <x:c r="F100" s="8" t="n">
        <x:v>0</x:v>
      </x:c>
      <x:c r="G100" s="9" t="n">
        <x:v>14.56</x:v>
      </x:c>
      <x:c r="H100" s="9" t="n">
        <x:v>0</x:v>
      </x:c>
      <x:c r="I100" s="1" t="n">
        <x:v>100</x:v>
      </x:c>
      <x:c r="J100" s="10" t="n">
        <x:v>0</x:v>
      </x:c>
      <x:c r="K100" s="9"/>
      <x:c r="L100" s="9"/>
      <x:c r="M100" s="11" t="n">
        <x:f>IF(P100=1,SUMIFS('PO detail'!$P$2:$P$672,'PO detail'!$A$2:$A$672,A100,'PO detail'!$B$2:$B$672,B100,'PO detail'!$K$2:$K$672,"&lt;="&amp;(K100*1.01)),0)</x:f>
        <x:v>0</x:v>
      </x:c>
      <x:c r="N100" s="11" t="n">
        <x:f>IF(P100=1,D100-M100,0)</x:f>
        <x:v>0</x:v>
      </x:c>
      <x:c r="O100" s="11" t="n">
        <x:f>D100-M100-N100</x:f>
        <x:v>0</x:v>
      </x:c>
      <x:c r="P100" s="15" t="n">
        <x:f>IF(AND(K100&gt;0,ABS(D100-SUMIFS('PO detail'!$P$2:$P$672,'PO detail'!$A$2:$A$672,A100,'PO detail'!$B$2:$B$672,B100))&lt;0.01),1,0)</x:f>
        <x:v>0</x:v>
      </x:c>
      <x:c r="Q100" s="15" t="n">
        <x:f>IF(AND(L100&gt;0,H100&gt;0,ABS(H100-L100)&lt;0.01),1,0)</x:f>
        <x:v>0</x:v>
      </x:c>
      <x:c r="R100" s="15" t="str">
        <x:f>IF(P100=1,"Estimated FIFO layers covered",IF(K100="","No original PO-price baseline","Insufficient dated receipt quantity"))</x:f>
        <x:v>No original PO-price baseline</x:v>
      </x:c>
      <x:c r="S100" s="15" t="n">
        <x:f>SUMIFS('PO detail'!$P$2:$P$672,'PO detail'!$A$2:$A$672,A100,'PO detail'!$B$2:$B$672,B100)</x:f>
        <x:v>0</x:v>
      </x:c>
      <x:c r="T100" s="1" t="str">
        <x:v>2018-04-10 00:00:00</x:v>
      </x:c>
      <x:c r="U100" s="1" t="str">
        <x:v>Receipt GL and reported valuation; inferred, PrcCostPer not supplied</x:v>
      </x:c>
      <x:c r="V100" s="13" t="n">
        <x:f>G100/I100</x:f>
        <x:v>0.1456</x:v>
      </x:c>
      <x:c r="W100" s="13" t="str">
        <x:f>IF(Q100=1,H100*(1+Summary!$J$5)/I100,"n.a.")</x:f>
        <x:v>n.a.</x:v>
      </x:c>
      <x:c r="X100" s="16" t="n">
        <x:f>D100*V100</x:f>
        <x:v>0</x:v>
      </x:c>
      <x:c r="Y100" s="16" t="n">
        <x:f>M100*V100</x:f>
        <x:v>0</x:v>
      </x:c>
      <x:c r="Z100" s="16" t="n">
        <x:f>N100*V100</x:f>
        <x:v>0</x:v>
      </x:c>
      <x:c r="AA100" s="16" t="n">
        <x:f>O100*V100</x:f>
        <x:v>0</x:v>
      </x:c>
      <x:c r="AB100" s="16" t="n">
        <x:f>J100-X100</x:f>
        <x:v>0</x:v>
      </x:c>
      <x:c r="AC100" s="16" t="str">
        <x:f>IF(ISNUMBER(W100),D100*(W100-V100),"n.a.")</x:f>
        <x:v>n.a.</x:v>
      </x:c>
      <x:c r="AD100" s="12" t="n">
        <x:f>F100-SUMIFS('PO detail'!$S$2:$S$672,'PO detail'!$A$2:$A$672,A100,'PO detail'!$B$2:$B$672,B100)</x:f>
        <x:v>0</x:v>
      </x:c>
    </x:row>
    <x:row r="101" ht="21" customHeight="1">
      <x:c r="A101" s="1" t="str">
        <x:v>60</x:v>
      </x:c>
      <x:c r="B101" s="1" t="str">
        <x:v>800BFGBRC</x:v>
      </x:c>
      <x:c r="C101" s="1" t="str">
        <x:v>ECOLOGICAL FIBERS, INC</x:v>
      </x:c>
      <x:c r="D101" s="8" t="n">
        <x:v>0</x:v>
      </x:c>
      <x:c r="E101" s="8" t="n">
        <x:v>0</x:v>
      </x:c>
      <x:c r="F101" s="8" t="n">
        <x:v>0</x:v>
      </x:c>
      <x:c r="G101" s="9" t="n">
        <x:v>18.47</x:v>
      </x:c>
      <x:c r="H101" s="9" t="n">
        <x:v>0</x:v>
      </x:c>
      <x:c r="I101" s="1" t="n">
        <x:v>100</x:v>
      </x:c>
      <x:c r="J101" s="10" t="n">
        <x:v>0</x:v>
      </x:c>
      <x:c r="K101" s="9"/>
      <x:c r="L101" s="9"/>
      <x:c r="M101" s="11" t="n">
        <x:f>IF(P101=1,SUMIFS('PO detail'!$P$2:$P$672,'PO detail'!$A$2:$A$672,A101,'PO detail'!$B$2:$B$672,B101,'PO detail'!$K$2:$K$672,"&lt;="&amp;(K101*1.01)),0)</x:f>
        <x:v>0</x:v>
      </x:c>
      <x:c r="N101" s="11" t="n">
        <x:f>IF(P101=1,D101-M101,0)</x:f>
        <x:v>0</x:v>
      </x:c>
      <x:c r="O101" s="11" t="n">
        <x:f>D101-M101-N101</x:f>
        <x:v>0</x:v>
      </x:c>
      <x:c r="P101" s="15" t="n">
        <x:f>IF(AND(K101&gt;0,ABS(D101-SUMIFS('PO detail'!$P$2:$P$672,'PO detail'!$A$2:$A$672,A101,'PO detail'!$B$2:$B$672,B101))&lt;0.01),1,0)</x:f>
        <x:v>0</x:v>
      </x:c>
      <x:c r="Q101" s="15" t="n">
        <x:f>IF(AND(L101&gt;0,H101&gt;0,ABS(H101-L101)&lt;0.01),1,0)</x:f>
        <x:v>0</x:v>
      </x:c>
      <x:c r="R101" s="15" t="str">
        <x:f>IF(P101=1,"Estimated FIFO layers covered",IF(K101="","No original PO-price baseline","Insufficient dated receipt quantity"))</x:f>
        <x:v>No original PO-price baseline</x:v>
      </x:c>
      <x:c r="S101" s="15" t="n">
        <x:f>SUMIFS('PO detail'!$P$2:$P$672,'PO detail'!$A$2:$A$672,A101,'PO detail'!$B$2:$B$672,B101)</x:f>
        <x:v>0</x:v>
      </x:c>
      <x:c r="T101" s="1" t="str">
        <x:v>2016-04-28 00:00:00</x:v>
      </x:c>
      <x:c r="U101" s="1" t="str">
        <x:v>Receipt GL and reported valuation; inferred, PrcCostPer not supplied</x:v>
      </x:c>
      <x:c r="V101" s="13" t="n">
        <x:f>G101/I101</x:f>
        <x:v>0.18469999999999998</x:v>
      </x:c>
      <x:c r="W101" s="13" t="str">
        <x:f>IF(Q101=1,H101*(1+Summary!$J$5)/I101,"n.a.")</x:f>
        <x:v>n.a.</x:v>
      </x:c>
      <x:c r="X101" s="16" t="n">
        <x:f>D101*V101</x:f>
        <x:v>0</x:v>
      </x:c>
      <x:c r="Y101" s="16" t="n">
        <x:f>M101*V101</x:f>
        <x:v>0</x:v>
      </x:c>
      <x:c r="Z101" s="16" t="n">
        <x:f>N101*V101</x:f>
        <x:v>0</x:v>
      </x:c>
      <x:c r="AA101" s="16" t="n">
        <x:f>O101*V101</x:f>
        <x:v>0</x:v>
      </x:c>
      <x:c r="AB101" s="16" t="n">
        <x:f>J101-X101</x:f>
        <x:v>0</x:v>
      </x:c>
      <x:c r="AC101" s="16" t="str">
        <x:f>IF(ISNUMBER(W101),D101*(W101-V101),"n.a.")</x:f>
        <x:v>n.a.</x:v>
      </x:c>
      <x:c r="AD101" s="12" t="n">
        <x:f>F101-SUMIFS('PO detail'!$S$2:$S$672,'PO detail'!$A$2:$A$672,A101,'PO detail'!$B$2:$B$672,B101)</x:f>
        <x:v>0</x:v>
      </x:c>
    </x:row>
    <x:row r="102" ht="21" customHeight="1">
      <x:c r="A102" s="1" t="str">
        <x:v>60</x:v>
      </x:c>
      <x:c r="B102" s="1" t="str">
        <x:v>800BFGCSC</x:v>
      </x:c>
      <x:c r="C102" s="1" t="str">
        <x:v>ECOLOGICAL FIBERS, INC</x:v>
      </x:c>
      <x:c r="D102" s="8" t="n">
        <x:v>0</x:v>
      </x:c>
      <x:c r="E102" s="8" t="n">
        <x:v>0</x:v>
      </x:c>
      <x:c r="F102" s="8" t="n">
        <x:v>0</x:v>
      </x:c>
      <x:c r="G102" s="9" t="n">
        <x:v>21.56</x:v>
      </x:c>
      <x:c r="H102" s="9" t="n">
        <x:v>11.13</x:v>
      </x:c>
      <x:c r="I102" s="1" t="n">
        <x:v>100</x:v>
      </x:c>
      <x:c r="J102" s="10" t="n">
        <x:v>0</x:v>
      </x:c>
      <x:c r="K102" s="9"/>
      <x:c r="L102" s="9"/>
      <x:c r="M102" s="11" t="n">
        <x:f>IF(P102=1,SUMIFS('PO detail'!$P$2:$P$672,'PO detail'!$A$2:$A$672,A102,'PO detail'!$B$2:$B$672,B102,'PO detail'!$K$2:$K$672,"&lt;="&amp;(K102*1.01)),0)</x:f>
        <x:v>0</x:v>
      </x:c>
      <x:c r="N102" s="11" t="n">
        <x:f>IF(P102=1,D102-M102,0)</x:f>
        <x:v>0</x:v>
      </x:c>
      <x:c r="O102" s="11" t="n">
        <x:f>D102-M102-N102</x:f>
        <x:v>0</x:v>
      </x:c>
      <x:c r="P102" s="15" t="n">
        <x:f>IF(AND(K102&gt;0,ABS(D102-SUMIFS('PO detail'!$P$2:$P$672,'PO detail'!$A$2:$A$672,A102,'PO detail'!$B$2:$B$672,B102))&lt;0.01),1,0)</x:f>
        <x:v>0</x:v>
      </x:c>
      <x:c r="Q102" s="15" t="n">
        <x:f>IF(AND(L102&gt;0,H102&gt;0,ABS(H102-L102)&lt;0.01),1,0)</x:f>
        <x:v>0</x:v>
      </x:c>
      <x:c r="R102" s="15" t="str">
        <x:f>IF(P102=1,"Estimated FIFO layers covered",IF(K102="","No original PO-price baseline","Insufficient dated receipt quantity"))</x:f>
        <x:v>No original PO-price baseline</x:v>
      </x:c>
      <x:c r="S102" s="15" t="n">
        <x:f>SUMIFS('PO detail'!$P$2:$P$672,'PO detail'!$A$2:$A$672,A102,'PO detail'!$B$2:$B$672,B102)</x:f>
        <x:v>0</x:v>
      </x:c>
      <x:c r="T102" s="1" t="str">
        <x:v>2011-11-28 00:00:00</x:v>
      </x:c>
      <x:c r="U102" s="1" t="str">
        <x:v>Receipt GL and reported valuation; inferred, PrcCostPer not supplied</x:v>
      </x:c>
      <x:c r="V102" s="13" t="n">
        <x:f>G102/I102</x:f>
        <x:v>0.21559999999999999</x:v>
      </x:c>
      <x:c r="W102" s="13" t="str">
        <x:f>IF(Q102=1,H102*(1+Summary!$J$5)/I102,"n.a.")</x:f>
        <x:v>n.a.</x:v>
      </x:c>
      <x:c r="X102" s="16" t="n">
        <x:f>D102*V102</x:f>
        <x:v>0</x:v>
      </x:c>
      <x:c r="Y102" s="16" t="n">
        <x:f>M102*V102</x:f>
        <x:v>0</x:v>
      </x:c>
      <x:c r="Z102" s="16" t="n">
        <x:f>N102*V102</x:f>
        <x:v>0</x:v>
      </x:c>
      <x:c r="AA102" s="16" t="n">
        <x:f>O102*V102</x:f>
        <x:v>0</x:v>
      </x:c>
      <x:c r="AB102" s="16" t="n">
        <x:f>J102-X102</x:f>
        <x:v>0</x:v>
      </x:c>
      <x:c r="AC102" s="16" t="str">
        <x:f>IF(ISNUMBER(W102),D102*(W102-V102),"n.a.")</x:f>
        <x:v>n.a.</x:v>
      </x:c>
      <x:c r="AD102" s="12" t="n">
        <x:f>F102-SUMIFS('PO detail'!$S$2:$S$672,'PO detail'!$A$2:$A$672,A102,'PO detail'!$B$2:$B$672,B102)</x:f>
        <x:v>0</x:v>
      </x:c>
    </x:row>
    <x:row r="103" ht="21" customHeight="1">
      <x:c r="A103" s="1" t="str">
        <x:v>60</x:v>
      </x:c>
      <x:c r="B103" s="1" t="str">
        <x:v>800BFGDSC</x:v>
      </x:c>
      <x:c r="C103" s="1" t="str">
        <x:v>ECOLOGICAL FIBERS, INC</x:v>
      </x:c>
      <x:c r="D103" s="8" t="n">
        <x:v>0</x:v>
      </x:c>
      <x:c r="E103" s="8" t="n">
        <x:v>0</x:v>
      </x:c>
      <x:c r="F103" s="8" t="n">
        <x:v>0</x:v>
      </x:c>
      <x:c r="G103" s="9" t="n">
        <x:v>38</x:v>
      </x:c>
      <x:c r="H103" s="9" t="n">
        <x:v>17.37</x:v>
      </x:c>
      <x:c r="I103" s="1" t="n">
        <x:v>100</x:v>
      </x:c>
      <x:c r="J103" s="10" t="n">
        <x:v>0</x:v>
      </x:c>
      <x:c r="K103" s="9"/>
      <x:c r="L103" s="9"/>
      <x:c r="M103" s="11" t="n">
        <x:f>IF(P103=1,SUMIFS('PO detail'!$P$2:$P$672,'PO detail'!$A$2:$A$672,A103,'PO detail'!$B$2:$B$672,B103,'PO detail'!$K$2:$K$672,"&lt;="&amp;(K103*1.01)),0)</x:f>
        <x:v>0</x:v>
      </x:c>
      <x:c r="N103" s="11" t="n">
        <x:f>IF(P103=1,D103-M103,0)</x:f>
        <x:v>0</x:v>
      </x:c>
      <x:c r="O103" s="11" t="n">
        <x:f>D103-M103-N103</x:f>
        <x:v>0</x:v>
      </x:c>
      <x:c r="P103" s="15" t="n">
        <x:f>IF(AND(K103&gt;0,ABS(D103-SUMIFS('PO detail'!$P$2:$P$672,'PO detail'!$A$2:$A$672,A103,'PO detail'!$B$2:$B$672,B103))&lt;0.01),1,0)</x:f>
        <x:v>0</x:v>
      </x:c>
      <x:c r="Q103" s="15" t="n">
        <x:f>IF(AND(L103&gt;0,H103&gt;0,ABS(H103-L103)&lt;0.01),1,0)</x:f>
        <x:v>0</x:v>
      </x:c>
      <x:c r="R103" s="15" t="str">
        <x:f>IF(P103=1,"Estimated FIFO layers covered",IF(K103="","No original PO-price baseline","Insufficient dated receipt quantity"))</x:f>
        <x:v>No original PO-price baseline</x:v>
      </x:c>
      <x:c r="S103" s="15" t="n">
        <x:f>SUMIFS('PO detail'!$P$2:$P$672,'PO detail'!$A$2:$A$672,A103,'PO detail'!$B$2:$B$672,B103)</x:f>
        <x:v>0</x:v>
      </x:c>
      <x:c r="T103" s="1" t="str">
        <x:v>2011-11-28 00:00:00</x:v>
      </x:c>
      <x:c r="U103" s="1" t="str">
        <x:v>Receipt GL and reported valuation; inferred, PrcCostPer not supplied</x:v>
      </x:c>
      <x:c r="V103" s="13" t="n">
        <x:f>G103/I103</x:f>
        <x:v>0.38</x:v>
      </x:c>
      <x:c r="W103" s="13" t="str">
        <x:f>IF(Q103=1,H103*(1+Summary!$J$5)/I103,"n.a.")</x:f>
        <x:v>n.a.</x:v>
      </x:c>
      <x:c r="X103" s="16" t="n">
        <x:f>D103*V103</x:f>
        <x:v>0</x:v>
      </x:c>
      <x:c r="Y103" s="16" t="n">
        <x:f>M103*V103</x:f>
        <x:v>0</x:v>
      </x:c>
      <x:c r="Z103" s="16" t="n">
        <x:f>N103*V103</x:f>
        <x:v>0</x:v>
      </x:c>
      <x:c r="AA103" s="16" t="n">
        <x:f>O103*V103</x:f>
        <x:v>0</x:v>
      </x:c>
      <x:c r="AB103" s="16" t="n">
        <x:f>J103-X103</x:f>
        <x:v>0</x:v>
      </x:c>
      <x:c r="AC103" s="16" t="str">
        <x:f>IF(ISNUMBER(W103),D103*(W103-V103),"n.a.")</x:f>
        <x:v>n.a.</x:v>
      </x:c>
      <x:c r="AD103" s="12" t="n">
        <x:f>F103-SUMIFS('PO detail'!$S$2:$S$672,'PO detail'!$A$2:$A$672,A103,'PO detail'!$B$2:$B$672,B103)</x:f>
        <x:v>0</x:v>
      </x:c>
    </x:row>
    <x:row r="104" ht="21" customHeight="1">
      <x:c r="A104" s="1" t="str">
        <x:v>60</x:v>
      </x:c>
      <x:c r="B104" s="1" t="str">
        <x:v>800BFGISC</x:v>
      </x:c>
      <x:c r="C104" s="1" t="str">
        <x:v>ECOLOGICAL FIBERS, INC</x:v>
      </x:c>
      <x:c r="D104" s="8" t="n">
        <x:v>0</x:v>
      </x:c>
      <x:c r="E104" s="8" t="n">
        <x:v>0</x:v>
      </x:c>
      <x:c r="F104" s="8" t="n">
        <x:v>0</x:v>
      </x:c>
      <x:c r="G104" s="9" t="n">
        <x:v>17.97</x:v>
      </x:c>
      <x:c r="H104" s="9" t="n">
        <x:v>0</x:v>
      </x:c>
      <x:c r="I104" s="1" t="n">
        <x:v>100</x:v>
      </x:c>
      <x:c r="J104" s="10" t="n">
        <x:v>0</x:v>
      </x:c>
      <x:c r="K104" s="9"/>
      <x:c r="L104" s="9"/>
      <x:c r="M104" s="11" t="n">
        <x:f>IF(P104=1,SUMIFS('PO detail'!$P$2:$P$672,'PO detail'!$A$2:$A$672,A104,'PO detail'!$B$2:$B$672,B104,'PO detail'!$K$2:$K$672,"&lt;="&amp;(K104*1.01)),0)</x:f>
        <x:v>0</x:v>
      </x:c>
      <x:c r="N104" s="11" t="n">
        <x:f>IF(P104=1,D104-M104,0)</x:f>
        <x:v>0</x:v>
      </x:c>
      <x:c r="O104" s="11" t="n">
        <x:f>D104-M104-N104</x:f>
        <x:v>0</x:v>
      </x:c>
      <x:c r="P104" s="15" t="n">
        <x:f>IF(AND(K104&gt;0,ABS(D104-SUMIFS('PO detail'!$P$2:$P$672,'PO detail'!$A$2:$A$672,A104,'PO detail'!$B$2:$B$672,B104))&lt;0.01),1,0)</x:f>
        <x:v>0</x:v>
      </x:c>
      <x:c r="Q104" s="15" t="n">
        <x:f>IF(AND(L104&gt;0,H104&gt;0,ABS(H104-L104)&lt;0.01),1,0)</x:f>
        <x:v>0</x:v>
      </x:c>
      <x:c r="R104" s="15" t="str">
        <x:f>IF(P104=1,"Estimated FIFO layers covered",IF(K104="","No original PO-price baseline","Insufficient dated receipt quantity"))</x:f>
        <x:v>No original PO-price baseline</x:v>
      </x:c>
      <x:c r="S104" s="15" t="n">
        <x:f>SUMIFS('PO detail'!$P$2:$P$672,'PO detail'!$A$2:$A$672,A104,'PO detail'!$B$2:$B$672,B104)</x:f>
        <x:v>0</x:v>
      </x:c>
      <x:c r="T104" s="1" t="str">
        <x:v>2014-01-02 00:00:00</x:v>
      </x:c>
      <x:c r="U104" s="1" t="str">
        <x:v>Receipt GL and reported valuation; inferred, PrcCostPer not supplied</x:v>
      </x:c>
      <x:c r="V104" s="13" t="n">
        <x:f>G104/I104</x:f>
        <x:v>0.1797</x:v>
      </x:c>
      <x:c r="W104" s="13" t="str">
        <x:f>IF(Q104=1,H104*(1+Summary!$J$5)/I104,"n.a.")</x:f>
        <x:v>n.a.</x:v>
      </x:c>
      <x:c r="X104" s="16" t="n">
        <x:f>D104*V104</x:f>
        <x:v>0</x:v>
      </x:c>
      <x:c r="Y104" s="16" t="n">
        <x:f>M104*V104</x:f>
        <x:v>0</x:v>
      </x:c>
      <x:c r="Z104" s="16" t="n">
        <x:f>N104*V104</x:f>
        <x:v>0</x:v>
      </x:c>
      <x:c r="AA104" s="16" t="n">
        <x:f>O104*V104</x:f>
        <x:v>0</x:v>
      </x:c>
      <x:c r="AB104" s="16" t="n">
        <x:f>J104-X104</x:f>
        <x:v>0</x:v>
      </x:c>
      <x:c r="AC104" s="16" t="str">
        <x:f>IF(ISNUMBER(W104),D104*(W104-V104),"n.a.")</x:f>
        <x:v>n.a.</x:v>
      </x:c>
      <x:c r="AD104" s="12" t="n">
        <x:f>F104-SUMIFS('PO detail'!$S$2:$S$672,'PO detail'!$A$2:$A$672,A104,'PO detail'!$B$2:$B$672,B104)</x:f>
        <x:v>0</x:v>
      </x:c>
    </x:row>
    <x:row r="105" ht="21" customHeight="1">
      <x:c r="A105" s="1" t="str">
        <x:v>60</x:v>
      </x:c>
      <x:c r="B105" s="1" t="str">
        <x:v>800BLKF</x:v>
      </x:c>
      <x:c r="C105" s="1" t="str">
        <x:v>ECOLOGICAL FIBERS, INC</x:v>
      </x:c>
      <x:c r="D105" s="8" t="n">
        <x:v>0</x:v>
      </x:c>
      <x:c r="E105" s="8" t="n">
        <x:v>0</x:v>
      </x:c>
      <x:c r="F105" s="8" t="n">
        <x:v>0</x:v>
      </x:c>
      <x:c r="G105" s="9" t="n">
        <x:v>703</x:v>
      </x:c>
      <x:c r="H105" s="9" t="n">
        <x:v>710</x:v>
      </x:c>
      <x:c r="I105" s="1" t="n">
        <x:v>100</x:v>
      </x:c>
      <x:c r="J105" s="10" t="n">
        <x:v>0</x:v>
      </x:c>
      <x:c r="K105" s="9"/>
      <x:c r="L105" s="9"/>
      <x:c r="M105" s="11" t="n">
        <x:f>IF(P105=1,SUMIFS('PO detail'!$P$2:$P$672,'PO detail'!$A$2:$A$672,A105,'PO detail'!$B$2:$B$672,B105,'PO detail'!$K$2:$K$672,"&lt;="&amp;(K105*1.01)),0)</x:f>
        <x:v>0</x:v>
      </x:c>
      <x:c r="N105" s="11" t="n">
        <x:f>IF(P105=1,D105-M105,0)</x:f>
        <x:v>0</x:v>
      </x:c>
      <x:c r="O105" s="11" t="n">
        <x:f>D105-M105-N105</x:f>
        <x:v>0</x:v>
      </x:c>
      <x:c r="P105" s="15" t="n">
        <x:f>IF(AND(K105&gt;0,ABS(D105-SUMIFS('PO detail'!$P$2:$P$672,'PO detail'!$A$2:$A$672,A105,'PO detail'!$B$2:$B$672,B105))&lt;0.01),1,0)</x:f>
        <x:v>0</x:v>
      </x:c>
      <x:c r="Q105" s="15" t="n">
        <x:f>IF(AND(L105&gt;0,H105&gt;0,ABS(H105-L105)&lt;0.01),1,0)</x:f>
        <x:v>0</x:v>
      </x:c>
      <x:c r="R105" s="15" t="str">
        <x:f>IF(P105=1,"Estimated FIFO layers covered",IF(K105="","No original PO-price baseline","Insufficient dated receipt quantity"))</x:f>
        <x:v>No original PO-price baseline</x:v>
      </x:c>
      <x:c r="S105" s="15" t="n">
        <x:f>SUMIFS('PO detail'!$P$2:$P$672,'PO detail'!$A$2:$A$672,A105,'PO detail'!$B$2:$B$672,B105)</x:f>
        <x:v>0</x:v>
      </x:c>
      <x:c r="T105" s="1" t="str">
        <x:v>2019-06-12 00:00:00</x:v>
      </x:c>
      <x:c r="U105" s="1" t="str">
        <x:v>Receipt GL and reported valuation; inferred, PrcCostPer not supplied</x:v>
      </x:c>
      <x:c r="V105" s="13" t="n">
        <x:f>G105/I105</x:f>
        <x:v>7.03</x:v>
      </x:c>
      <x:c r="W105" s="13" t="str">
        <x:f>IF(Q105=1,H105*(1+Summary!$J$5)/I105,"n.a.")</x:f>
        <x:v>n.a.</x:v>
      </x:c>
      <x:c r="X105" s="16" t="n">
        <x:f>D105*V105</x:f>
        <x:v>0</x:v>
      </x:c>
      <x:c r="Y105" s="16" t="n">
        <x:f>M105*V105</x:f>
        <x:v>0</x:v>
      </x:c>
      <x:c r="Z105" s="16" t="n">
        <x:f>N105*V105</x:f>
        <x:v>0</x:v>
      </x:c>
      <x:c r="AA105" s="16" t="n">
        <x:f>O105*V105</x:f>
        <x:v>0</x:v>
      </x:c>
      <x:c r="AB105" s="16" t="n">
        <x:f>J105-X105</x:f>
        <x:v>0</x:v>
      </x:c>
      <x:c r="AC105" s="16" t="str">
        <x:f>IF(ISNUMBER(W105),D105*(W105-V105),"n.a.")</x:f>
        <x:v>n.a.</x:v>
      </x:c>
      <x:c r="AD105" s="12" t="n">
        <x:f>F105-SUMIFS('PO detail'!$S$2:$S$672,'PO detail'!$A$2:$A$672,A105,'PO detail'!$B$2:$B$672,B105)</x:f>
        <x:v>0</x:v>
      </x:c>
    </x:row>
    <x:row r="106" ht="21" customHeight="1">
      <x:c r="A106" s="1" t="str">
        <x:v>60</x:v>
      </x:c>
      <x:c r="B106" s="1" t="str">
        <x:v>800BWHTASC</x:v>
      </x:c>
      <x:c r="C106" s="1" t="str">
        <x:v>ECOLOGICAL FIBERS, INC</x:v>
      </x:c>
      <x:c r="D106" s="8" t="n">
        <x:v>0</x:v>
      </x:c>
      <x:c r="E106" s="8" t="n">
        <x:v>0</x:v>
      </x:c>
      <x:c r="F106" s="8" t="n">
        <x:v>0</x:v>
      </x:c>
      <x:c r="G106" s="9" t="n">
        <x:v>14.56</x:v>
      </x:c>
      <x:c r="H106" s="9" t="n">
        <x:v>0</x:v>
      </x:c>
      <x:c r="I106" s="1" t="n">
        <x:v>100</x:v>
      </x:c>
      <x:c r="J106" s="10" t="n">
        <x:v>0</x:v>
      </x:c>
      <x:c r="K106" s="9"/>
      <x:c r="L106" s="9"/>
      <x:c r="M106" s="11" t="n">
        <x:f>IF(P106=1,SUMIFS('PO detail'!$P$2:$P$672,'PO detail'!$A$2:$A$672,A106,'PO detail'!$B$2:$B$672,B106,'PO detail'!$K$2:$K$672,"&lt;="&amp;(K106*1.01)),0)</x:f>
        <x:v>0</x:v>
      </x:c>
      <x:c r="N106" s="11" t="n">
        <x:f>IF(P106=1,D106-M106,0)</x:f>
        <x:v>0</x:v>
      </x:c>
      <x:c r="O106" s="11" t="n">
        <x:f>D106-M106-N106</x:f>
        <x:v>0</x:v>
      </x:c>
      <x:c r="P106" s="15" t="n">
        <x:f>IF(AND(K106&gt;0,ABS(D106-SUMIFS('PO detail'!$P$2:$P$672,'PO detail'!$A$2:$A$672,A106,'PO detail'!$B$2:$B$672,B106))&lt;0.01),1,0)</x:f>
        <x:v>0</x:v>
      </x:c>
      <x:c r="Q106" s="15" t="n">
        <x:f>IF(AND(L106&gt;0,H106&gt;0,ABS(H106-L106)&lt;0.01),1,0)</x:f>
        <x:v>0</x:v>
      </x:c>
      <x:c r="R106" s="15" t="str">
        <x:f>IF(P106=1,"Estimated FIFO layers covered",IF(K106="","No original PO-price baseline","Insufficient dated receipt quantity"))</x:f>
        <x:v>No original PO-price baseline</x:v>
      </x:c>
      <x:c r="S106" s="15" t="n">
        <x:f>SUMIFS('PO detail'!$P$2:$P$672,'PO detail'!$A$2:$A$672,A106,'PO detail'!$B$2:$B$672,B106)</x:f>
        <x:v>0</x:v>
      </x:c>
      <x:c r="T106" s="1" t="str">
        <x:v>2018-04-10 00:00:00</x:v>
      </x:c>
      <x:c r="U106" s="1" t="str">
        <x:v>Receipt GL and reported valuation; inferred, PrcCostPer not supplied</x:v>
      </x:c>
      <x:c r="V106" s="13" t="n">
        <x:f>G106/I106</x:f>
        <x:v>0.1456</x:v>
      </x:c>
      <x:c r="W106" s="13" t="str">
        <x:f>IF(Q106=1,H106*(1+Summary!$J$5)/I106,"n.a.")</x:f>
        <x:v>n.a.</x:v>
      </x:c>
      <x:c r="X106" s="16" t="n">
        <x:f>D106*V106</x:f>
        <x:v>0</x:v>
      </x:c>
      <x:c r="Y106" s="16" t="n">
        <x:f>M106*V106</x:f>
        <x:v>0</x:v>
      </x:c>
      <x:c r="Z106" s="16" t="n">
        <x:f>N106*V106</x:f>
        <x:v>0</x:v>
      </x:c>
      <x:c r="AA106" s="16" t="n">
        <x:f>O106*V106</x:f>
        <x:v>0</x:v>
      </x:c>
      <x:c r="AB106" s="16" t="n">
        <x:f>J106-X106</x:f>
        <x:v>0</x:v>
      </x:c>
      <x:c r="AC106" s="16" t="str">
        <x:f>IF(ISNUMBER(W106),D106*(W106-V106),"n.a.")</x:f>
        <x:v>n.a.</x:v>
      </x:c>
      <x:c r="AD106" s="12" t="n">
        <x:f>F106-SUMIFS('PO detail'!$S$2:$S$672,'PO detail'!$A$2:$A$672,A106,'PO detail'!$B$2:$B$672,B106)</x:f>
        <x:v>0</x:v>
      </x:c>
    </x:row>
    <x:row r="107" ht="21" customHeight="1">
      <x:c r="A107" s="1" t="str">
        <x:v>60</x:v>
      </x:c>
      <x:c r="B107" s="1" t="str">
        <x:v>800BWHTBRC</x:v>
      </x:c>
      <x:c r="C107" s="1" t="str">
        <x:v>ECOLOGICAL FIBERS, INC</x:v>
      </x:c>
      <x:c r="D107" s="8" t="n">
        <x:v>0</x:v>
      </x:c>
      <x:c r="E107" s="8" t="n">
        <x:v>0</x:v>
      </x:c>
      <x:c r="F107" s="8" t="n">
        <x:v>0</x:v>
      </x:c>
      <x:c r="G107" s="9" t="n">
        <x:v>18.47</x:v>
      </x:c>
      <x:c r="H107" s="9" t="n">
        <x:v>0</x:v>
      </x:c>
      <x:c r="I107" s="1" t="n">
        <x:v>100</x:v>
      </x:c>
      <x:c r="J107" s="10" t="n">
        <x:v>0</x:v>
      </x:c>
      <x:c r="K107" s="9"/>
      <x:c r="L107" s="9"/>
      <x:c r="M107" s="11" t="n">
        <x:f>IF(P107=1,SUMIFS('PO detail'!$P$2:$P$672,'PO detail'!$A$2:$A$672,A107,'PO detail'!$B$2:$B$672,B107,'PO detail'!$K$2:$K$672,"&lt;="&amp;(K107*1.01)),0)</x:f>
        <x:v>0</x:v>
      </x:c>
      <x:c r="N107" s="11" t="n">
        <x:f>IF(P107=1,D107-M107,0)</x:f>
        <x:v>0</x:v>
      </x:c>
      <x:c r="O107" s="11" t="n">
        <x:f>D107-M107-N107</x:f>
        <x:v>0</x:v>
      </x:c>
      <x:c r="P107" s="15" t="n">
        <x:f>IF(AND(K107&gt;0,ABS(D107-SUMIFS('PO detail'!$P$2:$P$672,'PO detail'!$A$2:$A$672,A107,'PO detail'!$B$2:$B$672,B107))&lt;0.01),1,0)</x:f>
        <x:v>0</x:v>
      </x:c>
      <x:c r="Q107" s="15" t="n">
        <x:f>IF(AND(L107&gt;0,H107&gt;0,ABS(H107-L107)&lt;0.01),1,0)</x:f>
        <x:v>0</x:v>
      </x:c>
      <x:c r="R107" s="15" t="str">
        <x:f>IF(P107=1,"Estimated FIFO layers covered",IF(K107="","No original PO-price baseline","Insufficient dated receipt quantity"))</x:f>
        <x:v>No original PO-price baseline</x:v>
      </x:c>
      <x:c r="S107" s="15" t="n">
        <x:f>SUMIFS('PO detail'!$P$2:$P$672,'PO detail'!$A$2:$A$672,A107,'PO detail'!$B$2:$B$672,B107)</x:f>
        <x:v>0</x:v>
      </x:c>
      <x:c r="T107" s="1" t="str">
        <x:v>2013-04-22 00:00:00</x:v>
      </x:c>
      <x:c r="U107" s="1" t="str">
        <x:v>Receipt GL and reported valuation; inferred, PrcCostPer not supplied</x:v>
      </x:c>
      <x:c r="V107" s="13" t="n">
        <x:f>G107/I107</x:f>
        <x:v>0.18469999999999998</x:v>
      </x:c>
      <x:c r="W107" s="13" t="str">
        <x:f>IF(Q107=1,H107*(1+Summary!$J$5)/I107,"n.a.")</x:f>
        <x:v>n.a.</x:v>
      </x:c>
      <x:c r="X107" s="16" t="n">
        <x:f>D107*V107</x:f>
        <x:v>0</x:v>
      </x:c>
      <x:c r="Y107" s="16" t="n">
        <x:f>M107*V107</x:f>
        <x:v>0</x:v>
      </x:c>
      <x:c r="Z107" s="16" t="n">
        <x:f>N107*V107</x:f>
        <x:v>0</x:v>
      </x:c>
      <x:c r="AA107" s="16" t="n">
        <x:f>O107*V107</x:f>
        <x:v>0</x:v>
      </x:c>
      <x:c r="AB107" s="16" t="n">
        <x:f>J107-X107</x:f>
        <x:v>0</x:v>
      </x:c>
      <x:c r="AC107" s="16" t="str">
        <x:f>IF(ISNUMBER(W107),D107*(W107-V107),"n.a.")</x:f>
        <x:v>n.a.</x:v>
      </x:c>
      <x:c r="AD107" s="12" t="n">
        <x:f>F107-SUMIFS('PO detail'!$S$2:$S$672,'PO detail'!$A$2:$A$672,A107,'PO detail'!$B$2:$B$672,B107)</x:f>
        <x:v>0</x:v>
      </x:c>
    </x:row>
    <x:row r="108" ht="21" customHeight="1">
      <x:c r="A108" s="1" t="str">
        <x:v>60</x:v>
      </x:c>
      <x:c r="B108" s="1" t="str">
        <x:v>800BWHTCSC</x:v>
      </x:c>
      <x:c r="C108" s="1" t="str">
        <x:v>ECOLOGICAL FIBERS, INC</x:v>
      </x:c>
      <x:c r="D108" s="8" t="n">
        <x:v>0</x:v>
      </x:c>
      <x:c r="E108" s="8" t="n">
        <x:v>0</x:v>
      </x:c>
      <x:c r="F108" s="8" t="n">
        <x:v>0</x:v>
      </x:c>
      <x:c r="G108" s="9" t="n">
        <x:v>21.56</x:v>
      </x:c>
      <x:c r="H108" s="9" t="n">
        <x:v>0</x:v>
      </x:c>
      <x:c r="I108" s="1" t="n">
        <x:v>100</x:v>
      </x:c>
      <x:c r="J108" s="10" t="n">
        <x:v>0</x:v>
      </x:c>
      <x:c r="K108" s="9"/>
      <x:c r="L108" s="9"/>
      <x:c r="M108" s="11" t="n">
        <x:f>IF(P108=1,SUMIFS('PO detail'!$P$2:$P$672,'PO detail'!$A$2:$A$672,A108,'PO detail'!$B$2:$B$672,B108,'PO detail'!$K$2:$K$672,"&lt;="&amp;(K108*1.01)),0)</x:f>
        <x:v>0</x:v>
      </x:c>
      <x:c r="N108" s="11" t="n">
        <x:f>IF(P108=1,D108-M108,0)</x:f>
        <x:v>0</x:v>
      </x:c>
      <x:c r="O108" s="11" t="n">
        <x:f>D108-M108-N108</x:f>
        <x:v>0</x:v>
      </x:c>
      <x:c r="P108" s="15" t="n">
        <x:f>IF(AND(K108&gt;0,ABS(D108-SUMIFS('PO detail'!$P$2:$P$672,'PO detail'!$A$2:$A$672,A108,'PO detail'!$B$2:$B$672,B108))&lt;0.01),1,0)</x:f>
        <x:v>0</x:v>
      </x:c>
      <x:c r="Q108" s="15" t="n">
        <x:f>IF(AND(L108&gt;0,H108&gt;0,ABS(H108-L108)&lt;0.01),1,0)</x:f>
        <x:v>0</x:v>
      </x:c>
      <x:c r="R108" s="15" t="str">
        <x:f>IF(P108=1,"Estimated FIFO layers covered",IF(K108="","No original PO-price baseline","Insufficient dated receipt quantity"))</x:f>
        <x:v>No original PO-price baseline</x:v>
      </x:c>
      <x:c r="S108" s="15" t="n">
        <x:f>SUMIFS('PO detail'!$P$2:$P$672,'PO detail'!$A$2:$A$672,A108,'PO detail'!$B$2:$B$672,B108)</x:f>
        <x:v>0</x:v>
      </x:c>
      <x:c r="T108" s="1" t="str">
        <x:v>2013-01-10 00:00:00</x:v>
      </x:c>
      <x:c r="U108" s="1" t="str">
        <x:v>Receipt GL and reported valuation; inferred, PrcCostPer not supplied</x:v>
      </x:c>
      <x:c r="V108" s="13" t="n">
        <x:f>G108/I108</x:f>
        <x:v>0.21559999999999999</x:v>
      </x:c>
      <x:c r="W108" s="13" t="str">
        <x:f>IF(Q108=1,H108*(1+Summary!$J$5)/I108,"n.a.")</x:f>
        <x:v>n.a.</x:v>
      </x:c>
      <x:c r="X108" s="16" t="n">
        <x:f>D108*V108</x:f>
        <x:v>0</x:v>
      </x:c>
      <x:c r="Y108" s="16" t="n">
        <x:f>M108*V108</x:f>
        <x:v>0</x:v>
      </x:c>
      <x:c r="Z108" s="16" t="n">
        <x:f>N108*V108</x:f>
        <x:v>0</x:v>
      </x:c>
      <x:c r="AA108" s="16" t="n">
        <x:f>O108*V108</x:f>
        <x:v>0</x:v>
      </x:c>
      <x:c r="AB108" s="16" t="n">
        <x:f>J108-X108</x:f>
        <x:v>0</x:v>
      </x:c>
      <x:c r="AC108" s="16" t="str">
        <x:f>IF(ISNUMBER(W108),D108*(W108-V108),"n.a.")</x:f>
        <x:v>n.a.</x:v>
      </x:c>
      <x:c r="AD108" s="12" t="n">
        <x:f>F108-SUMIFS('PO detail'!$S$2:$S$672,'PO detail'!$A$2:$A$672,A108,'PO detail'!$B$2:$B$672,B108)</x:f>
        <x:v>0</x:v>
      </x:c>
    </x:row>
    <x:row r="109" ht="21" customHeight="1">
      <x:c r="A109" s="1" t="str">
        <x:v>60</x:v>
      </x:c>
      <x:c r="B109" s="1" t="str">
        <x:v>800BWHTDSC</x:v>
      </x:c>
      <x:c r="C109" s="1" t="str">
        <x:v>ECOLOGICAL FIBERS, INC</x:v>
      </x:c>
      <x:c r="D109" s="8" t="n">
        <x:v>0</x:v>
      </x:c>
      <x:c r="E109" s="8" t="n">
        <x:v>0</x:v>
      </x:c>
      <x:c r="F109" s="8" t="n">
        <x:v>0</x:v>
      </x:c>
      <x:c r="G109" s="9" t="n">
        <x:v>38</x:v>
      </x:c>
      <x:c r="H109" s="9" t="n">
        <x:v>17.37</x:v>
      </x:c>
      <x:c r="I109" s="1" t="n">
        <x:v>100</x:v>
      </x:c>
      <x:c r="J109" s="10" t="n">
        <x:v>0</x:v>
      </x:c>
      <x:c r="K109" s="9"/>
      <x:c r="L109" s="9"/>
      <x:c r="M109" s="11" t="n">
        <x:f>IF(P109=1,SUMIFS('PO detail'!$P$2:$P$672,'PO detail'!$A$2:$A$672,A109,'PO detail'!$B$2:$B$672,B109,'PO detail'!$K$2:$K$672,"&lt;="&amp;(K109*1.01)),0)</x:f>
        <x:v>0</x:v>
      </x:c>
      <x:c r="N109" s="11" t="n">
        <x:f>IF(P109=1,D109-M109,0)</x:f>
        <x:v>0</x:v>
      </x:c>
      <x:c r="O109" s="11" t="n">
        <x:f>D109-M109-N109</x:f>
        <x:v>0</x:v>
      </x:c>
      <x:c r="P109" s="15" t="n">
        <x:f>IF(AND(K109&gt;0,ABS(D109-SUMIFS('PO detail'!$P$2:$P$672,'PO detail'!$A$2:$A$672,A109,'PO detail'!$B$2:$B$672,B109))&lt;0.01),1,0)</x:f>
        <x:v>0</x:v>
      </x:c>
      <x:c r="Q109" s="15" t="n">
        <x:f>IF(AND(L109&gt;0,H109&gt;0,ABS(H109-L109)&lt;0.01),1,0)</x:f>
        <x:v>0</x:v>
      </x:c>
      <x:c r="R109" s="15" t="str">
        <x:f>IF(P109=1,"Estimated FIFO layers covered",IF(K109="","No original PO-price baseline","Insufficient dated receipt quantity"))</x:f>
        <x:v>No original PO-price baseline</x:v>
      </x:c>
      <x:c r="S109" s="15" t="n">
        <x:f>SUMIFS('PO detail'!$P$2:$P$672,'PO detail'!$A$2:$A$672,A109,'PO detail'!$B$2:$B$672,B109)</x:f>
        <x:v>0</x:v>
      </x:c>
      <x:c r="T109" s="1" t="str">
        <x:v>2013-01-10 00:00:00</x:v>
      </x:c>
      <x:c r="U109" s="1" t="str">
        <x:v>Receipt GL and reported valuation; inferred, PrcCostPer not supplied</x:v>
      </x:c>
      <x:c r="V109" s="13" t="n">
        <x:f>G109/I109</x:f>
        <x:v>0.38</x:v>
      </x:c>
      <x:c r="W109" s="13" t="str">
        <x:f>IF(Q109=1,H109*(1+Summary!$J$5)/I109,"n.a.")</x:f>
        <x:v>n.a.</x:v>
      </x:c>
      <x:c r="X109" s="16" t="n">
        <x:f>D109*V109</x:f>
        <x:v>0</x:v>
      </x:c>
      <x:c r="Y109" s="16" t="n">
        <x:f>M109*V109</x:f>
        <x:v>0</x:v>
      </x:c>
      <x:c r="Z109" s="16" t="n">
        <x:f>N109*V109</x:f>
        <x:v>0</x:v>
      </x:c>
      <x:c r="AA109" s="16" t="n">
        <x:f>O109*V109</x:f>
        <x:v>0</x:v>
      </x:c>
      <x:c r="AB109" s="16" t="n">
        <x:f>J109-X109</x:f>
        <x:v>0</x:v>
      </x:c>
      <x:c r="AC109" s="16" t="str">
        <x:f>IF(ISNUMBER(W109),D109*(W109-V109),"n.a.")</x:f>
        <x:v>n.a.</x:v>
      </x:c>
      <x:c r="AD109" s="12" t="n">
        <x:f>F109-SUMIFS('PO detail'!$S$2:$S$672,'PO detail'!$A$2:$A$672,A109,'PO detail'!$B$2:$B$672,B109)</x:f>
        <x:v>0</x:v>
      </x:c>
    </x:row>
    <x:row r="110" ht="21" customHeight="1">
      <x:c r="A110" s="1" t="str">
        <x:v>60</x:v>
      </x:c>
      <x:c r="B110" s="1" t="str">
        <x:v>800BWHTISC</x:v>
      </x:c>
      <x:c r="C110" s="1" t="str">
        <x:v>ECOLOGICAL FIBERS, INC</x:v>
      </x:c>
      <x:c r="D110" s="8" t="n">
        <x:v>0</x:v>
      </x:c>
      <x:c r="E110" s="8" t="n">
        <x:v>0</x:v>
      </x:c>
      <x:c r="F110" s="8" t="n">
        <x:v>0</x:v>
      </x:c>
      <x:c r="G110" s="9" t="n">
        <x:v>17.97</x:v>
      </x:c>
      <x:c r="H110" s="9" t="n">
        <x:v>9.06</x:v>
      </x:c>
      <x:c r="I110" s="1" t="n">
        <x:v>100</x:v>
      </x:c>
      <x:c r="J110" s="10" t="n">
        <x:v>0</x:v>
      </x:c>
      <x:c r="K110" s="9"/>
      <x:c r="L110" s="9"/>
      <x:c r="M110" s="11" t="n">
        <x:f>IF(P110=1,SUMIFS('PO detail'!$P$2:$P$672,'PO detail'!$A$2:$A$672,A110,'PO detail'!$B$2:$B$672,B110,'PO detail'!$K$2:$K$672,"&lt;="&amp;(K110*1.01)),0)</x:f>
        <x:v>0</x:v>
      </x:c>
      <x:c r="N110" s="11" t="n">
        <x:f>IF(P110=1,D110-M110,0)</x:f>
        <x:v>0</x:v>
      </x:c>
      <x:c r="O110" s="11" t="n">
        <x:f>D110-M110-N110</x:f>
        <x:v>0</x:v>
      </x:c>
      <x:c r="P110" s="15" t="n">
        <x:f>IF(AND(K110&gt;0,ABS(D110-SUMIFS('PO detail'!$P$2:$P$672,'PO detail'!$A$2:$A$672,A110,'PO detail'!$B$2:$B$672,B110))&lt;0.01),1,0)</x:f>
        <x:v>0</x:v>
      </x:c>
      <x:c r="Q110" s="15" t="n">
        <x:f>IF(AND(L110&gt;0,H110&gt;0,ABS(H110-L110)&lt;0.01),1,0)</x:f>
        <x:v>0</x:v>
      </x:c>
      <x:c r="R110" s="15" t="str">
        <x:f>IF(P110=1,"Estimated FIFO layers covered",IF(K110="","No original PO-price baseline","Insufficient dated receipt quantity"))</x:f>
        <x:v>No original PO-price baseline</x:v>
      </x:c>
      <x:c r="S110" s="15" t="n">
        <x:f>SUMIFS('PO detail'!$P$2:$P$672,'PO detail'!$A$2:$A$672,A110,'PO detail'!$B$2:$B$672,B110)</x:f>
        <x:v>0</x:v>
      </x:c>
      <x:c r="T110" s="1" t="str">
        <x:v>2017-06-30 00:00:00</x:v>
      </x:c>
      <x:c r="U110" s="1" t="str">
        <x:v>Receipt GL and reported valuation; inferred, PrcCostPer not supplied</x:v>
      </x:c>
      <x:c r="V110" s="13" t="n">
        <x:f>G110/I110</x:f>
        <x:v>0.1797</x:v>
      </x:c>
      <x:c r="W110" s="13" t="str">
        <x:f>IF(Q110=1,H110*(1+Summary!$J$5)/I110,"n.a.")</x:f>
        <x:v>n.a.</x:v>
      </x:c>
      <x:c r="X110" s="16" t="n">
        <x:f>D110*V110</x:f>
        <x:v>0</x:v>
      </x:c>
      <x:c r="Y110" s="16" t="n">
        <x:f>M110*V110</x:f>
        <x:v>0</x:v>
      </x:c>
      <x:c r="Z110" s="16" t="n">
        <x:f>N110*V110</x:f>
        <x:v>0</x:v>
      </x:c>
      <x:c r="AA110" s="16" t="n">
        <x:f>O110*V110</x:f>
        <x:v>0</x:v>
      </x:c>
      <x:c r="AB110" s="16" t="n">
        <x:f>J110-X110</x:f>
        <x:v>0</x:v>
      </x:c>
      <x:c r="AC110" s="16" t="str">
        <x:f>IF(ISNUMBER(W110),D110*(W110-V110),"n.a.")</x:f>
        <x:v>n.a.</x:v>
      </x:c>
      <x:c r="AD110" s="12" t="n">
        <x:f>F110-SUMIFS('PO detail'!$S$2:$S$672,'PO detail'!$A$2:$A$672,A110,'PO detail'!$B$2:$B$672,B110)</x:f>
        <x:v>0</x:v>
      </x:c>
    </x:row>
    <x:row r="111" ht="21" customHeight="1">
      <x:c r="A111" s="1" t="str">
        <x:v>60</x:v>
      </x:c>
      <x:c r="B111" s="1" t="str">
        <x:v>800FGE</x:v>
      </x:c>
      <x:c r="C111" s="1" t="str">
        <x:v>ECOLOGICAL FIBERS, INC</x:v>
      </x:c>
      <x:c r="D111" s="8" t="n">
        <x:v>0</x:v>
      </x:c>
      <x:c r="E111" s="8" t="n">
        <x:v>0</x:v>
      </x:c>
      <x:c r="F111" s="8" t="n">
        <x:v>0</x:v>
      </x:c>
      <x:c r="G111" s="9" t="n">
        <x:v>1078</x:v>
      </x:c>
      <x:c r="H111" s="9" t="n">
        <x:v>980</x:v>
      </x:c>
      <x:c r="I111" s="1" t="n">
        <x:v>100</x:v>
      </x:c>
      <x:c r="J111" s="10" t="n">
        <x:v>0</x:v>
      </x:c>
      <x:c r="K111" s="9"/>
      <x:c r="L111" s="9"/>
      <x:c r="M111" s="11" t="n">
        <x:f>IF(P111=1,SUMIFS('PO detail'!$P$2:$P$672,'PO detail'!$A$2:$A$672,A111,'PO detail'!$B$2:$B$672,B111,'PO detail'!$K$2:$K$672,"&lt;="&amp;(K111*1.01)),0)</x:f>
        <x:v>0</x:v>
      </x:c>
      <x:c r="N111" s="11" t="n">
        <x:f>IF(P111=1,D111-M111,0)</x:f>
        <x:v>0</x:v>
      </x:c>
      <x:c r="O111" s="11" t="n">
        <x:f>D111-M111-N111</x:f>
        <x:v>0</x:v>
      </x:c>
      <x:c r="P111" s="15" t="n">
        <x:f>IF(AND(K111&gt;0,ABS(D111-SUMIFS('PO detail'!$P$2:$P$672,'PO detail'!$A$2:$A$672,A111,'PO detail'!$B$2:$B$672,B111))&lt;0.01),1,0)</x:f>
        <x:v>0</x:v>
      </x:c>
      <x:c r="Q111" s="15" t="n">
        <x:f>IF(AND(L111&gt;0,H111&gt;0,ABS(H111-L111)&lt;0.01),1,0)</x:f>
        <x:v>0</x:v>
      </x:c>
      <x:c r="R111" s="15" t="str">
        <x:f>IF(P111=1,"Estimated FIFO layers covered",IF(K111="","No original PO-price baseline","Insufficient dated receipt quantity"))</x:f>
        <x:v>No original PO-price baseline</x:v>
      </x:c>
      <x:c r="S111" s="15" t="n">
        <x:f>SUMIFS('PO detail'!$P$2:$P$672,'PO detail'!$A$2:$A$672,A111,'PO detail'!$B$2:$B$672,B111)</x:f>
        <x:v>0</x:v>
      </x:c>
      <x:c r="T111" s="1" t="str"/>
      <x:c r="U111" s="1" t="str">
        <x:v>Receipt GL and reported valuation; inferred, PrcCostPer not supplied</x:v>
      </x:c>
      <x:c r="V111" s="13" t="n">
        <x:f>G111/I111</x:f>
        <x:v>10.78</x:v>
      </x:c>
      <x:c r="W111" s="13" t="str">
        <x:f>IF(Q111=1,H111*(1+Summary!$J$5)/I111,"n.a.")</x:f>
        <x:v>n.a.</x:v>
      </x:c>
      <x:c r="X111" s="16" t="n">
        <x:f>D111*V111</x:f>
        <x:v>0</x:v>
      </x:c>
      <x:c r="Y111" s="16" t="n">
        <x:f>M111*V111</x:f>
        <x:v>0</x:v>
      </x:c>
      <x:c r="Z111" s="16" t="n">
        <x:f>N111*V111</x:f>
        <x:v>0</x:v>
      </x:c>
      <x:c r="AA111" s="16" t="n">
        <x:f>O111*V111</x:f>
        <x:v>0</x:v>
      </x:c>
      <x:c r="AB111" s="16" t="n">
        <x:f>J111-X111</x:f>
        <x:v>0</x:v>
      </x:c>
      <x:c r="AC111" s="16" t="str">
        <x:f>IF(ISNUMBER(W111),D111*(W111-V111),"n.a.")</x:f>
        <x:v>n.a.</x:v>
      </x:c>
      <x:c r="AD111" s="12" t="n">
        <x:f>F111-SUMIFS('PO detail'!$S$2:$S$672,'PO detail'!$A$2:$A$672,A111,'PO detail'!$B$2:$B$672,B111)</x:f>
        <x:v>0</x:v>
      </x:c>
    </x:row>
    <x:row r="112" ht="21" customHeight="1">
      <x:c r="A112" s="1" t="str">
        <x:v>60</x:v>
      </x:c>
      <x:c r="B112" s="1" t="str">
        <x:v>800NAVF</x:v>
      </x:c>
      <x:c r="C112" s="1" t="str">
        <x:v>ECOLOGICAL FIBERS, INC</x:v>
      </x:c>
      <x:c r="D112" s="8" t="n">
        <x:v>0</x:v>
      </x:c>
      <x:c r="E112" s="8" t="n">
        <x:v>0</x:v>
      </x:c>
      <x:c r="F112" s="8" t="n">
        <x:v>0</x:v>
      </x:c>
      <x:c r="G112" s="9" t="n">
        <x:v>703</x:v>
      </x:c>
      <x:c r="H112" s="9" t="n">
        <x:v>710</x:v>
      </x:c>
      <x:c r="I112" s="1" t="n">
        <x:v>100</x:v>
      </x:c>
      <x:c r="J112" s="10" t="n">
        <x:v>0</x:v>
      </x:c>
      <x:c r="K112" s="9"/>
      <x:c r="L112" s="9"/>
      <x:c r="M112" s="11" t="n">
        <x:f>IF(P112=1,SUMIFS('PO detail'!$P$2:$P$672,'PO detail'!$A$2:$A$672,A112,'PO detail'!$B$2:$B$672,B112,'PO detail'!$K$2:$K$672,"&lt;="&amp;(K112*1.01)),0)</x:f>
        <x:v>0</x:v>
      </x:c>
      <x:c r="N112" s="11" t="n">
        <x:f>IF(P112=1,D112-M112,0)</x:f>
        <x:v>0</x:v>
      </x:c>
      <x:c r="O112" s="11" t="n">
        <x:f>D112-M112-N112</x:f>
        <x:v>0</x:v>
      </x:c>
      <x:c r="P112" s="15" t="n">
        <x:f>IF(AND(K112&gt;0,ABS(D112-SUMIFS('PO detail'!$P$2:$P$672,'PO detail'!$A$2:$A$672,A112,'PO detail'!$B$2:$B$672,B112))&lt;0.01),1,0)</x:f>
        <x:v>0</x:v>
      </x:c>
      <x:c r="Q112" s="15" t="n">
        <x:f>IF(AND(L112&gt;0,H112&gt;0,ABS(H112-L112)&lt;0.01),1,0)</x:f>
        <x:v>0</x:v>
      </x:c>
      <x:c r="R112" s="15" t="str">
        <x:f>IF(P112=1,"Estimated FIFO layers covered",IF(K112="","No original PO-price baseline","Insufficient dated receipt quantity"))</x:f>
        <x:v>No original PO-price baseline</x:v>
      </x:c>
      <x:c r="S112" s="15" t="n">
        <x:f>SUMIFS('PO detail'!$P$2:$P$672,'PO detail'!$A$2:$A$672,A112,'PO detail'!$B$2:$B$672,B112)</x:f>
        <x:v>0</x:v>
      </x:c>
      <x:c r="T112" s="1" t="str">
        <x:v>2019-06-12 00:00:00</x:v>
      </x:c>
      <x:c r="U112" s="1" t="str">
        <x:v>Receipt GL and reported valuation; inferred, PrcCostPer not supplied</x:v>
      </x:c>
      <x:c r="V112" s="13" t="n">
        <x:f>G112/I112</x:f>
        <x:v>7.03</x:v>
      </x:c>
      <x:c r="W112" s="13" t="str">
        <x:f>IF(Q112=1,H112*(1+Summary!$J$5)/I112,"n.a.")</x:f>
        <x:v>n.a.</x:v>
      </x:c>
      <x:c r="X112" s="16" t="n">
        <x:f>D112*V112</x:f>
        <x:v>0</x:v>
      </x:c>
      <x:c r="Y112" s="16" t="n">
        <x:f>M112*V112</x:f>
        <x:v>0</x:v>
      </x:c>
      <x:c r="Z112" s="16" t="n">
        <x:f>N112*V112</x:f>
        <x:v>0</x:v>
      </x:c>
      <x:c r="AA112" s="16" t="n">
        <x:f>O112*V112</x:f>
        <x:v>0</x:v>
      </x:c>
      <x:c r="AB112" s="16" t="n">
        <x:f>J112-X112</x:f>
        <x:v>0</x:v>
      </x:c>
      <x:c r="AC112" s="16" t="str">
        <x:f>IF(ISNUMBER(W112),D112*(W112-V112),"n.a.")</x:f>
        <x:v>n.a.</x:v>
      </x:c>
      <x:c r="AD112" s="12" t="n">
        <x:f>F112-SUMIFS('PO detail'!$S$2:$S$672,'PO detail'!$A$2:$A$672,A112,'PO detail'!$B$2:$B$672,B112)</x:f>
        <x:v>0</x:v>
      </x:c>
    </x:row>
    <x:row r="113" ht="21" customHeight="1">
      <x:c r="A113" s="1" t="str">
        <x:v>60</x:v>
      </x:c>
      <x:c r="B113" s="1" t="str">
        <x:v>800WHTE</x:v>
      </x:c>
      <x:c r="C113" s="1" t="str">
        <x:v>ECOLOGICAL FIBERS, INC</x:v>
      </x:c>
      <x:c r="D113" s="8" t="n">
        <x:v>0</x:v>
      </x:c>
      <x:c r="E113" s="8" t="n">
        <x:v>0</x:v>
      </x:c>
      <x:c r="F113" s="8" t="n">
        <x:v>0</x:v>
      </x:c>
      <x:c r="G113" s="9" t="n">
        <x:v>1144</x:v>
      </x:c>
      <x:c r="H113" s="9" t="n">
        <x:v>1040</x:v>
      </x:c>
      <x:c r="I113" s="1" t="n">
        <x:v>100</x:v>
      </x:c>
      <x:c r="J113" s="10" t="n">
        <x:v>0</x:v>
      </x:c>
      <x:c r="K113" s="9"/>
      <x:c r="L113" s="9"/>
      <x:c r="M113" s="11" t="n">
        <x:f>IF(P113=1,SUMIFS('PO detail'!$P$2:$P$672,'PO detail'!$A$2:$A$672,A113,'PO detail'!$B$2:$B$672,B113,'PO detail'!$K$2:$K$672,"&lt;="&amp;(K113*1.01)),0)</x:f>
        <x:v>0</x:v>
      </x:c>
      <x:c r="N113" s="11" t="n">
        <x:f>IF(P113=1,D113-M113,0)</x:f>
        <x:v>0</x:v>
      </x:c>
      <x:c r="O113" s="11" t="n">
        <x:f>D113-M113-N113</x:f>
        <x:v>0</x:v>
      </x:c>
      <x:c r="P113" s="15" t="n">
        <x:f>IF(AND(K113&gt;0,ABS(D113-SUMIFS('PO detail'!$P$2:$P$672,'PO detail'!$A$2:$A$672,A113,'PO detail'!$B$2:$B$672,B113))&lt;0.01),1,0)</x:f>
        <x:v>0</x:v>
      </x:c>
      <x:c r="Q113" s="15" t="n">
        <x:f>IF(AND(L113&gt;0,H113&gt;0,ABS(H113-L113)&lt;0.01),1,0)</x:f>
        <x:v>0</x:v>
      </x:c>
      <x:c r="R113" s="15" t="str">
        <x:f>IF(P113=1,"Estimated FIFO layers covered",IF(K113="","No original PO-price baseline","Insufficient dated receipt quantity"))</x:f>
        <x:v>No original PO-price baseline</x:v>
      </x:c>
      <x:c r="S113" s="15" t="n">
        <x:f>SUMIFS('PO detail'!$P$2:$P$672,'PO detail'!$A$2:$A$672,A113,'PO detail'!$B$2:$B$672,B113)</x:f>
        <x:v>0</x:v>
      </x:c>
      <x:c r="T113" s="1" t="str"/>
      <x:c r="U113" s="1" t="str">
        <x:v>Receipt GL and reported valuation; inferred, PrcCostPer not supplied</x:v>
      </x:c>
      <x:c r="V113" s="13" t="n">
        <x:f>G113/I113</x:f>
        <x:v>11.44</x:v>
      </x:c>
      <x:c r="W113" s="13" t="str">
        <x:f>IF(Q113=1,H113*(1+Summary!$J$5)/I113,"n.a.")</x:f>
        <x:v>n.a.</x:v>
      </x:c>
      <x:c r="X113" s="16" t="n">
        <x:f>D113*V113</x:f>
        <x:v>0</x:v>
      </x:c>
      <x:c r="Y113" s="16" t="n">
        <x:f>M113*V113</x:f>
        <x:v>0</x:v>
      </x:c>
      <x:c r="Z113" s="16" t="n">
        <x:f>N113*V113</x:f>
        <x:v>0</x:v>
      </x:c>
      <x:c r="AA113" s="16" t="n">
        <x:f>O113*V113</x:f>
        <x:v>0</x:v>
      </x:c>
      <x:c r="AB113" s="16" t="n">
        <x:f>J113-X113</x:f>
        <x:v>0</x:v>
      </x:c>
      <x:c r="AC113" s="16" t="str">
        <x:f>IF(ISNUMBER(W113),D113*(W113-V113),"n.a.")</x:f>
        <x:v>n.a.</x:v>
      </x:c>
      <x:c r="AD113" s="12" t="n">
        <x:f>F113-SUMIFS('PO detail'!$S$2:$S$672,'PO detail'!$A$2:$A$672,A113,'PO detail'!$B$2:$B$672,B113)</x:f>
        <x:v>0</x:v>
      </x:c>
    </x:row>
    <x:row r="114" ht="21" customHeight="1">
      <x:c r="A114" s="1" t="str">
        <x:v>60</x:v>
      </x:c>
      <x:c r="B114" s="1" t="str">
        <x:v>800BLKTB</x:v>
      </x:c>
      <x:c r="C114" s="1" t="str">
        <x:v>NEENAH PAPER, INC.</x:v>
      </x:c>
      <x:c r="D114" s="8" t="n">
        <x:v>0</x:v>
      </x:c>
      <x:c r="E114" s="8" t="n">
        <x:v>0</x:v>
      </x:c>
      <x:c r="F114" s="8" t="n">
        <x:v>0</x:v>
      </x:c>
      <x:c r="G114" s="9" t="n">
        <x:v>0</x:v>
      </x:c>
      <x:c r="H114" s="9" t="n">
        <x:v>0</x:v>
      </x:c>
      <x:c r="I114" s="1" t="n">
        <x:v>1000</x:v>
      </x:c>
      <x:c r="J114" s="10" t="n">
        <x:v>0</x:v>
      </x:c>
      <x:c r="K114" s="9"/>
      <x:c r="L114" s="9"/>
      <x:c r="M114" s="11" t="n">
        <x:f>IF(P114=1,SUMIFS('PO detail'!$P$2:$P$672,'PO detail'!$A$2:$A$672,A114,'PO detail'!$B$2:$B$672,B114,'PO detail'!$K$2:$K$672,"&lt;="&amp;(K114*1.01)),0)</x:f>
        <x:v>0</x:v>
      </x:c>
      <x:c r="N114" s="11" t="n">
        <x:f>IF(P114=1,D114-M114,0)</x:f>
        <x:v>0</x:v>
      </x:c>
      <x:c r="O114" s="11" t="n">
        <x:f>D114-M114-N114</x:f>
        <x:v>0</x:v>
      </x:c>
      <x:c r="P114" s="15" t="n">
        <x:f>IF(AND(K114&gt;0,ABS(D114-SUMIFS('PO detail'!$P$2:$P$672,'PO detail'!$A$2:$A$672,A114,'PO detail'!$B$2:$B$672,B114))&lt;0.01),1,0)</x:f>
        <x:v>0</x:v>
      </x:c>
      <x:c r="Q114" s="15" t="n">
        <x:f>IF(AND(L114&gt;0,H114&gt;0,ABS(H114-L114)&lt;0.01),1,0)</x:f>
        <x:v>0</x:v>
      </x:c>
      <x:c r="R114" s="15" t="str">
        <x:f>IF(P114=1,"Estimated FIFO layers covered",IF(K114="","No original PO-price baseline","Insufficient dated receipt quantity"))</x:f>
        <x:v>No original PO-price baseline</x:v>
      </x:c>
      <x:c r="S114" s="15" t="n">
        <x:f>SUMIFS('PO detail'!$P$2:$P$672,'PO detail'!$A$2:$A$672,A114,'PO detail'!$B$2:$B$672,B114)</x:f>
        <x:v>0</x:v>
      </x:c>
      <x:c r="T114" s="1" t="str">
        <x:v>2007-12-28 00:00:00</x:v>
      </x:c>
      <x:c r="U114" s="1" t="str">
        <x:v>Receipt GL and reported valuation; inferred, PrcCostPer not supplied</x:v>
      </x:c>
      <x:c r="V114" s="13" t="n">
        <x:f>G114/I114</x:f>
        <x:v>0</x:v>
      </x:c>
      <x:c r="W114" s="13" t="str">
        <x:f>IF(Q114=1,H114*(1+Summary!$J$5)/I114,"n.a.")</x:f>
        <x:v>n.a.</x:v>
      </x:c>
      <x:c r="X114" s="16" t="n">
        <x:f>D114*V114</x:f>
        <x:v>0</x:v>
      </x:c>
      <x:c r="Y114" s="16" t="n">
        <x:f>M114*V114</x:f>
        <x:v>0</x:v>
      </x:c>
      <x:c r="Z114" s="16" t="n">
        <x:f>N114*V114</x:f>
        <x:v>0</x:v>
      </x:c>
      <x:c r="AA114" s="16" t="n">
        <x:f>O114*V114</x:f>
        <x:v>0</x:v>
      </x:c>
      <x:c r="AB114" s="16" t="n">
        <x:f>J114-X114</x:f>
        <x:v>0</x:v>
      </x:c>
      <x:c r="AC114" s="16" t="str">
        <x:f>IF(ISNUMBER(W114),D114*(W114-V114),"n.a.")</x:f>
        <x:v>n.a.</x:v>
      </x:c>
      <x:c r="AD114" s="12" t="n">
        <x:f>F114-SUMIFS('PO detail'!$S$2:$S$672,'PO detail'!$A$2:$A$672,A114,'PO detail'!$B$2:$B$672,B114)</x:f>
        <x:v>0</x:v>
      </x:c>
    </x:row>
    <x:row r="115" ht="21" customHeight="1">
      <x:c r="A115" s="1" t="str">
        <x:v>60</x:v>
      </x:c>
      <x:c r="B115" s="1" t="str">
        <x:v>800BMARCSC</x:v>
      </x:c>
      <x:c r="C115" s="1" t="str">
        <x:v>SOUTHWEST CONVERSION</x:v>
      </x:c>
      <x:c r="D115" s="8" t="n">
        <x:v>1300</x:v>
      </x:c>
      <x:c r="E115" s="8" t="n">
        <x:v>0</x:v>
      </x:c>
      <x:c r="F115" s="8" t="n">
        <x:v>0</x:v>
      </x:c>
      <x:c r="G115" s="9" t="n">
        <x:v>23.33</x:v>
      </x:c>
      <x:c r="H115" s="9" t="n">
        <x:v>0</x:v>
      </x:c>
      <x:c r="I115" s="1" t="n">
        <x:v>100</x:v>
      </x:c>
      <x:c r="J115" s="10" t="n">
        <x:v>303.28999999999996</x:v>
      </x:c>
      <x:c r="K115" s="9"/>
      <x:c r="L115" s="9"/>
      <x:c r="M115" s="11" t="n">
        <x:f>IF(P115=1,SUMIFS('PO detail'!$P$2:$P$672,'PO detail'!$A$2:$A$672,A115,'PO detail'!$B$2:$B$672,B115,'PO detail'!$K$2:$K$672,"&lt;="&amp;(K115*1.01)),0)</x:f>
        <x:v>0</x:v>
      </x:c>
      <x:c r="N115" s="11" t="n">
        <x:f>IF(P115=1,D115-M115,0)</x:f>
        <x:v>0</x:v>
      </x:c>
      <x:c r="O115" s="11" t="n">
        <x:f>D115-M115-N115</x:f>
        <x:v>1300</x:v>
      </x:c>
      <x:c r="P115" s="15" t="n">
        <x:f>IF(AND(K115&gt;0,ABS(D115-SUMIFS('PO detail'!$P$2:$P$672,'PO detail'!$A$2:$A$672,A115,'PO detail'!$B$2:$B$672,B115))&lt;0.01),1,0)</x:f>
        <x:v>0</x:v>
      </x:c>
      <x:c r="Q115" s="15" t="n">
        <x:f>IF(AND(L115&gt;0,H115&gt;0,ABS(H115-L115)&lt;0.01),1,0)</x:f>
        <x:v>0</x:v>
      </x:c>
      <x:c r="R115" s="15" t="str">
        <x:f>IF(P115=1,"Estimated FIFO layers covered",IF(K115="","No original PO-price baseline","Insufficient dated receipt quantity"))</x:f>
        <x:v>No original PO-price baseline</x:v>
      </x:c>
      <x:c r="S115" s="15" t="n">
        <x:f>SUMIFS('PO detail'!$P$2:$P$672,'PO detail'!$A$2:$A$672,A115,'PO detail'!$B$2:$B$672,B115)</x:f>
        <x:v>0</x:v>
      </x:c>
      <x:c r="T115" s="1" t="str">
        <x:v>2011-11-14 00:00:00</x:v>
      </x:c>
      <x:c r="U115" s="1" t="str">
        <x:v>Receipt GL and reported valuation; inferred, PrcCostPer not supplied</x:v>
      </x:c>
      <x:c r="V115" s="13" t="n">
        <x:f>G115/I115</x:f>
        <x:v>0.23329999999999998</x:v>
      </x:c>
      <x:c r="W115" s="13" t="str">
        <x:f>IF(Q115=1,H115*(1+Summary!$J$5)/I115,"n.a.")</x:f>
        <x:v>n.a.</x:v>
      </x:c>
      <x:c r="X115" s="16" t="n">
        <x:f>D115*V115</x:f>
        <x:v>303.28999999999996</x:v>
      </x:c>
      <x:c r="Y115" s="16" t="n">
        <x:f>M115*V115</x:f>
        <x:v>0</x:v>
      </x:c>
      <x:c r="Z115" s="16" t="n">
        <x:f>N115*V115</x:f>
        <x:v>0</x:v>
      </x:c>
      <x:c r="AA115" s="16" t="n">
        <x:f>O115*V115</x:f>
        <x:v>303.28999999999996</x:v>
      </x:c>
      <x:c r="AB115" s="16" t="n">
        <x:f>J115-X115</x:f>
        <x:v>0</x:v>
      </x:c>
      <x:c r="AC115" s="16" t="str">
        <x:f>IF(ISNUMBER(W115),D115*(W115-V115),"n.a.")</x:f>
        <x:v>n.a.</x:v>
      </x:c>
      <x:c r="AD115" s="12" t="n">
        <x:f>F115-SUMIFS('PO detail'!$S$2:$S$672,'PO detail'!$A$2:$A$672,A115,'PO detail'!$B$2:$B$672,B115)</x:f>
        <x:v>0</x:v>
      </x:c>
    </x:row>
    <x:row r="116" ht="21" customHeight="1">
      <x:c r="A116" s="1" t="str">
        <x:v>60</x:v>
      </x:c>
      <x:c r="B116" s="1" t="str">
        <x:v>800BREDASC</x:v>
      </x:c>
      <x:c r="C116" s="1" t="str">
        <x:v>SOUTHWEST CONVERSION</x:v>
      </x:c>
      <x:c r="D116" s="8" t="n">
        <x:v>0</x:v>
      </x:c>
      <x:c r="E116" s="8" t="n">
        <x:v>0</x:v>
      </x:c>
      <x:c r="F116" s="8" t="n">
        <x:v>0</x:v>
      </x:c>
      <x:c r="G116" s="9" t="n">
        <x:v>7.92</x:v>
      </x:c>
      <x:c r="H116" s="9" t="n">
        <x:v>0</x:v>
      </x:c>
      <x:c r="I116" s="1" t="n">
        <x:v>100</x:v>
      </x:c>
      <x:c r="J116" s="10" t="n">
        <x:v>0</x:v>
      </x:c>
      <x:c r="K116" s="9"/>
      <x:c r="L116" s="9"/>
      <x:c r="M116" s="11" t="n">
        <x:f>IF(P116=1,SUMIFS('PO detail'!$P$2:$P$672,'PO detail'!$A$2:$A$672,A116,'PO detail'!$B$2:$B$672,B116,'PO detail'!$K$2:$K$672,"&lt;="&amp;(K116*1.01)),0)</x:f>
        <x:v>0</x:v>
      </x:c>
      <x:c r="N116" s="11" t="n">
        <x:f>IF(P116=1,D116-M116,0)</x:f>
        <x:v>0</x:v>
      </x:c>
      <x:c r="O116" s="11" t="n">
        <x:f>D116-M116-N116</x:f>
        <x:v>0</x:v>
      </x:c>
      <x:c r="P116" s="15" t="n">
        <x:f>IF(AND(K116&gt;0,ABS(D116-SUMIFS('PO detail'!$P$2:$P$672,'PO detail'!$A$2:$A$672,A116,'PO detail'!$B$2:$B$672,B116))&lt;0.01),1,0)</x:f>
        <x:v>0</x:v>
      </x:c>
      <x:c r="Q116" s="15" t="n">
        <x:f>IF(AND(L116&gt;0,H116&gt;0,ABS(H116-L116)&lt;0.01),1,0)</x:f>
        <x:v>0</x:v>
      </x:c>
      <x:c r="R116" s="15" t="str">
        <x:f>IF(P116=1,"Estimated FIFO layers covered",IF(K116="","No original PO-price baseline","Insufficient dated receipt quantity"))</x:f>
        <x:v>No original PO-price baseline</x:v>
      </x:c>
      <x:c r="S116" s="15" t="n">
        <x:f>SUMIFS('PO detail'!$P$2:$P$672,'PO detail'!$A$2:$A$672,A116,'PO detail'!$B$2:$B$672,B116)</x:f>
        <x:v>0</x:v>
      </x:c>
      <x:c r="T116" s="1" t="str">
        <x:v>2017-03-07 00:00:00</x:v>
      </x:c>
      <x:c r="U116" s="1" t="str">
        <x:v>Receipt GL and reported valuation; inferred, PrcCostPer not supplied</x:v>
      </x:c>
      <x:c r="V116" s="13" t="n">
        <x:f>G116/I116</x:f>
        <x:v>0.07919999999999999</x:v>
      </x:c>
      <x:c r="W116" s="13" t="str">
        <x:f>IF(Q116=1,H116*(1+Summary!$J$5)/I116,"n.a.")</x:f>
        <x:v>n.a.</x:v>
      </x:c>
      <x:c r="X116" s="16" t="n">
        <x:f>D116*V116</x:f>
        <x:v>0</x:v>
      </x:c>
      <x:c r="Y116" s="16" t="n">
        <x:f>M116*V116</x:f>
        <x:v>0</x:v>
      </x:c>
      <x:c r="Z116" s="16" t="n">
        <x:f>N116*V116</x:f>
        <x:v>0</x:v>
      </x:c>
      <x:c r="AA116" s="16" t="n">
        <x:f>O116*V116</x:f>
        <x:v>0</x:v>
      </x:c>
      <x:c r="AB116" s="16" t="n">
        <x:f>J116-X116</x:f>
        <x:v>0</x:v>
      </x:c>
      <x:c r="AC116" s="16" t="str">
        <x:f>IF(ISNUMBER(W116),D116*(W116-V116),"n.a.")</x:f>
        <x:v>n.a.</x:v>
      </x:c>
      <x:c r="AD116" s="12" t="n">
        <x:f>F116-SUMIFS('PO detail'!$S$2:$S$672,'PO detail'!$A$2:$A$672,A116,'PO detail'!$B$2:$B$672,B116)</x:f>
        <x:v>0</x:v>
      </x:c>
    </x:row>
    <x:row r="117" ht="21" customHeight="1">
      <x:c r="A117" s="1" t="str">
        <x:v>60</x:v>
      </x:c>
      <x:c r="B117" s="1" t="str">
        <x:v>800BREDBRC</x:v>
      </x:c>
      <x:c r="C117" s="1" t="str">
        <x:v>SOUTHWEST CONVERSION</x:v>
      </x:c>
      <x:c r="D117" s="8" t="n">
        <x:v>0</x:v>
      </x:c>
      <x:c r="E117" s="8" t="n">
        <x:v>0</x:v>
      </x:c>
      <x:c r="F117" s="8" t="n">
        <x:v>0</x:v>
      </x:c>
      <x:c r="G117" s="9" t="n">
        <x:v>8.98</x:v>
      </x:c>
      <x:c r="H117" s="9" t="n">
        <x:v>0</x:v>
      </x:c>
      <x:c r="I117" s="1" t="n">
        <x:v>100</x:v>
      </x:c>
      <x:c r="J117" s="10" t="n">
        <x:v>0</x:v>
      </x:c>
      <x:c r="K117" s="9"/>
      <x:c r="L117" s="9"/>
      <x:c r="M117" s="11" t="n">
        <x:f>IF(P117=1,SUMIFS('PO detail'!$P$2:$P$672,'PO detail'!$A$2:$A$672,A117,'PO detail'!$B$2:$B$672,B117,'PO detail'!$K$2:$K$672,"&lt;="&amp;(K117*1.01)),0)</x:f>
        <x:v>0</x:v>
      </x:c>
      <x:c r="N117" s="11" t="n">
        <x:f>IF(P117=1,D117-M117,0)</x:f>
        <x:v>0</x:v>
      </x:c>
      <x:c r="O117" s="11" t="n">
        <x:f>D117-M117-N117</x:f>
        <x:v>0</x:v>
      </x:c>
      <x:c r="P117" s="15" t="n">
        <x:f>IF(AND(K117&gt;0,ABS(D117-SUMIFS('PO detail'!$P$2:$P$672,'PO detail'!$A$2:$A$672,A117,'PO detail'!$B$2:$B$672,B117))&lt;0.01),1,0)</x:f>
        <x:v>0</x:v>
      </x:c>
      <x:c r="Q117" s="15" t="n">
        <x:f>IF(AND(L117&gt;0,H117&gt;0,ABS(H117-L117)&lt;0.01),1,0)</x:f>
        <x:v>0</x:v>
      </x:c>
      <x:c r="R117" s="15" t="str">
        <x:f>IF(P117=1,"Estimated FIFO layers covered",IF(K117="","No original PO-price baseline","Insufficient dated receipt quantity"))</x:f>
        <x:v>No original PO-price baseline</x:v>
      </x:c>
      <x:c r="S117" s="15" t="n">
        <x:f>SUMIFS('PO detail'!$P$2:$P$672,'PO detail'!$A$2:$A$672,A117,'PO detail'!$B$2:$B$672,B117)</x:f>
        <x:v>0</x:v>
      </x:c>
      <x:c r="T117" s="1" t="str">
        <x:v>2013-01-10 00:00:00</x:v>
      </x:c>
      <x:c r="U117" s="1" t="str">
        <x:v>Receipt GL and reported valuation; inferred, PrcCostPer not supplied</x:v>
      </x:c>
      <x:c r="V117" s="13" t="n">
        <x:f>G117/I117</x:f>
        <x:v>0.0898</x:v>
      </x:c>
      <x:c r="W117" s="13" t="str">
        <x:f>IF(Q117=1,H117*(1+Summary!$J$5)/I117,"n.a.")</x:f>
        <x:v>n.a.</x:v>
      </x:c>
      <x:c r="X117" s="16" t="n">
        <x:f>D117*V117</x:f>
        <x:v>0</x:v>
      </x:c>
      <x:c r="Y117" s="16" t="n">
        <x:f>M117*V117</x:f>
        <x:v>0</x:v>
      </x:c>
      <x:c r="Z117" s="16" t="n">
        <x:f>N117*V117</x:f>
        <x:v>0</x:v>
      </x:c>
      <x:c r="AA117" s="16" t="n">
        <x:f>O117*V117</x:f>
        <x:v>0</x:v>
      </x:c>
      <x:c r="AB117" s="16" t="n">
        <x:f>J117-X117</x:f>
        <x:v>0</x:v>
      </x:c>
      <x:c r="AC117" s="16" t="str">
        <x:f>IF(ISNUMBER(W117),D117*(W117-V117),"n.a.")</x:f>
        <x:v>n.a.</x:v>
      </x:c>
      <x:c r="AD117" s="12" t="n">
        <x:f>F117-SUMIFS('PO detail'!$S$2:$S$672,'PO detail'!$A$2:$A$672,A117,'PO detail'!$B$2:$B$672,B117)</x:f>
        <x:v>0</x:v>
      </x:c>
    </x:row>
    <x:row r="118" ht="21" customHeight="1">
      <x:c r="A118" s="1" t="str">
        <x:v>60</x:v>
      </x:c>
      <x:c r="B118" s="1" t="str">
        <x:v>800WBLKBRC</x:v>
      </x:c>
      <x:c r="C118" s="1" t="str">
        <x:v>SOUTHWEST CONVERSION</x:v>
      </x:c>
      <x:c r="D118" s="8" t="n">
        <x:v>0</x:v>
      </x:c>
      <x:c r="E118" s="8" t="n">
        <x:v>0</x:v>
      </x:c>
      <x:c r="F118" s="8" t="n">
        <x:v>0</x:v>
      </x:c>
      <x:c r="G118" s="9" t="n">
        <x:v>14.15</x:v>
      </x:c>
      <x:c r="H118" s="9" t="n">
        <x:v>0</x:v>
      </x:c>
      <x:c r="I118" s="1" t="n">
        <x:v>100</x:v>
      </x:c>
      <x:c r="J118" s="10" t="n">
        <x:v>0</x:v>
      </x:c>
      <x:c r="K118" s="9"/>
      <x:c r="L118" s="9"/>
      <x:c r="M118" s="11" t="n">
        <x:f>IF(P118=1,SUMIFS('PO detail'!$P$2:$P$672,'PO detail'!$A$2:$A$672,A118,'PO detail'!$B$2:$B$672,B118,'PO detail'!$K$2:$K$672,"&lt;="&amp;(K118*1.01)),0)</x:f>
        <x:v>0</x:v>
      </x:c>
      <x:c r="N118" s="11" t="n">
        <x:f>IF(P118=1,D118-M118,0)</x:f>
        <x:v>0</x:v>
      </x:c>
      <x:c r="O118" s="11" t="n">
        <x:f>D118-M118-N118</x:f>
        <x:v>0</x:v>
      </x:c>
      <x:c r="P118" s="15" t="n">
        <x:f>IF(AND(K118&gt;0,ABS(D118-SUMIFS('PO detail'!$P$2:$P$672,'PO detail'!$A$2:$A$672,A118,'PO detail'!$B$2:$B$672,B118))&lt;0.01),1,0)</x:f>
        <x:v>0</x:v>
      </x:c>
      <x:c r="Q118" s="15" t="n">
        <x:f>IF(AND(L118&gt;0,H118&gt;0,ABS(H118-L118)&lt;0.01),1,0)</x:f>
        <x:v>0</x:v>
      </x:c>
      <x:c r="R118" s="15" t="str">
        <x:f>IF(P118=1,"Estimated FIFO layers covered",IF(K118="","No original PO-price baseline","Insufficient dated receipt quantity"))</x:f>
        <x:v>No original PO-price baseline</x:v>
      </x:c>
      <x:c r="S118" s="15" t="n">
        <x:f>SUMIFS('PO detail'!$P$2:$P$672,'PO detail'!$A$2:$A$672,A118,'PO detail'!$B$2:$B$672,B118)</x:f>
        <x:v>0</x:v>
      </x:c>
      <x:c r="T118" s="1" t="str"/>
      <x:c r="U118" s="1" t="str">
        <x:v>Receipt GL and reported valuation; inferred, PrcCostPer not supplied</x:v>
      </x:c>
      <x:c r="V118" s="13" t="n">
        <x:f>G118/I118</x:f>
        <x:v>0.14150000000000001</x:v>
      </x:c>
      <x:c r="W118" s="13" t="str">
        <x:f>IF(Q118=1,H118*(1+Summary!$J$5)/I118,"n.a.")</x:f>
        <x:v>n.a.</x:v>
      </x:c>
      <x:c r="X118" s="16" t="n">
        <x:f>D118*V118</x:f>
        <x:v>0</x:v>
      </x:c>
      <x:c r="Y118" s="16" t="n">
        <x:f>M118*V118</x:f>
        <x:v>0</x:v>
      </x:c>
      <x:c r="Z118" s="16" t="n">
        <x:f>N118*V118</x:f>
        <x:v>0</x:v>
      </x:c>
      <x:c r="AA118" s="16" t="n">
        <x:f>O118*V118</x:f>
        <x:v>0</x:v>
      </x:c>
      <x:c r="AB118" s="16" t="n">
        <x:f>J118-X118</x:f>
        <x:v>0</x:v>
      </x:c>
      <x:c r="AC118" s="16" t="str">
        <x:f>IF(ISNUMBER(W118),D118*(W118-V118),"n.a.")</x:f>
        <x:v>n.a.</x:v>
      </x:c>
      <x:c r="AD118" s="12" t="n">
        <x:f>F118-SUMIFS('PO detail'!$S$2:$S$672,'PO detail'!$A$2:$A$672,A118,'PO detail'!$B$2:$B$672,B118)</x:f>
        <x:v>0</x:v>
      </x:c>
    </x:row>
    <x:row r="119" ht="21" customHeight="1">
      <x:c r="A119" s="1" t="str">
        <x:v>60</x:v>
      </x:c>
      <x:c r="B119" s="1" t="str">
        <x:v>800WFGASC</x:v>
      </x:c>
      <x:c r="C119" s="1" t="str">
        <x:v>SOUTHWEST CONVERSION</x:v>
      </x:c>
      <x:c r="D119" s="8" t="n">
        <x:v>0</x:v>
      </x:c>
      <x:c r="E119" s="8" t="n">
        <x:v>0</x:v>
      </x:c>
      <x:c r="F119" s="8" t="n">
        <x:v>0</x:v>
      </x:c>
      <x:c r="G119" s="9" t="n">
        <x:v>14.56</x:v>
      </x:c>
      <x:c r="H119" s="9" t="n">
        <x:v>0</x:v>
      </x:c>
      <x:c r="I119" s="1" t="n">
        <x:v>100</x:v>
      </x:c>
      <x:c r="J119" s="10" t="n">
        <x:v>0</x:v>
      </x:c>
      <x:c r="K119" s="9"/>
      <x:c r="L119" s="9"/>
      <x:c r="M119" s="11" t="n">
        <x:f>IF(P119=1,SUMIFS('PO detail'!$P$2:$P$672,'PO detail'!$A$2:$A$672,A119,'PO detail'!$B$2:$B$672,B119,'PO detail'!$K$2:$K$672,"&lt;="&amp;(K119*1.01)),0)</x:f>
        <x:v>0</x:v>
      </x:c>
      <x:c r="N119" s="11" t="n">
        <x:f>IF(P119=1,D119-M119,0)</x:f>
        <x:v>0</x:v>
      </x:c>
      <x:c r="O119" s="11" t="n">
        <x:f>D119-M119-N119</x:f>
        <x:v>0</x:v>
      </x:c>
      <x:c r="P119" s="15" t="n">
        <x:f>IF(AND(K119&gt;0,ABS(D119-SUMIFS('PO detail'!$P$2:$P$672,'PO detail'!$A$2:$A$672,A119,'PO detail'!$B$2:$B$672,B119))&lt;0.01),1,0)</x:f>
        <x:v>0</x:v>
      </x:c>
      <x:c r="Q119" s="15" t="n">
        <x:f>IF(AND(L119&gt;0,H119&gt;0,ABS(H119-L119)&lt;0.01),1,0)</x:f>
        <x:v>0</x:v>
      </x:c>
      <x:c r="R119" s="15" t="str">
        <x:f>IF(P119=1,"Estimated FIFO layers covered",IF(K119="","No original PO-price baseline","Insufficient dated receipt quantity"))</x:f>
        <x:v>No original PO-price baseline</x:v>
      </x:c>
      <x:c r="S119" s="15" t="n">
        <x:f>SUMIFS('PO detail'!$P$2:$P$672,'PO detail'!$A$2:$A$672,A119,'PO detail'!$B$2:$B$672,B119)</x:f>
        <x:v>0</x:v>
      </x:c>
      <x:c r="T119" s="1" t="str"/>
      <x:c r="U119" s="1" t="str">
        <x:v>Receipt GL and reported valuation; inferred, PrcCostPer not supplied</x:v>
      </x:c>
      <x:c r="V119" s="13" t="n">
        <x:f>G119/I119</x:f>
        <x:v>0.1456</x:v>
      </x:c>
      <x:c r="W119" s="13" t="str">
        <x:f>IF(Q119=1,H119*(1+Summary!$J$5)/I119,"n.a.")</x:f>
        <x:v>n.a.</x:v>
      </x:c>
      <x:c r="X119" s="16" t="n">
        <x:f>D119*V119</x:f>
        <x:v>0</x:v>
      </x:c>
      <x:c r="Y119" s="16" t="n">
        <x:f>M119*V119</x:f>
        <x:v>0</x:v>
      </x:c>
      <x:c r="Z119" s="16" t="n">
        <x:f>N119*V119</x:f>
        <x:v>0</x:v>
      </x:c>
      <x:c r="AA119" s="16" t="n">
        <x:f>O119*V119</x:f>
        <x:v>0</x:v>
      </x:c>
      <x:c r="AB119" s="16" t="n">
        <x:f>J119-X119</x:f>
        <x:v>0</x:v>
      </x:c>
      <x:c r="AC119" s="16" t="str">
        <x:f>IF(ISNUMBER(W119),D119*(W119-V119),"n.a.")</x:f>
        <x:v>n.a.</x:v>
      </x:c>
      <x:c r="AD119" s="12" t="n">
        <x:f>F119-SUMIFS('PO detail'!$S$2:$S$672,'PO detail'!$A$2:$A$672,A119,'PO detail'!$B$2:$B$672,B119)</x:f>
        <x:v>0</x:v>
      </x:c>
    </x:row>
    <x:row r="120" ht="21" customHeight="1">
      <x:c r="A120" s="1" t="str">
        <x:v>60</x:v>
      </x:c>
      <x:c r="B120" s="1" t="str">
        <x:v>800WFGBRC</x:v>
      </x:c>
      <x:c r="C120" s="1" t="str">
        <x:v>SOUTHWEST CONVERSION</x:v>
      </x:c>
      <x:c r="D120" s="8" t="n">
        <x:v>0</x:v>
      </x:c>
      <x:c r="E120" s="8" t="n">
        <x:v>0</x:v>
      </x:c>
      <x:c r="F120" s="8" t="n">
        <x:v>0</x:v>
      </x:c>
      <x:c r="G120" s="9" t="n">
        <x:v>18.47</x:v>
      </x:c>
      <x:c r="H120" s="9" t="n">
        <x:v>0</x:v>
      </x:c>
      <x:c r="I120" s="1" t="n">
        <x:v>100</x:v>
      </x:c>
      <x:c r="J120" s="10" t="n">
        <x:v>0</x:v>
      </x:c>
      <x:c r="K120" s="9"/>
      <x:c r="L120" s="9"/>
      <x:c r="M120" s="11" t="n">
        <x:f>IF(P120=1,SUMIFS('PO detail'!$P$2:$P$672,'PO detail'!$A$2:$A$672,A120,'PO detail'!$B$2:$B$672,B120,'PO detail'!$K$2:$K$672,"&lt;="&amp;(K120*1.01)),0)</x:f>
        <x:v>0</x:v>
      </x:c>
      <x:c r="N120" s="11" t="n">
        <x:f>IF(P120=1,D120-M120,0)</x:f>
        <x:v>0</x:v>
      </x:c>
      <x:c r="O120" s="11" t="n">
        <x:f>D120-M120-N120</x:f>
        <x:v>0</x:v>
      </x:c>
      <x:c r="P120" s="15" t="n">
        <x:f>IF(AND(K120&gt;0,ABS(D120-SUMIFS('PO detail'!$P$2:$P$672,'PO detail'!$A$2:$A$672,A120,'PO detail'!$B$2:$B$672,B120))&lt;0.01),1,0)</x:f>
        <x:v>0</x:v>
      </x:c>
      <x:c r="Q120" s="15" t="n">
        <x:f>IF(AND(L120&gt;0,H120&gt;0,ABS(H120-L120)&lt;0.01),1,0)</x:f>
        <x:v>0</x:v>
      </x:c>
      <x:c r="R120" s="15" t="str">
        <x:f>IF(P120=1,"Estimated FIFO layers covered",IF(K120="","No original PO-price baseline","Insufficient dated receipt quantity"))</x:f>
        <x:v>No original PO-price baseline</x:v>
      </x:c>
      <x:c r="S120" s="15" t="n">
        <x:f>SUMIFS('PO detail'!$P$2:$P$672,'PO detail'!$A$2:$A$672,A120,'PO detail'!$B$2:$B$672,B120)</x:f>
        <x:v>0</x:v>
      </x:c>
      <x:c r="T120" s="1" t="str"/>
      <x:c r="U120" s="1" t="str">
        <x:v>Receipt GL and reported valuation; inferred, PrcCostPer not supplied</x:v>
      </x:c>
      <x:c r="V120" s="13" t="n">
        <x:f>G120/I120</x:f>
        <x:v>0.18469999999999998</x:v>
      </x:c>
      <x:c r="W120" s="13" t="str">
        <x:f>IF(Q120=1,H120*(1+Summary!$J$5)/I120,"n.a.")</x:f>
        <x:v>n.a.</x:v>
      </x:c>
      <x:c r="X120" s="16" t="n">
        <x:f>D120*V120</x:f>
        <x:v>0</x:v>
      </x:c>
      <x:c r="Y120" s="16" t="n">
        <x:f>M120*V120</x:f>
        <x:v>0</x:v>
      </x:c>
      <x:c r="Z120" s="16" t="n">
        <x:f>N120*V120</x:f>
        <x:v>0</x:v>
      </x:c>
      <x:c r="AA120" s="16" t="n">
        <x:f>O120*V120</x:f>
        <x:v>0</x:v>
      </x:c>
      <x:c r="AB120" s="16" t="n">
        <x:f>J120-X120</x:f>
        <x:v>0</x:v>
      </x:c>
      <x:c r="AC120" s="16" t="str">
        <x:f>IF(ISNUMBER(W120),D120*(W120-V120),"n.a.")</x:f>
        <x:v>n.a.</x:v>
      </x:c>
      <x:c r="AD120" s="12" t="n">
        <x:f>F120-SUMIFS('PO detail'!$S$2:$S$672,'PO detail'!$A$2:$A$672,A120,'PO detail'!$B$2:$B$672,B120)</x:f>
        <x:v>0</x:v>
      </x:c>
    </x:row>
    <x:row r="121" ht="21" customHeight="1">
      <x:c r="A121" s="1" t="str">
        <x:v>60</x:v>
      </x:c>
      <x:c r="B121" s="1" t="str">
        <x:v>800WMARASC</x:v>
      </x:c>
      <x:c r="C121" s="1" t="str">
        <x:v>SOUTHWEST CONVERSION</x:v>
      </x:c>
      <x:c r="D121" s="8" t="n">
        <x:v>0</x:v>
      </x:c>
      <x:c r="E121" s="8" t="n">
        <x:v>0</x:v>
      </x:c>
      <x:c r="F121" s="8" t="n">
        <x:v>0</x:v>
      </x:c>
      <x:c r="G121" s="9" t="n">
        <x:v>13.83</x:v>
      </x:c>
      <x:c r="H121" s="9" t="n">
        <x:v>0</x:v>
      </x:c>
      <x:c r="I121" s="1" t="n">
        <x:v>100</x:v>
      </x:c>
      <x:c r="J121" s="10" t="n">
        <x:v>0</x:v>
      </x:c>
      <x:c r="K121" s="9"/>
      <x:c r="L121" s="9"/>
      <x:c r="M121" s="11" t="n">
        <x:f>IF(P121=1,SUMIFS('PO detail'!$P$2:$P$672,'PO detail'!$A$2:$A$672,A121,'PO detail'!$B$2:$B$672,B121,'PO detail'!$K$2:$K$672,"&lt;="&amp;(K121*1.01)),0)</x:f>
        <x:v>0</x:v>
      </x:c>
      <x:c r="N121" s="11" t="n">
        <x:f>IF(P121=1,D121-M121,0)</x:f>
        <x:v>0</x:v>
      </x:c>
      <x:c r="O121" s="11" t="n">
        <x:f>D121-M121-N121</x:f>
        <x:v>0</x:v>
      </x:c>
      <x:c r="P121" s="15" t="n">
        <x:f>IF(AND(K121&gt;0,ABS(D121-SUMIFS('PO detail'!$P$2:$P$672,'PO detail'!$A$2:$A$672,A121,'PO detail'!$B$2:$B$672,B121))&lt;0.01),1,0)</x:f>
        <x:v>0</x:v>
      </x:c>
      <x:c r="Q121" s="15" t="n">
        <x:f>IF(AND(L121&gt;0,H121&gt;0,ABS(H121-L121)&lt;0.01),1,0)</x:f>
        <x:v>0</x:v>
      </x:c>
      <x:c r="R121" s="15" t="str">
        <x:f>IF(P121=1,"Estimated FIFO layers covered",IF(K121="","No original PO-price baseline","Insufficient dated receipt quantity"))</x:f>
        <x:v>No original PO-price baseline</x:v>
      </x:c>
      <x:c r="S121" s="15" t="n">
        <x:f>SUMIFS('PO detail'!$P$2:$P$672,'PO detail'!$A$2:$A$672,A121,'PO detail'!$B$2:$B$672,B121)</x:f>
        <x:v>0</x:v>
      </x:c>
      <x:c r="T121" s="1" t="str"/>
      <x:c r="U121" s="1" t="str">
        <x:v>Receipt GL and reported valuation; inferred, PrcCostPer not supplied</x:v>
      </x:c>
      <x:c r="V121" s="13" t="n">
        <x:f>G121/I121</x:f>
        <x:v>0.1383</x:v>
      </x:c>
      <x:c r="W121" s="13" t="str">
        <x:f>IF(Q121=1,H121*(1+Summary!$J$5)/I121,"n.a.")</x:f>
        <x:v>n.a.</x:v>
      </x:c>
      <x:c r="X121" s="16" t="n">
        <x:f>D121*V121</x:f>
        <x:v>0</x:v>
      </x:c>
      <x:c r="Y121" s="16" t="n">
        <x:f>M121*V121</x:f>
        <x:v>0</x:v>
      </x:c>
      <x:c r="Z121" s="16" t="n">
        <x:f>N121*V121</x:f>
        <x:v>0</x:v>
      </x:c>
      <x:c r="AA121" s="16" t="n">
        <x:f>O121*V121</x:f>
        <x:v>0</x:v>
      </x:c>
      <x:c r="AB121" s="16" t="n">
        <x:f>J121-X121</x:f>
        <x:v>0</x:v>
      </x:c>
      <x:c r="AC121" s="16" t="str">
        <x:f>IF(ISNUMBER(W121),D121*(W121-V121),"n.a.")</x:f>
        <x:v>n.a.</x:v>
      </x:c>
      <x:c r="AD121" s="12" t="n">
        <x:f>F121-SUMIFS('PO detail'!$S$2:$S$672,'PO detail'!$A$2:$A$672,A121,'PO detail'!$B$2:$B$672,B121)</x:f>
        <x:v>0</x:v>
      </x:c>
    </x:row>
    <x:row r="122" ht="21" customHeight="1">
      <x:c r="A122" s="1" t="str">
        <x:v>60</x:v>
      </x:c>
      <x:c r="B122" s="1" t="str">
        <x:v>800WMARBRC</x:v>
      </x:c>
      <x:c r="C122" s="1" t="str">
        <x:v>SOUTHWEST CONVERSION</x:v>
      </x:c>
      <x:c r="D122" s="8" t="n">
        <x:v>0</x:v>
      </x:c>
      <x:c r="E122" s="8" t="n">
        <x:v>0</x:v>
      </x:c>
      <x:c r="F122" s="8" t="n">
        <x:v>0</x:v>
      </x:c>
      <x:c r="G122" s="9" t="n">
        <x:v>17.35</x:v>
      </x:c>
      <x:c r="H122" s="9" t="n">
        <x:v>0</x:v>
      </x:c>
      <x:c r="I122" s="1" t="n">
        <x:v>100</x:v>
      </x:c>
      <x:c r="J122" s="10" t="n">
        <x:v>0</x:v>
      </x:c>
      <x:c r="K122" s="9"/>
      <x:c r="L122" s="9"/>
      <x:c r="M122" s="11" t="n">
        <x:f>IF(P122=1,SUMIFS('PO detail'!$P$2:$P$672,'PO detail'!$A$2:$A$672,A122,'PO detail'!$B$2:$B$672,B122,'PO detail'!$K$2:$K$672,"&lt;="&amp;(K122*1.01)),0)</x:f>
        <x:v>0</x:v>
      </x:c>
      <x:c r="N122" s="11" t="n">
        <x:f>IF(P122=1,D122-M122,0)</x:f>
        <x:v>0</x:v>
      </x:c>
      <x:c r="O122" s="11" t="n">
        <x:f>D122-M122-N122</x:f>
        <x:v>0</x:v>
      </x:c>
      <x:c r="P122" s="15" t="n">
        <x:f>IF(AND(K122&gt;0,ABS(D122-SUMIFS('PO detail'!$P$2:$P$672,'PO detail'!$A$2:$A$672,A122,'PO detail'!$B$2:$B$672,B122))&lt;0.01),1,0)</x:f>
        <x:v>0</x:v>
      </x:c>
      <x:c r="Q122" s="15" t="n">
        <x:f>IF(AND(L122&gt;0,H122&gt;0,ABS(H122-L122)&lt;0.01),1,0)</x:f>
        <x:v>0</x:v>
      </x:c>
      <x:c r="R122" s="15" t="str">
        <x:f>IF(P122=1,"Estimated FIFO layers covered",IF(K122="","No original PO-price baseline","Insufficient dated receipt quantity"))</x:f>
        <x:v>No original PO-price baseline</x:v>
      </x:c>
      <x:c r="S122" s="15" t="n">
        <x:f>SUMIFS('PO detail'!$P$2:$P$672,'PO detail'!$A$2:$A$672,A122,'PO detail'!$B$2:$B$672,B122)</x:f>
        <x:v>0</x:v>
      </x:c>
      <x:c r="T122" s="1" t="str"/>
      <x:c r="U122" s="1" t="str">
        <x:v>Receipt GL and reported valuation; inferred, PrcCostPer not supplied</x:v>
      </x:c>
      <x:c r="V122" s="13" t="n">
        <x:f>G122/I122</x:f>
        <x:v>0.17350000000000002</x:v>
      </x:c>
      <x:c r="W122" s="13" t="str">
        <x:f>IF(Q122=1,H122*(1+Summary!$J$5)/I122,"n.a.")</x:f>
        <x:v>n.a.</x:v>
      </x:c>
      <x:c r="X122" s="16" t="n">
        <x:f>D122*V122</x:f>
        <x:v>0</x:v>
      </x:c>
      <x:c r="Y122" s="16" t="n">
        <x:f>M122*V122</x:f>
        <x:v>0</x:v>
      </x:c>
      <x:c r="Z122" s="16" t="n">
        <x:f>N122*V122</x:f>
        <x:v>0</x:v>
      </x:c>
      <x:c r="AA122" s="16" t="n">
        <x:f>O122*V122</x:f>
        <x:v>0</x:v>
      </x:c>
      <x:c r="AB122" s="16" t="n">
        <x:f>J122-X122</x:f>
        <x:v>0</x:v>
      </x:c>
      <x:c r="AC122" s="16" t="str">
        <x:f>IF(ISNUMBER(W122),D122*(W122-V122),"n.a.")</x:f>
        <x:v>n.a.</x:v>
      </x:c>
      <x:c r="AD122" s="12" t="n">
        <x:f>F122-SUMIFS('PO detail'!$S$2:$S$672,'PO detail'!$A$2:$A$672,A122,'PO detail'!$B$2:$B$672,B122)</x:f>
        <x:v>0</x:v>
      </x:c>
    </x:row>
    <x:row r="123" ht="21" customHeight="1">
      <x:c r="A123" s="1" t="str">
        <x:v>60</x:v>
      </x:c>
      <x:c r="B123" s="1" t="str">
        <x:v>800WNAVBRC</x:v>
      </x:c>
      <x:c r="C123" s="1" t="str">
        <x:v>SOUTHWEST CONVERSION</x:v>
      </x:c>
      <x:c r="D123" s="8" t="n">
        <x:v>0</x:v>
      </x:c>
      <x:c r="E123" s="8" t="n">
        <x:v>0</x:v>
      </x:c>
      <x:c r="F123" s="8" t="n">
        <x:v>0</x:v>
      </x:c>
      <x:c r="G123" s="9" t="n">
        <x:v>17.35</x:v>
      </x:c>
      <x:c r="H123" s="9" t="n">
        <x:v>0</x:v>
      </x:c>
      <x:c r="I123" s="1" t="n">
        <x:v>100</x:v>
      </x:c>
      <x:c r="J123" s="10" t="n">
        <x:v>0</x:v>
      </x:c>
      <x:c r="K123" s="9"/>
      <x:c r="L123" s="9"/>
      <x:c r="M123" s="11" t="n">
        <x:f>IF(P123=1,SUMIFS('PO detail'!$P$2:$P$672,'PO detail'!$A$2:$A$672,A123,'PO detail'!$B$2:$B$672,B123,'PO detail'!$K$2:$K$672,"&lt;="&amp;(K123*1.01)),0)</x:f>
        <x:v>0</x:v>
      </x:c>
      <x:c r="N123" s="11" t="n">
        <x:f>IF(P123=1,D123-M123,0)</x:f>
        <x:v>0</x:v>
      </x:c>
      <x:c r="O123" s="11" t="n">
        <x:f>D123-M123-N123</x:f>
        <x:v>0</x:v>
      </x:c>
      <x:c r="P123" s="15" t="n">
        <x:f>IF(AND(K123&gt;0,ABS(D123-SUMIFS('PO detail'!$P$2:$P$672,'PO detail'!$A$2:$A$672,A123,'PO detail'!$B$2:$B$672,B123))&lt;0.01),1,0)</x:f>
        <x:v>0</x:v>
      </x:c>
      <x:c r="Q123" s="15" t="n">
        <x:f>IF(AND(L123&gt;0,H123&gt;0,ABS(H123-L123)&lt;0.01),1,0)</x:f>
        <x:v>0</x:v>
      </x:c>
      <x:c r="R123" s="15" t="str">
        <x:f>IF(P123=1,"Estimated FIFO layers covered",IF(K123="","No original PO-price baseline","Insufficient dated receipt quantity"))</x:f>
        <x:v>No original PO-price baseline</x:v>
      </x:c>
      <x:c r="S123" s="15" t="n">
        <x:f>SUMIFS('PO detail'!$P$2:$P$672,'PO detail'!$A$2:$A$672,A123,'PO detail'!$B$2:$B$672,B123)</x:f>
        <x:v>0</x:v>
      </x:c>
      <x:c r="T123" s="1" t="str"/>
      <x:c r="U123" s="1" t="str">
        <x:v>Receipt GL and reported valuation; inferred, PrcCostPer not supplied</x:v>
      </x:c>
      <x:c r="V123" s="13" t="n">
        <x:f>G123/I123</x:f>
        <x:v>0.17350000000000002</x:v>
      </x:c>
      <x:c r="W123" s="13" t="str">
        <x:f>IF(Q123=1,H123*(1+Summary!$J$5)/I123,"n.a.")</x:f>
        <x:v>n.a.</x:v>
      </x:c>
      <x:c r="X123" s="16" t="n">
        <x:f>D123*V123</x:f>
        <x:v>0</x:v>
      </x:c>
      <x:c r="Y123" s="16" t="n">
        <x:f>M123*V123</x:f>
        <x:v>0</x:v>
      </x:c>
      <x:c r="Z123" s="16" t="n">
        <x:f>N123*V123</x:f>
        <x:v>0</x:v>
      </x:c>
      <x:c r="AA123" s="16" t="n">
        <x:f>O123*V123</x:f>
        <x:v>0</x:v>
      </x:c>
      <x:c r="AB123" s="16" t="n">
        <x:f>J123-X123</x:f>
        <x:v>0</x:v>
      </x:c>
      <x:c r="AC123" s="16" t="str">
        <x:f>IF(ISNUMBER(W123),D123*(W123-V123),"n.a.")</x:f>
        <x:v>n.a.</x:v>
      </x:c>
      <x:c r="AD123" s="12" t="n">
        <x:f>F123-SUMIFS('PO detail'!$S$2:$S$672,'PO detail'!$A$2:$A$672,A123,'PO detail'!$B$2:$B$672,B123)</x:f>
        <x:v>0</x:v>
      </x:c>
    </x:row>
    <x:row r="124" ht="21" customHeight="1">
      <x:c r="A124" s="1" t="str">
        <x:v>60</x:v>
      </x:c>
      <x:c r="B124" s="1" t="str">
        <x:v>800WREDASC</x:v>
      </x:c>
      <x:c r="C124" s="1" t="str">
        <x:v>SOUTHWEST CONVERSION</x:v>
      </x:c>
      <x:c r="D124" s="8" t="n">
        <x:v>0</x:v>
      </x:c>
      <x:c r="E124" s="8" t="n">
        <x:v>0</x:v>
      </x:c>
      <x:c r="F124" s="8" t="n">
        <x:v>0</x:v>
      </x:c>
      <x:c r="G124" s="9" t="n">
        <x:v>7.92</x:v>
      </x:c>
      <x:c r="H124" s="9" t="n">
        <x:v>0</x:v>
      </x:c>
      <x:c r="I124" s="1" t="n">
        <x:v>100</x:v>
      </x:c>
      <x:c r="J124" s="10" t="n">
        <x:v>0</x:v>
      </x:c>
      <x:c r="K124" s="9"/>
      <x:c r="L124" s="9"/>
      <x:c r="M124" s="11" t="n">
        <x:f>IF(P124=1,SUMIFS('PO detail'!$P$2:$P$672,'PO detail'!$A$2:$A$672,A124,'PO detail'!$B$2:$B$672,B124,'PO detail'!$K$2:$K$672,"&lt;="&amp;(K124*1.01)),0)</x:f>
        <x:v>0</x:v>
      </x:c>
      <x:c r="N124" s="11" t="n">
        <x:f>IF(P124=1,D124-M124,0)</x:f>
        <x:v>0</x:v>
      </x:c>
      <x:c r="O124" s="11" t="n">
        <x:f>D124-M124-N124</x:f>
        <x:v>0</x:v>
      </x:c>
      <x:c r="P124" s="15" t="n">
        <x:f>IF(AND(K124&gt;0,ABS(D124-SUMIFS('PO detail'!$P$2:$P$672,'PO detail'!$A$2:$A$672,A124,'PO detail'!$B$2:$B$672,B124))&lt;0.01),1,0)</x:f>
        <x:v>0</x:v>
      </x:c>
      <x:c r="Q124" s="15" t="n">
        <x:f>IF(AND(L124&gt;0,H124&gt;0,ABS(H124-L124)&lt;0.01),1,0)</x:f>
        <x:v>0</x:v>
      </x:c>
      <x:c r="R124" s="15" t="str">
        <x:f>IF(P124=1,"Estimated FIFO layers covered",IF(K124="","No original PO-price baseline","Insufficient dated receipt quantity"))</x:f>
        <x:v>No original PO-price baseline</x:v>
      </x:c>
      <x:c r="S124" s="15" t="n">
        <x:f>SUMIFS('PO detail'!$P$2:$P$672,'PO detail'!$A$2:$A$672,A124,'PO detail'!$B$2:$B$672,B124)</x:f>
        <x:v>0</x:v>
      </x:c>
      <x:c r="T124" s="1" t="str"/>
      <x:c r="U124" s="1" t="str">
        <x:v>Receipt GL and reported valuation; inferred, PrcCostPer not supplied</x:v>
      </x:c>
      <x:c r="V124" s="13" t="n">
        <x:f>G124/I124</x:f>
        <x:v>0.07919999999999999</x:v>
      </x:c>
      <x:c r="W124" s="13" t="str">
        <x:f>IF(Q124=1,H124*(1+Summary!$J$5)/I124,"n.a.")</x:f>
        <x:v>n.a.</x:v>
      </x:c>
      <x:c r="X124" s="16" t="n">
        <x:f>D124*V124</x:f>
        <x:v>0</x:v>
      </x:c>
      <x:c r="Y124" s="16" t="n">
        <x:f>M124*V124</x:f>
        <x:v>0</x:v>
      </x:c>
      <x:c r="Z124" s="16" t="n">
        <x:f>N124*V124</x:f>
        <x:v>0</x:v>
      </x:c>
      <x:c r="AA124" s="16" t="n">
        <x:f>O124*V124</x:f>
        <x:v>0</x:v>
      </x:c>
      <x:c r="AB124" s="16" t="n">
        <x:f>J124-X124</x:f>
        <x:v>0</x:v>
      </x:c>
      <x:c r="AC124" s="16" t="str">
        <x:f>IF(ISNUMBER(W124),D124*(W124-V124),"n.a.")</x:f>
        <x:v>n.a.</x:v>
      </x:c>
      <x:c r="AD124" s="12" t="n">
        <x:f>F124-SUMIFS('PO detail'!$S$2:$S$672,'PO detail'!$A$2:$A$672,A124,'PO detail'!$B$2:$B$672,B124)</x:f>
        <x:v>0</x:v>
      </x:c>
    </x:row>
    <x:row r="125" ht="21" customHeight="1">
      <x:c r="A125" s="1" t="str">
        <x:v>60</x:v>
      </x:c>
      <x:c r="B125" s="1" t="str">
        <x:v>800WREDBRC</x:v>
      </x:c>
      <x:c r="C125" s="1" t="str">
        <x:v>SOUTHWEST CONVERSION</x:v>
      </x:c>
      <x:c r="D125" s="8" t="n">
        <x:v>0</x:v>
      </x:c>
      <x:c r="E125" s="8" t="n">
        <x:v>0</x:v>
      </x:c>
      <x:c r="F125" s="8" t="n">
        <x:v>0</x:v>
      </x:c>
      <x:c r="G125" s="9" t="n">
        <x:v>8.98</x:v>
      </x:c>
      <x:c r="H125" s="9" t="n">
        <x:v>0</x:v>
      </x:c>
      <x:c r="I125" s="1" t="n">
        <x:v>100</x:v>
      </x:c>
      <x:c r="J125" s="10" t="n">
        <x:v>0</x:v>
      </x:c>
      <x:c r="K125" s="9"/>
      <x:c r="L125" s="9"/>
      <x:c r="M125" s="11" t="n">
        <x:f>IF(P125=1,SUMIFS('PO detail'!$P$2:$P$672,'PO detail'!$A$2:$A$672,A125,'PO detail'!$B$2:$B$672,B125,'PO detail'!$K$2:$K$672,"&lt;="&amp;(K125*1.01)),0)</x:f>
        <x:v>0</x:v>
      </x:c>
      <x:c r="N125" s="11" t="n">
        <x:f>IF(P125=1,D125-M125,0)</x:f>
        <x:v>0</x:v>
      </x:c>
      <x:c r="O125" s="11" t="n">
        <x:f>D125-M125-N125</x:f>
        <x:v>0</x:v>
      </x:c>
      <x:c r="P125" s="15" t="n">
        <x:f>IF(AND(K125&gt;0,ABS(D125-SUMIFS('PO detail'!$P$2:$P$672,'PO detail'!$A$2:$A$672,A125,'PO detail'!$B$2:$B$672,B125))&lt;0.01),1,0)</x:f>
        <x:v>0</x:v>
      </x:c>
      <x:c r="Q125" s="15" t="n">
        <x:f>IF(AND(L125&gt;0,H125&gt;0,ABS(H125-L125)&lt;0.01),1,0)</x:f>
        <x:v>0</x:v>
      </x:c>
      <x:c r="R125" s="15" t="str">
        <x:f>IF(P125=1,"Estimated FIFO layers covered",IF(K125="","No original PO-price baseline","Insufficient dated receipt quantity"))</x:f>
        <x:v>No original PO-price baseline</x:v>
      </x:c>
      <x:c r="S125" s="15" t="n">
        <x:f>SUMIFS('PO detail'!$P$2:$P$672,'PO detail'!$A$2:$A$672,A125,'PO detail'!$B$2:$B$672,B125)</x:f>
        <x:v>0</x:v>
      </x:c>
      <x:c r="T125" s="1" t="str"/>
      <x:c r="U125" s="1" t="str">
        <x:v>Receipt GL and reported valuation; inferred, PrcCostPer not supplied</x:v>
      </x:c>
      <x:c r="V125" s="13" t="n">
        <x:f>G125/I125</x:f>
        <x:v>0.0898</x:v>
      </x:c>
      <x:c r="W125" s="13" t="str">
        <x:f>IF(Q125=1,H125*(1+Summary!$J$5)/I125,"n.a.")</x:f>
        <x:v>n.a.</x:v>
      </x:c>
      <x:c r="X125" s="16" t="n">
        <x:f>D125*V125</x:f>
        <x:v>0</x:v>
      </x:c>
      <x:c r="Y125" s="16" t="n">
        <x:f>M125*V125</x:f>
        <x:v>0</x:v>
      </x:c>
      <x:c r="Z125" s="16" t="n">
        <x:f>N125*V125</x:f>
        <x:v>0</x:v>
      </x:c>
      <x:c r="AA125" s="16" t="n">
        <x:f>O125*V125</x:f>
        <x:v>0</x:v>
      </x:c>
      <x:c r="AB125" s="16" t="n">
        <x:f>J125-X125</x:f>
        <x:v>0</x:v>
      </x:c>
      <x:c r="AC125" s="16" t="str">
        <x:f>IF(ISNUMBER(W125),D125*(W125-V125),"n.a.")</x:f>
        <x:v>n.a.</x:v>
      </x:c>
      <x:c r="AD125" s="12" t="n">
        <x:f>F125-SUMIFS('PO detail'!$S$2:$S$672,'PO detail'!$A$2:$A$672,A125,'PO detail'!$B$2:$B$672,B125)</x:f>
        <x:v>0</x:v>
      </x:c>
    </x:row>
    <x:row r="126" ht="21" customHeight="1">
      <x:c r="A126" s="1" t="str">
        <x:v>60</x:v>
      </x:c>
      <x:c r="B126" s="1" t="str">
        <x:v>800WWHTASC</x:v>
      </x:c>
      <x:c r="C126" s="1" t="str">
        <x:v>SOUTHWEST CONVERSION</x:v>
      </x:c>
      <x:c r="D126" s="8" t="n">
        <x:v>0</x:v>
      </x:c>
      <x:c r="E126" s="8" t="n">
        <x:v>0</x:v>
      </x:c>
      <x:c r="F126" s="8" t="n">
        <x:v>0</x:v>
      </x:c>
      <x:c r="G126" s="9" t="n">
        <x:v>14.56</x:v>
      </x:c>
      <x:c r="H126" s="9" t="n">
        <x:v>0</x:v>
      </x:c>
      <x:c r="I126" s="1" t="n">
        <x:v>100</x:v>
      </x:c>
      <x:c r="J126" s="10" t="n">
        <x:v>0</x:v>
      </x:c>
      <x:c r="K126" s="9"/>
      <x:c r="L126" s="9"/>
      <x:c r="M126" s="11" t="n">
        <x:f>IF(P126=1,SUMIFS('PO detail'!$P$2:$P$672,'PO detail'!$A$2:$A$672,A126,'PO detail'!$B$2:$B$672,B126,'PO detail'!$K$2:$K$672,"&lt;="&amp;(K126*1.01)),0)</x:f>
        <x:v>0</x:v>
      </x:c>
      <x:c r="N126" s="11" t="n">
        <x:f>IF(P126=1,D126-M126,0)</x:f>
        <x:v>0</x:v>
      </x:c>
      <x:c r="O126" s="11" t="n">
        <x:f>D126-M126-N126</x:f>
        <x:v>0</x:v>
      </x:c>
      <x:c r="P126" s="15" t="n">
        <x:f>IF(AND(K126&gt;0,ABS(D126-SUMIFS('PO detail'!$P$2:$P$672,'PO detail'!$A$2:$A$672,A126,'PO detail'!$B$2:$B$672,B126))&lt;0.01),1,0)</x:f>
        <x:v>0</x:v>
      </x:c>
      <x:c r="Q126" s="15" t="n">
        <x:f>IF(AND(L126&gt;0,H126&gt;0,ABS(H126-L126)&lt;0.01),1,0)</x:f>
        <x:v>0</x:v>
      </x:c>
      <x:c r="R126" s="15" t="str">
        <x:f>IF(P126=1,"Estimated FIFO layers covered",IF(K126="","No original PO-price baseline","Insufficient dated receipt quantity"))</x:f>
        <x:v>No original PO-price baseline</x:v>
      </x:c>
      <x:c r="S126" s="15" t="n">
        <x:f>SUMIFS('PO detail'!$P$2:$P$672,'PO detail'!$A$2:$A$672,A126,'PO detail'!$B$2:$B$672,B126)</x:f>
        <x:v>0</x:v>
      </x:c>
      <x:c r="T126" s="1" t="str"/>
      <x:c r="U126" s="1" t="str">
        <x:v>Receipt GL and reported valuation; inferred, PrcCostPer not supplied</x:v>
      </x:c>
      <x:c r="V126" s="13" t="n">
        <x:f>G126/I126</x:f>
        <x:v>0.1456</x:v>
      </x:c>
      <x:c r="W126" s="13" t="str">
        <x:f>IF(Q126=1,H126*(1+Summary!$J$5)/I126,"n.a.")</x:f>
        <x:v>n.a.</x:v>
      </x:c>
      <x:c r="X126" s="16" t="n">
        <x:f>D126*V126</x:f>
        <x:v>0</x:v>
      </x:c>
      <x:c r="Y126" s="16" t="n">
        <x:f>M126*V126</x:f>
        <x:v>0</x:v>
      </x:c>
      <x:c r="Z126" s="16" t="n">
        <x:f>N126*V126</x:f>
        <x:v>0</x:v>
      </x:c>
      <x:c r="AA126" s="16" t="n">
        <x:f>O126*V126</x:f>
        <x:v>0</x:v>
      </x:c>
      <x:c r="AB126" s="16" t="n">
        <x:f>J126-X126</x:f>
        <x:v>0</x:v>
      </x:c>
      <x:c r="AC126" s="16" t="str">
        <x:f>IF(ISNUMBER(W126),D126*(W126-V126),"n.a.")</x:f>
        <x:v>n.a.</x:v>
      </x:c>
      <x:c r="AD126" s="12" t="n">
        <x:f>F126-SUMIFS('PO detail'!$S$2:$S$672,'PO detail'!$A$2:$A$672,A126,'PO detail'!$B$2:$B$672,B126)</x:f>
        <x:v>0</x:v>
      </x:c>
    </x:row>
    <x:row r="127" ht="21" customHeight="1">
      <x:c r="A127" s="1" t="str">
        <x:v>60</x:v>
      </x:c>
      <x:c r="B127" s="1" t="str">
        <x:v>800WWHTBRC</x:v>
      </x:c>
      <x:c r="C127" s="1" t="str">
        <x:v>SOUTHWEST CONVERSION</x:v>
      </x:c>
      <x:c r="D127" s="8" t="n">
        <x:v>0</x:v>
      </x:c>
      <x:c r="E127" s="8" t="n">
        <x:v>0</x:v>
      </x:c>
      <x:c r="F127" s="8" t="n">
        <x:v>0</x:v>
      </x:c>
      <x:c r="G127" s="9" t="n">
        <x:v>18.47</x:v>
      </x:c>
      <x:c r="H127" s="9" t="n">
        <x:v>0</x:v>
      </x:c>
      <x:c r="I127" s="1" t="n">
        <x:v>100</x:v>
      </x:c>
      <x:c r="J127" s="10" t="n">
        <x:v>0</x:v>
      </x:c>
      <x:c r="K127" s="9"/>
      <x:c r="L127" s="9"/>
      <x:c r="M127" s="11" t="n">
        <x:f>IF(P127=1,SUMIFS('PO detail'!$P$2:$P$672,'PO detail'!$A$2:$A$672,A127,'PO detail'!$B$2:$B$672,B127,'PO detail'!$K$2:$K$672,"&lt;="&amp;(K127*1.01)),0)</x:f>
        <x:v>0</x:v>
      </x:c>
      <x:c r="N127" s="11" t="n">
        <x:f>IF(P127=1,D127-M127,0)</x:f>
        <x:v>0</x:v>
      </x:c>
      <x:c r="O127" s="11" t="n">
        <x:f>D127-M127-N127</x:f>
        <x:v>0</x:v>
      </x:c>
      <x:c r="P127" s="15" t="n">
        <x:f>IF(AND(K127&gt;0,ABS(D127-SUMIFS('PO detail'!$P$2:$P$672,'PO detail'!$A$2:$A$672,A127,'PO detail'!$B$2:$B$672,B127))&lt;0.01),1,0)</x:f>
        <x:v>0</x:v>
      </x:c>
      <x:c r="Q127" s="15" t="n">
        <x:f>IF(AND(L127&gt;0,H127&gt;0,ABS(H127-L127)&lt;0.01),1,0)</x:f>
        <x:v>0</x:v>
      </x:c>
      <x:c r="R127" s="15" t="str">
        <x:f>IF(P127=1,"Estimated FIFO layers covered",IF(K127="","No original PO-price baseline","Insufficient dated receipt quantity"))</x:f>
        <x:v>No original PO-price baseline</x:v>
      </x:c>
      <x:c r="S127" s="15" t="n">
        <x:f>SUMIFS('PO detail'!$P$2:$P$672,'PO detail'!$A$2:$A$672,A127,'PO detail'!$B$2:$B$672,B127)</x:f>
        <x:v>0</x:v>
      </x:c>
      <x:c r="T127" s="1" t="str"/>
      <x:c r="U127" s="1" t="str">
        <x:v>Receipt GL and reported valuation; inferred, PrcCostPer not supplied</x:v>
      </x:c>
      <x:c r="V127" s="13" t="n">
        <x:f>G127/I127</x:f>
        <x:v>0.18469999999999998</x:v>
      </x:c>
      <x:c r="W127" s="13" t="str">
        <x:f>IF(Q127=1,H127*(1+Summary!$J$5)/I127,"n.a.")</x:f>
        <x:v>n.a.</x:v>
      </x:c>
      <x:c r="X127" s="16" t="n">
        <x:f>D127*V127</x:f>
        <x:v>0</x:v>
      </x:c>
      <x:c r="Y127" s="16" t="n">
        <x:f>M127*V127</x:f>
        <x:v>0</x:v>
      </x:c>
      <x:c r="Z127" s="16" t="n">
        <x:f>N127*V127</x:f>
        <x:v>0</x:v>
      </x:c>
      <x:c r="AA127" s="16" t="n">
        <x:f>O127*V127</x:f>
        <x:v>0</x:v>
      </x:c>
      <x:c r="AB127" s="16" t="n">
        <x:f>J127-X127</x:f>
        <x:v>0</x:v>
      </x:c>
      <x:c r="AC127" s="16" t="str">
        <x:f>IF(ISNUMBER(W127),D127*(W127-V127),"n.a.")</x:f>
        <x:v>n.a.</x:v>
      </x:c>
      <x:c r="AD127" s="12" t="n">
        <x:f>F127-SUMIFS('PO detail'!$S$2:$S$672,'PO detail'!$A$2:$A$672,A127,'PO detail'!$B$2:$B$672,B127)</x:f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afea7893273452e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8" hidden="0" customWidth="1"/>
    <x:col min="2" max="2" width="2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42" hidden="0" customWidth="1"/>
    <x:col min="18" max="18" width="42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</x:cols>
  <x:sheetData>
    <x:row r="1" ht="44" customHeight="1">
      <x:c r="A1" s="6" t="str">
        <x:v>Warehouse</x:v>
      </x:c>
      <x:c r="B1" s="6" t="str">
        <x:v>Product</x:v>
      </x:c>
      <x:c r="C1" s="6" t="str">
        <x:v>PO number</x:v>
      </x:c>
      <x:c r="D1" s="6" t="str">
        <x:v>Suffix</x:v>
      </x:c>
      <x:c r="E1" s="6" t="str">
        <x:v>Line</x:v>
      </x:c>
      <x:c r="F1" s="6" t="str">
        <x:v>Receipt date</x:v>
      </x:c>
      <x:c r="G1" s="6" t="str">
        <x:v>Expected date</x:v>
      </x:c>
      <x:c r="H1" s="6" t="str">
        <x:v>Source qtyrcv</x:v>
      </x:c>
      <x:c r="I1" s="6" t="str">
        <x:v>Ordered quantity</x:v>
      </x:c>
      <x:c r="J1" s="6" t="str">
        <x:v>Unit conversion</x:v>
      </x:c>
      <x:c r="K1" s="6" t="str">
        <x:v>PO source cost</x:v>
      </x:c>
      <x:c r="L1" s="6" t="str">
        <x:v>Units per PO cost</x:v>
      </x:c>
      <x:c r="M1" s="6" t="str">
        <x:v>Receipt GL cost</x:v>
      </x:c>
      <x:c r="N1" s="6" t="str">
        <x:v>Status</x:v>
      </x:c>
      <x:c r="O1" s="6" t="str">
        <x:v>Active undated flag</x:v>
      </x:c>
      <x:c r="P1" s="6" t="str">
        <x:v>Estimated current FIFO units</x:v>
      </x:c>
      <x:c r="Q1" s="6" t="str">
        <x:v>Record or incoming price layer</x:v>
      </x:c>
      <x:c r="R1" s="6" t="str">
        <x:v>Source file</x:v>
      </x:c>
      <x:c r="S1" s="6" t="str">
        <x:v>Incoming stock units</x:v>
      </x:c>
      <x:c r="T1" s="6" t="str">
        <x:v>PO cost per stock unit</x:v>
      </x:c>
      <x:c r="U1" s="6" t="str">
        <x:v>Incoming old units</x:v>
      </x:c>
      <x:c r="V1" s="6" t="str">
        <x:v>Incoming higher-cost units</x:v>
      </x:c>
      <x:c r="W1" s="6" t="str">
        <x:v>Incoming unclassified units</x:v>
      </x:c>
      <x:c r="X1" s="6" t="str">
        <x:v>Dated positive receipt units</x:v>
      </x:c>
    </x:row>
    <x:row r="2" ht="21" customHeight="1">
      <x:c r="A2" s="1" t="str">
        <x:v>30</x:v>
      </x:c>
      <x:c r="B2" s="1" t="str">
        <x:v>800BBLKASC</x:v>
      </x:c>
      <x:c r="C2" s="1" t="str">
        <x:v>3003951</x:v>
      </x:c>
      <x:c r="D2" s="1" t="str">
        <x:v>1</x:v>
      </x:c>
      <x:c r="E2" s="1"/>
      <x:c r="F2" s="7" t="n">
        <x:v>46302</x:v>
      </x:c>
      <x:c r="G2" s="7" t="n">
        <x:v>46307</x:v>
      </x:c>
      <x:c r="H2" s="8" t="n">
        <x:v>200000</x:v>
      </x:c>
      <x:c r="I2" s="8"/>
      <x:c r="J2" s="8" t="n">
        <x:v>1</x:v>
      </x:c>
      <x:c r="K2" s="9" t="n">
        <x:v>11.7</x:v>
      </x:c>
      <x:c r="L2" s="8" t="n">
        <x:v>100</x:v>
      </x:c>
      <x:c r="M2" s="10" t="n">
        <x:v>24580</x:v>
      </x:c>
      <x:c r="N2" s="8" t="str">
        <x:v>a</x:v>
      </x:c>
      <x:c r="O2" s="8" t="n">
        <x:v>0</x:v>
      </x:c>
      <x:c r="P2" s="11" t="n">
        <x:f>MIN(X2,MAX(0,SUMIFS('Current inventory'!$D$2:$D$127,'Current inventory'!$A$2:$A$127,A2,'Current inventory'!$B$2:$B$127,B2)-0))</x:f>
        <x:v>191400</x:v>
      </x:c>
      <x:c r="Q2" s="1" t="str">
        <x:v>Received history</x:v>
      </x:c>
      <x:c r="R2" s="1" t="str">
        <x:v>Receipts data film c400 c800 plastic.csv</x:v>
      </x:c>
      <x:c r="S2" s="12" t="n">
        <x:f>IF(O2=1,I2*J2,0)</x:f>
        <x:v>0</x:v>
      </x:c>
      <x:c r="T2" s="13" t="n">
        <x:f>IF(L2&gt;0,K2/L2,"n.a.")</x:f>
        <x:v>0.11699999999999999</x:v>
      </x:c>
      <x:c r="U2" s="12" t="n">
        <x:f>IF(Q2="Old cost",S2,0)</x:f>
        <x:v>0</x:v>
      </x:c>
      <x:c r="V2" s="12" t="n">
        <x:f>IF(Q2="Higher cost",S2,0)</x:f>
        <x:v>0</x:v>
      </x:c>
      <x:c r="W2" s="12" t="n">
        <x:f>IF(Q2="Unclassified",S2,0)</x:f>
        <x:v>0</x:v>
      </x:c>
      <x:c r="X2" s="12" t="n">
        <x:f>IF(AND(ISNUMBER(F2),F2&gt;0,F2&lt;=Summary!$D$5,H2&gt;0),H2*J2,0)</x:f>
        <x:v>200000</x:v>
      </x:c>
    </x:row>
    <x:row r="3" ht="21" customHeight="1">
      <x:c r="A3" s="1" t="str">
        <x:v>10</x:v>
      </x:c>
      <x:c r="B3" s="1" t="str">
        <x:v>800BBLKASC</x:v>
      </x:c>
      <x:c r="C3" s="1" t="str">
        <x:v>1060702</x:v>
      </x:c>
      <x:c r="D3" s="1" t="str">
        <x:v>1</x:v>
      </x:c>
      <x:c r="E3" s="1"/>
      <x:c r="F3" s="7" t="n">
        <x:v>46289</x:v>
      </x:c>
      <x:c r="G3" s="7" t="n">
        <x:v>46318</x:v>
      </x:c>
      <x:c r="H3" s="8" t="n">
        <x:v>480000</x:v>
      </x:c>
      <x:c r="I3" s="8"/>
      <x:c r="J3" s="8" t="n">
        <x:v>1</x:v>
      </x:c>
      <x:c r="K3" s="9" t="n">
        <x:v>11.7</x:v>
      </x:c>
      <x:c r="L3" s="8" t="n">
        <x:v>100</x:v>
      </x:c>
      <x:c r="M3" s="10" t="n">
        <x:v>58992</x:v>
      </x:c>
      <x:c r="N3" s="8" t="str">
        <x:v>i</x:v>
      </x:c>
      <x:c r="O3" s="8" t="n">
        <x:v>0</x:v>
      </x:c>
      <x:c r="P3" s="11" t="n">
        <x:f>MIN(X3,MAX(0,SUMIFS('Current inventory'!$D$2:$D$127,'Current inventory'!$A$2:$A$127,A3,'Current inventory'!$B$2:$B$127,B3)-SUMIFS($X$2:X2,$A$2:A2,A3,$B$2:B2,B3)))</x:f>
        <x:v>480000</x:v>
      </x:c>
      <x:c r="Q3" s="1" t="str">
        <x:v>Received history</x:v>
      </x:c>
      <x:c r="R3" s="1" t="str">
        <x:v>Receipts data film c400 c800 plastic.csv</x:v>
      </x:c>
      <x:c r="S3" s="12" t="n">
        <x:f>IF(O3=1,I3*J3,0)</x:f>
        <x:v>0</x:v>
      </x:c>
      <x:c r="T3" s="13" t="n">
        <x:f>IF(L3&gt;0,K3/L3,"n.a.")</x:f>
        <x:v>0.11699999999999999</x:v>
      </x:c>
      <x:c r="U3" s="12" t="n">
        <x:f>IF(Q3="Old cost",S3,0)</x:f>
        <x:v>0</x:v>
      </x:c>
      <x:c r="V3" s="12" t="n">
        <x:f>IF(Q3="Higher cost",S3,0)</x:f>
        <x:v>0</x:v>
      </x:c>
      <x:c r="W3" s="12" t="n">
        <x:f>IF(Q3="Unclassified",S3,0)</x:f>
        <x:v>0</x:v>
      </x:c>
      <x:c r="X3" s="12" t="n">
        <x:f>IF(AND(ISNUMBER(F3),F3&gt;0,F3&lt;=Summary!$D$5,H3&gt;0),H3*J3,0)</x:f>
        <x:v>480000</x:v>
      </x:c>
    </x:row>
    <x:row r="4" ht="21" customHeight="1">
      <x:c r="A4" s="1" t="str">
        <x:v>10</x:v>
      </x:c>
      <x:c r="B4" s="1" t="str">
        <x:v>800BNAVASC</x:v>
      </x:c>
      <x:c r="C4" s="1" t="str">
        <x:v>1060702</x:v>
      </x:c>
      <x:c r="D4" s="1" t="str">
        <x:v>1</x:v>
      </x:c>
      <x:c r="E4" s="1"/>
      <x:c r="F4" s="7" t="n">
        <x:v>46289</x:v>
      </x:c>
      <x:c r="G4" s="7" t="n">
        <x:v>46318</x:v>
      </x:c>
      <x:c r="H4" s="8" t="n">
        <x:v>0</x:v>
      </x:c>
      <x:c r="I4" s="8"/>
      <x:c r="J4" s="8" t="n">
        <x:v>1</x:v>
      </x:c>
      <x:c r="K4" s="9" t="n">
        <x:v>14.43</x:v>
      </x:c>
      <x:c r="L4" s="8" t="n">
        <x:v>100</x:v>
      </x:c>
      <x:c r="M4" s="10" t="n">
        <x:v>0</x:v>
      </x:c>
      <x:c r="N4" s="8" t="str">
        <x:v>i</x:v>
      </x:c>
      <x:c r="O4" s="8" t="n">
        <x:v>0</x:v>
      </x:c>
      <x:c r="P4" s="11" t="n">
        <x:f>MIN(X4,MAX(0,SUMIFS('Current inventory'!$D$2:$D$127,'Current inventory'!$A$2:$A$127,A4,'Current inventory'!$B$2:$B$127,B4)-SUMIFS($X$2:X3,$A$2:A3,A4,$B$2:B3,B4)))</x:f>
        <x:v>0</x:v>
      </x:c>
      <x:c r="Q4" s="1" t="str">
        <x:v>Received history</x:v>
      </x:c>
      <x:c r="R4" s="1" t="str">
        <x:v>Receipts data film c400 c800 plastic.csv</x:v>
      </x:c>
      <x:c r="S4" s="12" t="n">
        <x:f>IF(O4=1,I4*J4,0)</x:f>
        <x:v>0</x:v>
      </x:c>
      <x:c r="T4" s="13" t="n">
        <x:f>IF(L4&gt;0,K4/L4,"n.a.")</x:f>
        <x:v>0.14429999999999998</x:v>
      </x:c>
      <x:c r="U4" s="12" t="n">
        <x:f>IF(Q4="Old cost",S4,0)</x:f>
        <x:v>0</x:v>
      </x:c>
      <x:c r="V4" s="12" t="n">
        <x:f>IF(Q4="Higher cost",S4,0)</x:f>
        <x:v>0</x:v>
      </x:c>
      <x:c r="W4" s="12" t="n">
        <x:f>IF(Q4="Unclassified",S4,0)</x:f>
        <x:v>0</x:v>
      </x:c>
      <x:c r="X4" s="12" t="n">
        <x:f>IF(AND(ISNUMBER(F4),F4&gt;0,F4&lt;=Summary!$D$5,H4&gt;0),H4*J4,0)</x:f>
        <x:v>0</x:v>
      </x:c>
    </x:row>
    <x:row r="5" ht="21" customHeight="1">
      <x:c r="A5" s="1" t="str">
        <x:v>10</x:v>
      </x:c>
      <x:c r="B5" s="1" t="str">
        <x:v>800NAVE</x:v>
      </x:c>
      <x:c r="C5" s="1" t="str">
        <x:v>1060702</x:v>
      </x:c>
      <x:c r="D5" s="1" t="str">
        <x:v>1</x:v>
      </x:c>
      <x:c r="E5" s="1"/>
      <x:c r="F5" s="7" t="n">
        <x:v>46289</x:v>
      </x:c>
      <x:c r="G5" s="7" t="n">
        <x:v>46318</x:v>
      </x:c>
      <x:c r="H5" s="8" t="n">
        <x:v>9850</x:v>
      </x:c>
      <x:c r="I5" s="8"/>
      <x:c r="J5" s="8" t="n">
        <x:v>1</x:v>
      </x:c>
      <x:c r="K5" s="9" t="n">
        <x:v>993.6</x:v>
      </x:c>
      <x:c r="L5" s="8" t="n">
        <x:v>1000</x:v>
      </x:c>
      <x:c r="M5" s="10" t="n">
        <x:v>10276.31</x:v>
      </x:c>
      <x:c r="N5" s="8" t="str">
        <x:v>i</x:v>
      </x:c>
      <x:c r="O5" s="8" t="n">
        <x:v>0</x:v>
      </x:c>
      <x:c r="P5" s="11" t="n">
        <x:f>MIN(X5,MAX(0,SUMIFS('Current inventory'!$D$2:$D$127,'Current inventory'!$A$2:$A$127,A5,'Current inventory'!$B$2:$B$127,B5)-SUMIFS($X$2:X4,$A$2:A4,A5,$B$2:B4,B5)))</x:f>
        <x:v>9850</x:v>
      </x:c>
      <x:c r="Q5" s="1" t="str">
        <x:v>Received history</x:v>
      </x:c>
      <x:c r="R5" s="1" t="str">
        <x:v>Receipts data film c400 c800 plastic.csv</x:v>
      </x:c>
      <x:c r="S5" s="12" t="n">
        <x:f>IF(O5=1,I5*J5,0)</x:f>
        <x:v>0</x:v>
      </x:c>
      <x:c r="T5" s="13" t="n">
        <x:f>IF(L5&gt;0,K5/L5,"n.a.")</x:f>
        <x:v>0.9936</x:v>
      </x:c>
      <x:c r="U5" s="12" t="n">
        <x:f>IF(Q5="Old cost",S5,0)</x:f>
        <x:v>0</x:v>
      </x:c>
      <x:c r="V5" s="12" t="n">
        <x:f>IF(Q5="Higher cost",S5,0)</x:f>
        <x:v>0</x:v>
      </x:c>
      <x:c r="W5" s="12" t="n">
        <x:f>IF(Q5="Unclassified",S5,0)</x:f>
        <x:v>0</x:v>
      </x:c>
      <x:c r="X5" s="12" t="n">
        <x:f>IF(AND(ISNUMBER(F5),F5&gt;0,F5&lt;=Summary!$D$5,H5&gt;0),H5*J5,0)</x:f>
        <x:v>9850</x:v>
      </x:c>
    </x:row>
    <x:row r="6" ht="21" customHeight="1">
      <x:c r="A6" s="1" t="str">
        <x:v>60</x:v>
      </x:c>
      <x:c r="B6" s="1" t="str">
        <x:v>800BBLKASC</x:v>
      </x:c>
      <x:c r="C6" s="1" t="str">
        <x:v>6102928</x:v>
      </x:c>
      <x:c r="D6" s="1" t="str">
        <x:v>2</x:v>
      </x:c>
      <x:c r="E6" s="1"/>
      <x:c r="F6" s="7" t="n">
        <x:v>46281</x:v>
      </x:c>
      <x:c r="G6" s="7" t="n">
        <x:v>46311</x:v>
      </x:c>
      <x:c r="H6" s="8" t="n">
        <x:v>0</x:v>
      </x:c>
      <x:c r="I6" s="8"/>
      <x:c r="J6" s="8" t="n">
        <x:v>1</x:v>
      </x:c>
      <x:c r="K6" s="9" t="n">
        <x:v>11.7</x:v>
      </x:c>
      <x:c r="L6" s="8" t="n">
        <x:v>100</x:v>
      </x:c>
      <x:c r="M6" s="10" t="n">
        <x:v>0</x:v>
      </x:c>
      <x:c r="N6" s="8" t="str">
        <x:v>i</x:v>
      </x:c>
      <x:c r="O6" s="8" t="n">
        <x:v>0</x:v>
      </x:c>
      <x:c r="P6" s="11" t="n">
        <x:f>MIN(X6,MAX(0,SUMIFS('Current inventory'!$D$2:$D$127,'Current inventory'!$A$2:$A$127,A6,'Current inventory'!$B$2:$B$127,B6)-SUMIFS($X$2:X5,$A$2:A5,A6,$B$2:B5,B6)))</x:f>
        <x:v>0</x:v>
      </x:c>
      <x:c r="Q6" s="1" t="str">
        <x:v>Received history</x:v>
      </x:c>
      <x:c r="R6" s="1" t="str">
        <x:v>Receipts data film c400 c800 plastic.csv</x:v>
      </x:c>
      <x:c r="S6" s="12" t="n">
        <x:f>IF(O6=1,I6*J6,0)</x:f>
        <x:v>0</x:v>
      </x:c>
      <x:c r="T6" s="13" t="n">
        <x:f>IF(L6&gt;0,K6/L6,"n.a.")</x:f>
        <x:v>0.11699999999999999</x:v>
      </x:c>
      <x:c r="U6" s="12" t="n">
        <x:f>IF(Q6="Old cost",S6,0)</x:f>
        <x:v>0</x:v>
      </x:c>
      <x:c r="V6" s="12" t="n">
        <x:f>IF(Q6="Higher cost",S6,0)</x:f>
        <x:v>0</x:v>
      </x:c>
      <x:c r="W6" s="12" t="n">
        <x:f>IF(Q6="Unclassified",S6,0)</x:f>
        <x:v>0</x:v>
      </x:c>
      <x:c r="X6" s="12" t="n">
        <x:f>IF(AND(ISNUMBER(F6),F6&gt;0,F6&lt;=Summary!$D$5,H6&gt;0),H6*J6,0)</x:f>
        <x:v>0</x:v>
      </x:c>
    </x:row>
    <x:row r="7" ht="21" customHeight="1">
      <x:c r="A7" s="1" t="str">
        <x:v>60</x:v>
      </x:c>
      <x:c r="B7" s="1" t="str">
        <x:v>800BNAVASC</x:v>
      </x:c>
      <x:c r="C7" s="1" t="str">
        <x:v>6102928</x:v>
      </x:c>
      <x:c r="D7" s="1" t="str">
        <x:v>2</x:v>
      </x:c>
      <x:c r="E7" s="1"/>
      <x:c r="F7" s="7" t="n">
        <x:v>46281</x:v>
      </x:c>
      <x:c r="G7" s="7" t="n">
        <x:v>46281</x:v>
      </x:c>
      <x:c r="H7" s="8" t="n">
        <x:v>60000</x:v>
      </x:c>
      <x:c r="I7" s="8"/>
      <x:c r="J7" s="8" t="n">
        <x:v>1</x:v>
      </x:c>
      <x:c r="K7" s="9" t="n">
        <x:v>14.43</x:v>
      </x:c>
      <x:c r="L7" s="8" t="n">
        <x:v>100</x:v>
      </x:c>
      <x:c r="M7" s="10" t="n">
        <x:v>9090</x:v>
      </x:c>
      <x:c r="N7" s="8" t="str">
        <x:v>i</x:v>
      </x:c>
      <x:c r="O7" s="8" t="n">
        <x:v>0</x:v>
      </x:c>
      <x:c r="P7" s="11" t="n">
        <x:f>MIN(X7,MAX(0,SUMIFS('Current inventory'!$D$2:$D$127,'Current inventory'!$A$2:$A$127,A7,'Current inventory'!$B$2:$B$127,B7)-SUMIFS($X$2:X6,$A$2:A6,A7,$B$2:B6,B7)))</x:f>
        <x:v>35000</x:v>
      </x:c>
      <x:c r="Q7" s="1" t="str">
        <x:v>Received history</x:v>
      </x:c>
      <x:c r="R7" s="1" t="str">
        <x:v>Receipts data film c400 c800 plastic.csv</x:v>
      </x:c>
      <x:c r="S7" s="12" t="n">
        <x:f>IF(O7=1,I7*J7,0)</x:f>
        <x:v>0</x:v>
      </x:c>
      <x:c r="T7" s="13" t="n">
        <x:f>IF(L7&gt;0,K7/L7,"n.a.")</x:f>
        <x:v>0.14429999999999998</x:v>
      </x:c>
      <x:c r="U7" s="12" t="n">
        <x:f>IF(Q7="Old cost",S7,0)</x:f>
        <x:v>0</x:v>
      </x:c>
      <x:c r="V7" s="12" t="n">
        <x:f>IF(Q7="Higher cost",S7,0)</x:f>
        <x:v>0</x:v>
      </x:c>
      <x:c r="W7" s="12" t="n">
        <x:f>IF(Q7="Unclassified",S7,0)</x:f>
        <x:v>0</x:v>
      </x:c>
      <x:c r="X7" s="12" t="n">
        <x:f>IF(AND(ISNUMBER(F7),F7&gt;0,F7&lt;=Summary!$D$5,H7&gt;0),H7*J7,0)</x:f>
        <x:v>60000</x:v>
      </x:c>
    </x:row>
    <x:row r="8" ht="21" customHeight="1">
      <x:c r="A8" s="1" t="str">
        <x:v>60</x:v>
      </x:c>
      <x:c r="B8" s="1" t="str">
        <x:v>800BNAVASC</x:v>
      </x:c>
      <x:c r="C8" s="1" t="str">
        <x:v>6102915</x:v>
      </x:c>
      <x:c r="D8" s="1" t="str">
        <x:v>3</x:v>
      </x:c>
      <x:c r="E8" s="1"/>
      <x:c r="F8" s="7" t="n">
        <x:v>46281</x:v>
      </x:c>
      <x:c r="G8" s="7" t="n">
        <x:v>46281</x:v>
      </x:c>
      <x:c r="H8" s="8" t="n">
        <x:v>40000</x:v>
      </x:c>
      <x:c r="I8" s="8"/>
      <x:c r="J8" s="8" t="n">
        <x:v>1</x:v>
      </x:c>
      <x:c r="K8" s="9" t="n">
        <x:v>14.43</x:v>
      </x:c>
      <x:c r="L8" s="8" t="n">
        <x:v>100</x:v>
      </x:c>
      <x:c r="M8" s="10" t="n">
        <x:v>6060</x:v>
      </x:c>
      <x:c r="N8" s="8" t="str">
        <x:v>i</x:v>
      </x:c>
      <x:c r="O8" s="8" t="n">
        <x:v>0</x:v>
      </x:c>
      <x:c r="P8" s="11" t="n">
        <x:f>MIN(X8,MAX(0,SUMIFS('Current inventory'!$D$2:$D$127,'Current inventory'!$A$2:$A$127,A8,'Current inventory'!$B$2:$B$127,B8)-SUMIFS($X$2:X7,$A$2:A7,A8,$B$2:B7,B8)))</x:f>
        <x:v>0</x:v>
      </x:c>
      <x:c r="Q8" s="1" t="str">
        <x:v>Received history</x:v>
      </x:c>
      <x:c r="R8" s="1" t="str">
        <x:v>Receipts data film c400 c800 plastic.csv</x:v>
      </x:c>
      <x:c r="S8" s="12" t="n">
        <x:f>IF(O8=1,I8*J8,0)</x:f>
        <x:v>0</x:v>
      </x:c>
      <x:c r="T8" s="13" t="n">
        <x:f>IF(L8&gt;0,K8/L8,"n.a.")</x:f>
        <x:v>0.14429999999999998</x:v>
      </x:c>
      <x:c r="U8" s="12" t="n">
        <x:f>IF(Q8="Old cost",S8,0)</x:f>
        <x:v>0</x:v>
      </x:c>
      <x:c r="V8" s="12" t="n">
        <x:f>IF(Q8="Higher cost",S8,0)</x:f>
        <x:v>0</x:v>
      </x:c>
      <x:c r="W8" s="12" t="n">
        <x:f>IF(Q8="Unclassified",S8,0)</x:f>
        <x:v>0</x:v>
      </x:c>
      <x:c r="X8" s="12" t="n">
        <x:f>IF(AND(ISNUMBER(F8),F8&gt;0,F8&lt;=Summary!$D$5,H8&gt;0),H8*J8,0)</x:f>
        <x:v>40000</x:v>
      </x:c>
    </x:row>
    <x:row r="9" ht="21" customHeight="1">
      <x:c r="A9" s="1" t="str">
        <x:v>60</x:v>
      </x:c>
      <x:c r="B9" s="1" t="str">
        <x:v>800BBLKASC</x:v>
      </x:c>
      <x:c r="C9" s="1" t="str">
        <x:v>6102928</x:v>
      </x:c>
      <x:c r="D9" s="1" t="str">
        <x:v>1</x:v>
      </x:c>
      <x:c r="E9" s="1"/>
      <x:c r="F9" s="7" t="n">
        <x:v>46273</x:v>
      </x:c>
      <x:c r="G9" s="7" t="n">
        <x:v>46290</x:v>
      </x:c>
      <x:c r="H9" s="8" t="n">
        <x:v>0</x:v>
      </x:c>
      <x:c r="I9" s="8"/>
      <x:c r="J9" s="8" t="n">
        <x:v>1</x:v>
      </x:c>
      <x:c r="K9" s="9" t="n">
        <x:v>11.7</x:v>
      </x:c>
      <x:c r="L9" s="8" t="n">
        <x:v>100</x:v>
      </x:c>
      <x:c r="M9" s="10" t="n">
        <x:v>0</x:v>
      </x:c>
      <x:c r="N9" s="8" t="str">
        <x:v>i</x:v>
      </x:c>
      <x:c r="O9" s="8" t="n">
        <x:v>0</x:v>
      </x:c>
      <x:c r="P9" s="11" t="n">
        <x:f>MIN(X9,MAX(0,SUMIFS('Current inventory'!$D$2:$D$127,'Current inventory'!$A$2:$A$127,A9,'Current inventory'!$B$2:$B$127,B9)-SUMIFS($X$2:X8,$A$2:A8,A9,$B$2:B8,B9)))</x:f>
        <x:v>0</x:v>
      </x:c>
      <x:c r="Q9" s="1" t="str">
        <x:v>Received history</x:v>
      </x:c>
      <x:c r="R9" s="1" t="str">
        <x:v>Receipts data film c400 c800 plastic.csv</x:v>
      </x:c>
      <x:c r="S9" s="12" t="n">
        <x:f>IF(O9=1,I9*J9,0)</x:f>
        <x:v>0</x:v>
      </x:c>
      <x:c r="T9" s="13" t="n">
        <x:f>IF(L9&gt;0,K9/L9,"n.a.")</x:f>
        <x:v>0.11699999999999999</x:v>
      </x:c>
      <x:c r="U9" s="12" t="n">
        <x:f>IF(Q9="Old cost",S9,0)</x:f>
        <x:v>0</x:v>
      </x:c>
      <x:c r="V9" s="12" t="n">
        <x:f>IF(Q9="Higher cost",S9,0)</x:f>
        <x:v>0</x:v>
      </x:c>
      <x:c r="W9" s="12" t="n">
        <x:f>IF(Q9="Unclassified",S9,0)</x:f>
        <x:v>0</x:v>
      </x:c>
      <x:c r="X9" s="12" t="n">
        <x:f>IF(AND(ISNUMBER(F9),F9&gt;0,F9&lt;=Summary!$D$5,H9&gt;0),H9*J9,0)</x:f>
        <x:v>0</x:v>
      </x:c>
    </x:row>
    <x:row r="10" ht="21" customHeight="1">
      <x:c r="A10" s="1" t="str">
        <x:v>60</x:v>
      </x:c>
      <x:c r="B10" s="1" t="str">
        <x:v>800BNAVASC</x:v>
      </x:c>
      <x:c r="C10" s="1" t="str">
        <x:v>6102928</x:v>
      </x:c>
      <x:c r="D10" s="1" t="str">
        <x:v>1</x:v>
      </x:c>
      <x:c r="E10" s="1"/>
      <x:c r="F10" s="7" t="n">
        <x:v>46273</x:v>
      </x:c>
      <x:c r="G10" s="7" t="n">
        <x:v>46290</x:v>
      </x:c>
      <x:c r="H10" s="8" t="n">
        <x:v>0</x:v>
      </x:c>
      <x:c r="I10" s="8"/>
      <x:c r="J10" s="8" t="n">
        <x:v>1</x:v>
      </x:c>
      <x:c r="K10" s="9" t="n">
        <x:v>14.43</x:v>
      </x:c>
      <x:c r="L10" s="8" t="n">
        <x:v>100</x:v>
      </x:c>
      <x:c r="M10" s="10" t="n">
        <x:v>0</x:v>
      </x:c>
      <x:c r="N10" s="8" t="str">
        <x:v>i</x:v>
      </x:c>
      <x:c r="O10" s="8" t="n">
        <x:v>0</x:v>
      </x:c>
      <x:c r="P10" s="11" t="n">
        <x:f>MIN(X10,MAX(0,SUMIFS('Current inventory'!$D$2:$D$127,'Current inventory'!$A$2:$A$127,A10,'Current inventory'!$B$2:$B$127,B10)-SUMIFS($X$2:X9,$A$2:A9,A10,$B$2:B9,B10)))</x:f>
        <x:v>0</x:v>
      </x:c>
      <x:c r="Q10" s="1" t="str">
        <x:v>Received history</x:v>
      </x:c>
      <x:c r="R10" s="1" t="str">
        <x:v>Receipts data film c400 c800 plastic.csv</x:v>
      </x:c>
      <x:c r="S10" s="12" t="n">
        <x:f>IF(O10=1,I10*J10,0)</x:f>
        <x:v>0</x:v>
      </x:c>
      <x:c r="T10" s="13" t="n">
        <x:f>IF(L10&gt;0,K10/L10,"n.a.")</x:f>
        <x:v>0.14429999999999998</x:v>
      </x:c>
      <x:c r="U10" s="12" t="n">
        <x:f>IF(Q10="Old cost",S10,0)</x:f>
        <x:v>0</x:v>
      </x:c>
      <x:c r="V10" s="12" t="n">
        <x:f>IF(Q10="Higher cost",S10,0)</x:f>
        <x:v>0</x:v>
      </x:c>
      <x:c r="W10" s="12" t="n">
        <x:f>IF(Q10="Unclassified",S10,0)</x:f>
        <x:v>0</x:v>
      </x:c>
      <x:c r="X10" s="12" t="n">
        <x:f>IF(AND(ISNUMBER(F10),F10&gt;0,F10&lt;=Summary!$D$5,H10&gt;0),H10*J10,0)</x:f>
        <x:v>0</x:v>
      </x:c>
    </x:row>
    <x:row r="11" ht="21" customHeight="1">
      <x:c r="A11" s="1" t="str">
        <x:v>60</x:v>
      </x:c>
      <x:c r="B11" s="1" t="str">
        <x:v>800NAVE</x:v>
      </x:c>
      <x:c r="C11" s="1" t="str">
        <x:v>6102928</x:v>
      </x:c>
      <x:c r="D11" s="1" t="str">
        <x:v>1</x:v>
      </x:c>
      <x:c r="E11" s="1"/>
      <x:c r="F11" s="7" t="n">
        <x:v>46273</x:v>
      </x:c>
      <x:c r="G11" s="7" t="n">
        <x:v>46290</x:v>
      </x:c>
      <x:c r="H11" s="8" t="n">
        <x:v>10000</x:v>
      </x:c>
      <x:c r="I11" s="8"/>
      <x:c r="J11" s="8" t="n">
        <x:v>1</x:v>
      </x:c>
      <x:c r="K11" s="9" t="n">
        <x:v>993.6</x:v>
      </x:c>
      <x:c r="L11" s="8" t="n">
        <x:v>1000</x:v>
      </x:c>
      <x:c r="M11" s="10" t="n">
        <x:v>10432.8</x:v>
      </x:c>
      <x:c r="N11" s="8" t="str">
        <x:v>i</x:v>
      </x:c>
      <x:c r="O11" s="8" t="n">
        <x:v>0</x:v>
      </x:c>
      <x:c r="P11" s="11" t="n">
        <x:f>MIN(X11,MAX(0,SUMIFS('Current inventory'!$D$2:$D$127,'Current inventory'!$A$2:$A$127,A11,'Current inventory'!$B$2:$B$127,B11)-SUMIFS($X$2:X10,$A$2:A10,A11,$B$2:B10,B11)))</x:f>
        <x:v>5401</x:v>
      </x:c>
      <x:c r="Q11" s="1" t="str">
        <x:v>Received history</x:v>
      </x:c>
      <x:c r="R11" s="1" t="str">
        <x:v>Receipts data film c400 c800 plastic.csv</x:v>
      </x:c>
      <x:c r="S11" s="12" t="n">
        <x:f>IF(O11=1,I11*J11,0)</x:f>
        <x:v>0</x:v>
      </x:c>
      <x:c r="T11" s="13" t="n">
        <x:f>IF(L11&gt;0,K11/L11,"n.a.")</x:f>
        <x:v>0.9936</x:v>
      </x:c>
      <x:c r="U11" s="12" t="n">
        <x:f>IF(Q11="Old cost",S11,0)</x:f>
        <x:v>0</x:v>
      </x:c>
      <x:c r="V11" s="12" t="n">
        <x:f>IF(Q11="Higher cost",S11,0)</x:f>
        <x:v>0</x:v>
      </x:c>
      <x:c r="W11" s="12" t="n">
        <x:f>IF(Q11="Unclassified",S11,0)</x:f>
        <x:v>0</x:v>
      </x:c>
      <x:c r="X11" s="12" t="n">
        <x:f>IF(AND(ISNUMBER(F11),F11&gt;0,F11&lt;=Summary!$D$5,H11&gt;0),H11*J11,0)</x:f>
        <x:v>10000</x:v>
      </x:c>
    </x:row>
    <x:row r="12" ht="21" customHeight="1">
      <x:c r="A12" s="1" t="str">
        <x:v>60</x:v>
      </x:c>
      <x:c r="B12" s="1" t="str">
        <x:v>800BNAVASC</x:v>
      </x:c>
      <x:c r="C12" s="1" t="str">
        <x:v>6102915</x:v>
      </x:c>
      <x:c r="D12" s="1" t="str">
        <x:v>2</x:v>
      </x:c>
      <x:c r="E12" s="1"/>
      <x:c r="F12" s="7" t="n">
        <x:v>46273</x:v>
      </x:c>
      <x:c r="G12" s="7" t="n">
        <x:v>46290</x:v>
      </x:c>
      <x:c r="H12" s="8" t="n">
        <x:v>0</x:v>
      </x:c>
      <x:c r="I12" s="8"/>
      <x:c r="J12" s="8" t="n">
        <x:v>1</x:v>
      </x:c>
      <x:c r="K12" s="9" t="n">
        <x:v>14.43</x:v>
      </x:c>
      <x:c r="L12" s="8" t="n">
        <x:v>100</x:v>
      </x:c>
      <x:c r="M12" s="10" t="n">
        <x:v>0</x:v>
      </x:c>
      <x:c r="N12" s="8" t="str">
        <x:v>i</x:v>
      </x:c>
      <x:c r="O12" s="8" t="n">
        <x:v>0</x:v>
      </x:c>
      <x:c r="P12" s="11" t="n">
        <x:f>MIN(X12,MAX(0,SUMIFS('Current inventory'!$D$2:$D$127,'Current inventory'!$A$2:$A$127,A12,'Current inventory'!$B$2:$B$127,B12)-SUMIFS($X$2:X11,$A$2:A11,A12,$B$2:B11,B12)))</x:f>
        <x:v>0</x:v>
      </x:c>
      <x:c r="Q12" s="1" t="str">
        <x:v>Received history</x:v>
      </x:c>
      <x:c r="R12" s="1" t="str">
        <x:v>Receipts data film c400 c800 plastic.csv</x:v>
      </x:c>
      <x:c r="S12" s="12" t="n">
        <x:f>IF(O12=1,I12*J12,0)</x:f>
        <x:v>0</x:v>
      </x:c>
      <x:c r="T12" s="13" t="n">
        <x:f>IF(L12&gt;0,K12/L12,"n.a.")</x:f>
        <x:v>0.14429999999999998</x:v>
      </x:c>
      <x:c r="U12" s="12" t="n">
        <x:f>IF(Q12="Old cost",S12,0)</x:f>
        <x:v>0</x:v>
      </x:c>
      <x:c r="V12" s="12" t="n">
        <x:f>IF(Q12="Higher cost",S12,0)</x:f>
        <x:v>0</x:v>
      </x:c>
      <x:c r="W12" s="12" t="n">
        <x:f>IF(Q12="Unclassified",S12,0)</x:f>
        <x:v>0</x:v>
      </x:c>
      <x:c r="X12" s="12" t="n">
        <x:f>IF(AND(ISNUMBER(F12),F12&gt;0,F12&lt;=Summary!$D$5,H12&gt;0),H12*J12,0)</x:f>
        <x:v>0</x:v>
      </x:c>
    </x:row>
    <x:row r="13" ht="21" customHeight="1">
      <x:c r="A13" s="1" t="str">
        <x:v>60</x:v>
      </x:c>
      <x:c r="B13" s="1" t="str">
        <x:v>800NAVE</x:v>
      </x:c>
      <x:c r="C13" s="1" t="str">
        <x:v>6102915</x:v>
      </x:c>
      <x:c r="D13" s="1" t="str">
        <x:v>2</x:v>
      </x:c>
      <x:c r="E13" s="1"/>
      <x:c r="F13" s="7" t="n">
        <x:v>46273</x:v>
      </x:c>
      <x:c r="G13" s="7" t="n">
        <x:v>46290</x:v>
      </x:c>
      <x:c r="H13" s="8" t="n">
        <x:v>3000</x:v>
      </x:c>
      <x:c r="I13" s="8"/>
      <x:c r="J13" s="8" t="n">
        <x:v>1</x:v>
      </x:c>
      <x:c r="K13" s="9" t="n">
        <x:v>993.6</x:v>
      </x:c>
      <x:c r="L13" s="8" t="n">
        <x:v>1000</x:v>
      </x:c>
      <x:c r="M13" s="10" t="n">
        <x:v>3129.84</x:v>
      </x:c>
      <x:c r="N13" s="8" t="str">
        <x:v>i</x:v>
      </x:c>
      <x:c r="O13" s="8" t="n">
        <x:v>0</x:v>
      </x:c>
      <x:c r="P13" s="11" t="n">
        <x:f>MIN(X13,MAX(0,SUMIFS('Current inventory'!$D$2:$D$127,'Current inventory'!$A$2:$A$127,A13,'Current inventory'!$B$2:$B$127,B13)-SUMIFS($X$2:X12,$A$2:A12,A13,$B$2:B12,B13)))</x:f>
        <x:v>0</x:v>
      </x:c>
      <x:c r="Q13" s="1" t="str">
        <x:v>Received history</x:v>
      </x:c>
      <x:c r="R13" s="1" t="str">
        <x:v>Receipts data film c400 c800 plastic.csv</x:v>
      </x:c>
      <x:c r="S13" s="12" t="n">
        <x:f>IF(O13=1,I13*J13,0)</x:f>
        <x:v>0</x:v>
      </x:c>
      <x:c r="T13" s="13" t="n">
        <x:f>IF(L13&gt;0,K13/L13,"n.a.")</x:f>
        <x:v>0.9936</x:v>
      </x:c>
      <x:c r="U13" s="12" t="n">
        <x:f>IF(Q13="Old cost",S13,0)</x:f>
        <x:v>0</x:v>
      </x:c>
      <x:c r="V13" s="12" t="n">
        <x:f>IF(Q13="Higher cost",S13,0)</x:f>
        <x:v>0</x:v>
      </x:c>
      <x:c r="W13" s="12" t="n">
        <x:f>IF(Q13="Unclassified",S13,0)</x:f>
        <x:v>0</x:v>
      </x:c>
      <x:c r="X13" s="12" t="n">
        <x:f>IF(AND(ISNUMBER(F13),F13&gt;0,F13&lt;=Summary!$D$5,H13&gt;0),H13*J13,0)</x:f>
        <x:v>3000</x:v>
      </x:c>
    </x:row>
    <x:row r="14" ht="21" customHeight="1">
      <x:c r="A14" s="1" t="str">
        <x:v>30</x:v>
      </x:c>
      <x:c r="B14" s="1" t="str">
        <x:v>800BBLKASC</x:v>
      </x:c>
      <x:c r="C14" s="1" t="str">
        <x:v>3003951</x:v>
      </x:c>
      <x:c r="D14" s="1" t="str">
        <x:v>0</x:v>
      </x:c>
      <x:c r="E14" s="1"/>
      <x:c r="F14" s="7" t="n">
        <x:v>46252</x:v>
      </x:c>
      <x:c r="G14" s="7" t="n">
        <x:v>46290</x:v>
      </x:c>
      <x:c r="H14" s="8" t="n">
        <x:v>0</x:v>
      </x:c>
      <x:c r="I14" s="8"/>
      <x:c r="J14" s="8" t="n">
        <x:v>1</x:v>
      </x:c>
      <x:c r="K14" s="9" t="n">
        <x:v>11.7</x:v>
      </x:c>
      <x:c r="L14" s="8" t="n">
        <x:v>100</x:v>
      </x:c>
      <x:c r="M14" s="10" t="n">
        <x:v>0</x:v>
      </x:c>
      <x:c r="N14" s="8" t="str">
        <x:v>i</x:v>
      </x:c>
      <x:c r="O14" s="8" t="n">
        <x:v>0</x:v>
      </x:c>
      <x:c r="P14" s="11" t="n">
        <x:f>MIN(X14,MAX(0,SUMIFS('Current inventory'!$D$2:$D$127,'Current inventory'!$A$2:$A$127,A14,'Current inventory'!$B$2:$B$127,B14)-SUMIFS($X$2:X13,$A$2:A13,A14,$B$2:B13,B14)))</x:f>
        <x:v>0</x:v>
      </x:c>
      <x:c r="Q14" s="1" t="str">
        <x:v>Received history</x:v>
      </x:c>
      <x:c r="R14" s="1" t="str">
        <x:v>Receipts data film c400 c800 plastic.csv</x:v>
      </x:c>
      <x:c r="S14" s="12" t="n">
        <x:f>IF(O14=1,I14*J14,0)</x:f>
        <x:v>0</x:v>
      </x:c>
      <x:c r="T14" s="13" t="n">
        <x:f>IF(L14&gt;0,K14/L14,"n.a.")</x:f>
        <x:v>0.11699999999999999</x:v>
      </x:c>
      <x:c r="U14" s="12" t="n">
        <x:f>IF(Q14="Old cost",S14,0)</x:f>
        <x:v>0</x:v>
      </x:c>
      <x:c r="V14" s="12" t="n">
        <x:f>IF(Q14="Higher cost",S14,0)</x:f>
        <x:v>0</x:v>
      </x:c>
      <x:c r="W14" s="12" t="n">
        <x:f>IF(Q14="Unclassified",S14,0)</x:f>
        <x:v>0</x:v>
      </x:c>
      <x:c r="X14" s="12" t="n">
        <x:f>IF(AND(ISNUMBER(F14),F14&gt;0,F14&lt;=Summary!$D$5,H14&gt;0),H14*J14,0)</x:f>
        <x:v>0</x:v>
      </x:c>
    </x:row>
    <x:row r="15" ht="21" customHeight="1">
      <x:c r="A15" s="1" t="str">
        <x:v>30</x:v>
      </x:c>
      <x:c r="B15" s="1" t="str">
        <x:v>800BBLKISC</x:v>
      </x:c>
      <x:c r="C15" s="1" t="str">
        <x:v>3003951</x:v>
      </x:c>
      <x:c r="D15" s="1" t="str">
        <x:v>0</x:v>
      </x:c>
      <x:c r="E15" s="1"/>
      <x:c r="F15" s="7" t="n">
        <x:v>46252</x:v>
      </x:c>
      <x:c r="G15" s="7" t="n">
        <x:v>46290</x:v>
      </x:c>
      <x:c r="H15" s="8" t="n">
        <x:v>20000</x:v>
      </x:c>
      <x:c r="I15" s="8"/>
      <x:c r="J15" s="8" t="n">
        <x:v>1</x:v>
      </x:c>
      <x:c r="K15" s="9" t="n">
        <x:v>15.35</x:v>
      </x:c>
      <x:c r="L15" s="8" t="n">
        <x:v>100</x:v>
      </x:c>
      <x:c r="M15" s="10" t="n">
        <x:v>3224</x:v>
      </x:c>
      <x:c r="N15" s="8" t="str">
        <x:v>i</x:v>
      </x:c>
      <x:c r="O15" s="8" t="n">
        <x:v>0</x:v>
      </x:c>
      <x:c r="P15" s="11" t="n">
        <x:f>MIN(X15,MAX(0,SUMIFS('Current inventory'!$D$2:$D$127,'Current inventory'!$A$2:$A$127,A15,'Current inventory'!$B$2:$B$127,B15)-SUMIFS($X$2:X14,$A$2:A14,A15,$B$2:B14,B15)))</x:f>
        <x:v>20000</x:v>
      </x:c>
      <x:c r="Q15" s="1" t="str">
        <x:v>Received history</x:v>
      </x:c>
      <x:c r="R15" s="1" t="str">
        <x:v>Receipts data film c400 c800 plastic.csv</x:v>
      </x:c>
      <x:c r="S15" s="12" t="n">
        <x:f>IF(O15=1,I15*J15,0)</x:f>
        <x:v>0</x:v>
      </x:c>
      <x:c r="T15" s="13" t="n">
        <x:f>IF(L15&gt;0,K15/L15,"n.a.")</x:f>
        <x:v>0.1535</x:v>
      </x:c>
      <x:c r="U15" s="12" t="n">
        <x:f>IF(Q15="Old cost",S15,0)</x:f>
        <x:v>0</x:v>
      </x:c>
      <x:c r="V15" s="12" t="n">
        <x:f>IF(Q15="Higher cost",S15,0)</x:f>
        <x:v>0</x:v>
      </x:c>
      <x:c r="W15" s="12" t="n">
        <x:f>IF(Q15="Unclassified",S15,0)</x:f>
        <x:v>0</x:v>
      </x:c>
      <x:c r="X15" s="12" t="n">
        <x:f>IF(AND(ISNUMBER(F15),F15&gt;0,F15&lt;=Summary!$D$5,H15&gt;0),H15*J15,0)</x:f>
        <x:v>20000</x:v>
      </x:c>
    </x:row>
    <x:row r="16" ht="21" customHeight="1">
      <x:c r="A16" s="1" t="str">
        <x:v>10</x:v>
      </x:c>
      <x:c r="B16" s="1" t="str">
        <x:v>800BBLKASC</x:v>
      </x:c>
      <x:c r="C16" s="1" t="str">
        <x:v>1060702</x:v>
      </x:c>
      <x:c r="D16" s="1" t="str">
        <x:v>0</x:v>
      </x:c>
      <x:c r="E16" s="1"/>
      <x:c r="F16" s="7" t="n">
        <x:v>46251</x:v>
      </x:c>
      <x:c r="G16" s="7" t="n">
        <x:v>46290</x:v>
      </x:c>
      <x:c r="H16" s="8" t="n">
        <x:v>0</x:v>
      </x:c>
      <x:c r="I16" s="8"/>
      <x:c r="J16" s="8" t="n">
        <x:v>1</x:v>
      </x:c>
      <x:c r="K16" s="9" t="n">
        <x:v>11.7</x:v>
      </x:c>
      <x:c r="L16" s="8" t="n">
        <x:v>100</x:v>
      </x:c>
      <x:c r="M16" s="10" t="n">
        <x:v>0</x:v>
      </x:c>
      <x:c r="N16" s="8" t="str">
        <x:v>i</x:v>
      </x:c>
      <x:c r="O16" s="8" t="n">
        <x:v>0</x:v>
      </x:c>
      <x:c r="P16" s="11" t="n">
        <x:f>MIN(X16,MAX(0,SUMIFS('Current inventory'!$D$2:$D$127,'Current inventory'!$A$2:$A$127,A16,'Current inventory'!$B$2:$B$127,B16)-SUMIFS($X$2:X15,$A$2:A15,A16,$B$2:B15,B16)))</x:f>
        <x:v>0</x:v>
      </x:c>
      <x:c r="Q16" s="1" t="str">
        <x:v>Received history</x:v>
      </x:c>
      <x:c r="R16" s="1" t="str">
        <x:v>Receipts data film c400 c800 plastic.csv</x:v>
      </x:c>
      <x:c r="S16" s="12" t="n">
        <x:f>IF(O16=1,I16*J16,0)</x:f>
        <x:v>0</x:v>
      </x:c>
      <x:c r="T16" s="13" t="n">
        <x:f>IF(L16&gt;0,K16/L16,"n.a.")</x:f>
        <x:v>0.11699999999999999</x:v>
      </x:c>
      <x:c r="U16" s="12" t="n">
        <x:f>IF(Q16="Old cost",S16,0)</x:f>
        <x:v>0</x:v>
      </x:c>
      <x:c r="V16" s="12" t="n">
        <x:f>IF(Q16="Higher cost",S16,0)</x:f>
        <x:v>0</x:v>
      </x:c>
      <x:c r="W16" s="12" t="n">
        <x:f>IF(Q16="Unclassified",S16,0)</x:f>
        <x:v>0</x:v>
      </x:c>
      <x:c r="X16" s="12" t="n">
        <x:f>IF(AND(ISNUMBER(F16),F16&gt;0,F16&lt;=Summary!$D$5,H16&gt;0),H16*J16,0)</x:f>
        <x:v>0</x:v>
      </x:c>
    </x:row>
    <x:row r="17" ht="21" customHeight="1">
      <x:c r="A17" s="1" t="str">
        <x:v>10</x:v>
      </x:c>
      <x:c r="B17" s="1" t="str">
        <x:v>800BBLKISC</x:v>
      </x:c>
      <x:c r="C17" s="1" t="str">
        <x:v>1060702</x:v>
      </x:c>
      <x:c r="D17" s="1" t="str">
        <x:v>0</x:v>
      </x:c>
      <x:c r="E17" s="1"/>
      <x:c r="F17" s="7" t="n">
        <x:v>46251</x:v>
      </x:c>
      <x:c r="G17" s="7" t="n">
        <x:v>46290</x:v>
      </x:c>
      <x:c r="H17" s="8" t="n">
        <x:v>60000</x:v>
      </x:c>
      <x:c r="I17" s="8"/>
      <x:c r="J17" s="8" t="n">
        <x:v>1</x:v>
      </x:c>
      <x:c r="K17" s="9" t="n">
        <x:v>15.35</x:v>
      </x:c>
      <x:c r="L17" s="8" t="n">
        <x:v>100</x:v>
      </x:c>
      <x:c r="M17" s="10" t="n">
        <x:v>9672</x:v>
      </x:c>
      <x:c r="N17" s="8" t="str">
        <x:v>i</x:v>
      </x:c>
      <x:c r="O17" s="8" t="n">
        <x:v>0</x:v>
      </x:c>
      <x:c r="P17" s="11" t="n">
        <x:f>MIN(X17,MAX(0,SUMIFS('Current inventory'!$D$2:$D$127,'Current inventory'!$A$2:$A$127,A17,'Current inventory'!$B$2:$B$127,B17)-SUMIFS($X$2:X16,$A$2:A16,A17,$B$2:B16,B17)))</x:f>
        <x:v>60000</x:v>
      </x:c>
      <x:c r="Q17" s="1" t="str">
        <x:v>Received history</x:v>
      </x:c>
      <x:c r="R17" s="1" t="str">
        <x:v>Receipts data film c400 c800 plastic.csv</x:v>
      </x:c>
      <x:c r="S17" s="12" t="n">
        <x:f>IF(O17=1,I17*J17,0)</x:f>
        <x:v>0</x:v>
      </x:c>
      <x:c r="T17" s="13" t="n">
        <x:f>IF(L17&gt;0,K17/L17,"n.a.")</x:f>
        <x:v>0.1535</x:v>
      </x:c>
      <x:c r="U17" s="12" t="n">
        <x:f>IF(Q17="Old cost",S17,0)</x:f>
        <x:v>0</x:v>
      </x:c>
      <x:c r="V17" s="12" t="n">
        <x:f>IF(Q17="Higher cost",S17,0)</x:f>
        <x:v>0</x:v>
      </x:c>
      <x:c r="W17" s="12" t="n">
        <x:f>IF(Q17="Unclassified",S17,0)</x:f>
        <x:v>0</x:v>
      </x:c>
      <x:c r="X17" s="12" t="n">
        <x:f>IF(AND(ISNUMBER(F17),F17&gt;0,F17&lt;=Summary!$D$5,H17&gt;0),H17*J17,0)</x:f>
        <x:v>60000</x:v>
      </x:c>
    </x:row>
    <x:row r="18" ht="21" customHeight="1">
      <x:c r="A18" s="1" t="str">
        <x:v>10</x:v>
      </x:c>
      <x:c r="B18" s="1" t="str">
        <x:v>800BNAVASC</x:v>
      </x:c>
      <x:c r="C18" s="1" t="str">
        <x:v>1060702</x:v>
      </x:c>
      <x:c r="D18" s="1" t="str">
        <x:v>0</x:v>
      </x:c>
      <x:c r="E18" s="1"/>
      <x:c r="F18" s="7" t="n">
        <x:v>46251</x:v>
      </x:c>
      <x:c r="G18" s="7" t="n">
        <x:v>46290</x:v>
      </x:c>
      <x:c r="H18" s="8" t="n">
        <x:v>0</x:v>
      </x:c>
      <x:c r="I18" s="8"/>
      <x:c r="J18" s="8" t="n">
        <x:v>1</x:v>
      </x:c>
      <x:c r="K18" s="9" t="n">
        <x:v>14.43</x:v>
      </x:c>
      <x:c r="L18" s="8" t="n">
        <x:v>100</x:v>
      </x:c>
      <x:c r="M18" s="10" t="n">
        <x:v>0</x:v>
      </x:c>
      <x:c r="N18" s="8" t="str">
        <x:v>i</x:v>
      </x:c>
      <x:c r="O18" s="8" t="n">
        <x:v>0</x:v>
      </x:c>
      <x:c r="P18" s="11" t="n">
        <x:f>MIN(X18,MAX(0,SUMIFS('Current inventory'!$D$2:$D$127,'Current inventory'!$A$2:$A$127,A18,'Current inventory'!$B$2:$B$127,B18)-SUMIFS($X$2:X17,$A$2:A17,A18,$B$2:B17,B18)))</x:f>
        <x:v>0</x:v>
      </x:c>
      <x:c r="Q18" s="1" t="str">
        <x:v>Received history</x:v>
      </x:c>
      <x:c r="R18" s="1" t="str">
        <x:v>Receipts data film c400 c800 plastic.csv</x:v>
      </x:c>
      <x:c r="S18" s="12" t="n">
        <x:f>IF(O18=1,I18*J18,0)</x:f>
        <x:v>0</x:v>
      </x:c>
      <x:c r="T18" s="13" t="n">
        <x:f>IF(L18&gt;0,K18/L18,"n.a.")</x:f>
        <x:v>0.14429999999999998</x:v>
      </x:c>
      <x:c r="U18" s="12" t="n">
        <x:f>IF(Q18="Old cost",S18,0)</x:f>
        <x:v>0</x:v>
      </x:c>
      <x:c r="V18" s="12" t="n">
        <x:f>IF(Q18="Higher cost",S18,0)</x:f>
        <x:v>0</x:v>
      </x:c>
      <x:c r="W18" s="12" t="n">
        <x:f>IF(Q18="Unclassified",S18,0)</x:f>
        <x:v>0</x:v>
      </x:c>
      <x:c r="X18" s="12" t="n">
        <x:f>IF(AND(ISNUMBER(F18),F18&gt;0,F18&lt;=Summary!$D$5,H18&gt;0),H18*J18,0)</x:f>
        <x:v>0</x:v>
      </x:c>
    </x:row>
    <x:row r="19" ht="21" customHeight="1">
      <x:c r="A19" s="1" t="str">
        <x:v>10</x:v>
      </x:c>
      <x:c r="B19" s="1" t="str">
        <x:v>800NAVE</x:v>
      </x:c>
      <x:c r="C19" s="1" t="str">
        <x:v>1060702</x:v>
      </x:c>
      <x:c r="D19" s="1" t="str">
        <x:v>0</x:v>
      </x:c>
      <x:c r="E19" s="1"/>
      <x:c r="F19" s="7" t="n">
        <x:v>46251</x:v>
      </x:c>
      <x:c r="G19" s="7" t="n">
        <x:v>46290</x:v>
      </x:c>
      <x:c r="H19" s="8" t="n">
        <x:v>0</x:v>
      </x:c>
      <x:c r="I19" s="8"/>
      <x:c r="J19" s="8" t="n">
        <x:v>1</x:v>
      </x:c>
      <x:c r="K19" s="9" t="n">
        <x:v>993.6</x:v>
      </x:c>
      <x:c r="L19" s="8" t="n">
        <x:v>1000</x:v>
      </x:c>
      <x:c r="M19" s="10" t="n">
        <x:v>0</x:v>
      </x:c>
      <x:c r="N19" s="8" t="str">
        <x:v>i</x:v>
      </x:c>
      <x:c r="O19" s="8" t="n">
        <x:v>0</x:v>
      </x:c>
      <x:c r="P19" s="11" t="n">
        <x:f>MIN(X19,MAX(0,SUMIFS('Current inventory'!$D$2:$D$127,'Current inventory'!$A$2:$A$127,A19,'Current inventory'!$B$2:$B$127,B19)-SUMIFS($X$2:X18,$A$2:A18,A19,$B$2:B18,B19)))</x:f>
        <x:v>0</x:v>
      </x:c>
      <x:c r="Q19" s="1" t="str">
        <x:v>Received history</x:v>
      </x:c>
      <x:c r="R19" s="1" t="str">
        <x:v>Receipts data film c400 c800 plastic.csv</x:v>
      </x:c>
      <x:c r="S19" s="12" t="n">
        <x:f>IF(O19=1,I19*J19,0)</x:f>
        <x:v>0</x:v>
      </x:c>
      <x:c r="T19" s="13" t="n">
        <x:f>IF(L19&gt;0,K19/L19,"n.a.")</x:f>
        <x:v>0.9936</x:v>
      </x:c>
      <x:c r="U19" s="12" t="n">
        <x:f>IF(Q19="Old cost",S19,0)</x:f>
        <x:v>0</x:v>
      </x:c>
      <x:c r="V19" s="12" t="n">
        <x:f>IF(Q19="Higher cost",S19,0)</x:f>
        <x:v>0</x:v>
      </x:c>
      <x:c r="W19" s="12" t="n">
        <x:f>IF(Q19="Unclassified",S19,0)</x:f>
        <x:v>0</x:v>
      </x:c>
      <x:c r="X19" s="12" t="n">
        <x:f>IF(AND(ISNUMBER(F19),F19&gt;0,F19&lt;=Summary!$D$5,H19&gt;0),H19*J19,0)</x:f>
        <x:v>0</x:v>
      </x:c>
    </x:row>
    <x:row r="20" ht="21" customHeight="1">
      <x:c r="A20" s="1" t="str">
        <x:v>60</x:v>
      </x:c>
      <x:c r="B20" s="1" t="str">
        <x:v>800BBLKASC</x:v>
      </x:c>
      <x:c r="C20" s="1" t="str">
        <x:v>6102928</x:v>
      </x:c>
      <x:c r="D20" s="1" t="str">
        <x:v>0</x:v>
      </x:c>
      <x:c r="E20" s="1"/>
      <x:c r="F20" s="7" t="n">
        <x:v>46247</x:v>
      </x:c>
      <x:c r="G20" s="7" t="n">
        <x:v>46290</x:v>
      </x:c>
      <x:c r="H20" s="8" t="n">
        <x:v>0</x:v>
      </x:c>
      <x:c r="I20" s="8"/>
      <x:c r="J20" s="8" t="n">
        <x:v>1</x:v>
      </x:c>
      <x:c r="K20" s="9" t="n">
        <x:v>11.7</x:v>
      </x:c>
      <x:c r="L20" s="8" t="n">
        <x:v>100</x:v>
      </x:c>
      <x:c r="M20" s="10" t="n">
        <x:v>0</x:v>
      </x:c>
      <x:c r="N20" s="8" t="str">
        <x:v>i</x:v>
      </x:c>
      <x:c r="O20" s="8" t="n">
        <x:v>0</x:v>
      </x:c>
      <x:c r="P20" s="11" t="n">
        <x:f>MIN(X20,MAX(0,SUMIFS('Current inventory'!$D$2:$D$127,'Current inventory'!$A$2:$A$127,A20,'Current inventory'!$B$2:$B$127,B20)-SUMIFS($X$2:X19,$A$2:A19,A20,$B$2:B19,B20)))</x:f>
        <x:v>0</x:v>
      </x:c>
      <x:c r="Q20" s="1" t="str">
        <x:v>Received history</x:v>
      </x:c>
      <x:c r="R20" s="1" t="str">
        <x:v>Receipts data film c400 c800 plastic.csv</x:v>
      </x:c>
      <x:c r="S20" s="12" t="n">
        <x:f>IF(O20=1,I20*J20,0)</x:f>
        <x:v>0</x:v>
      </x:c>
      <x:c r="T20" s="13" t="n">
        <x:f>IF(L20&gt;0,K20/L20,"n.a.")</x:f>
        <x:v>0.11699999999999999</x:v>
      </x:c>
      <x:c r="U20" s="12" t="n">
        <x:f>IF(Q20="Old cost",S20,0)</x:f>
        <x:v>0</x:v>
      </x:c>
      <x:c r="V20" s="12" t="n">
        <x:f>IF(Q20="Higher cost",S20,0)</x:f>
        <x:v>0</x:v>
      </x:c>
      <x:c r="W20" s="12" t="n">
        <x:f>IF(Q20="Unclassified",S20,0)</x:f>
        <x:v>0</x:v>
      </x:c>
      <x:c r="X20" s="12" t="n">
        <x:f>IF(AND(ISNUMBER(F20),F20&gt;0,F20&lt;=Summary!$D$5,H20&gt;0),H20*J20,0)</x:f>
        <x:v>0</x:v>
      </x:c>
    </x:row>
    <x:row r="21" ht="21" customHeight="1">
      <x:c r="A21" s="1" t="str">
        <x:v>60</x:v>
      </x:c>
      <x:c r="B21" s="1" t="str">
        <x:v>800BBLKISC</x:v>
      </x:c>
      <x:c r="C21" s="1" t="str">
        <x:v>6102928</x:v>
      </x:c>
      <x:c r="D21" s="1" t="str">
        <x:v>0</x:v>
      </x:c>
      <x:c r="E21" s="1"/>
      <x:c r="F21" s="7" t="n">
        <x:v>46247</x:v>
      </x:c>
      <x:c r="G21" s="7" t="n">
        <x:v>46290</x:v>
      </x:c>
      <x:c r="H21" s="8" t="n">
        <x:v>40000</x:v>
      </x:c>
      <x:c r="I21" s="8"/>
      <x:c r="J21" s="8" t="n">
        <x:v>1</x:v>
      </x:c>
      <x:c r="K21" s="9" t="n">
        <x:v>15.35</x:v>
      </x:c>
      <x:c r="L21" s="8" t="n">
        <x:v>100</x:v>
      </x:c>
      <x:c r="M21" s="10" t="n">
        <x:v>6448</x:v>
      </x:c>
      <x:c r="N21" s="8" t="str">
        <x:v>i</x:v>
      </x:c>
      <x:c r="O21" s="8" t="n">
        <x:v>0</x:v>
      </x:c>
      <x:c r="P21" s="11" t="n">
        <x:f>MIN(X21,MAX(0,SUMIFS('Current inventory'!$D$2:$D$127,'Current inventory'!$A$2:$A$127,A21,'Current inventory'!$B$2:$B$127,B21)-SUMIFS($X$2:X20,$A$2:A20,A21,$B$2:B20,B21)))</x:f>
        <x:v>40000</x:v>
      </x:c>
      <x:c r="Q21" s="1" t="str">
        <x:v>Received history</x:v>
      </x:c>
      <x:c r="R21" s="1" t="str">
        <x:v>Receipts data film c400 c800 plastic.csv</x:v>
      </x:c>
      <x:c r="S21" s="12" t="n">
        <x:f>IF(O21=1,I21*J21,0)</x:f>
        <x:v>0</x:v>
      </x:c>
      <x:c r="T21" s="13" t="n">
        <x:f>IF(L21&gt;0,K21/L21,"n.a.")</x:f>
        <x:v>0.1535</x:v>
      </x:c>
      <x:c r="U21" s="12" t="n">
        <x:f>IF(Q21="Old cost",S21,0)</x:f>
        <x:v>0</x:v>
      </x:c>
      <x:c r="V21" s="12" t="n">
        <x:f>IF(Q21="Higher cost",S21,0)</x:f>
        <x:v>0</x:v>
      </x:c>
      <x:c r="W21" s="12" t="n">
        <x:f>IF(Q21="Unclassified",S21,0)</x:f>
        <x:v>0</x:v>
      </x:c>
      <x:c r="X21" s="12" t="n">
        <x:f>IF(AND(ISNUMBER(F21),F21&gt;0,F21&lt;=Summary!$D$5,H21&gt;0),H21*J21,0)</x:f>
        <x:v>40000</x:v>
      </x:c>
    </x:row>
    <x:row r="22" ht="21" customHeight="1">
      <x:c r="A22" s="1" t="str">
        <x:v>60</x:v>
      </x:c>
      <x:c r="B22" s="1" t="str">
        <x:v>800BLKE</x:v>
      </x:c>
      <x:c r="C22" s="1" t="str">
        <x:v>6102928</x:v>
      </x:c>
      <x:c r="D22" s="1" t="str">
        <x:v>0</x:v>
      </x:c>
      <x:c r="E22" s="1"/>
      <x:c r="F22" s="7" t="n">
        <x:v>46247</x:v>
      </x:c>
      <x:c r="G22" s="7" t="n">
        <x:v>46290</x:v>
      </x:c>
      <x:c r="H22" s="8" t="n">
        <x:v>10000</x:v>
      </x:c>
      <x:c r="I22" s="8"/>
      <x:c r="J22" s="8" t="n">
        <x:v>1</x:v>
      </x:c>
      <x:c r="K22" s="9" t="n">
        <x:v>861.1</x:v>
      </x:c>
      <x:c r="L22" s="8" t="n">
        <x:v>1000</x:v>
      </x:c>
      <x:c r="M22" s="10" t="n">
        <x:v>9041.6</x:v>
      </x:c>
      <x:c r="N22" s="8" t="str">
        <x:v>i</x:v>
      </x:c>
      <x:c r="O22" s="8" t="n">
        <x:v>0</x:v>
      </x:c>
      <x:c r="P22" s="11" t="n">
        <x:f>MIN(X22,MAX(0,SUMIFS('Current inventory'!$D$2:$D$127,'Current inventory'!$A$2:$A$127,A22,'Current inventory'!$B$2:$B$127,B22)-SUMIFS($X$2:X21,$A$2:A21,A22,$B$2:B21,B22)))</x:f>
        <x:v>10000</x:v>
      </x:c>
      <x:c r="Q22" s="1" t="str">
        <x:v>Received history</x:v>
      </x:c>
      <x:c r="R22" s="1" t="str">
        <x:v>Receipts data film c400 c800 plastic.csv</x:v>
      </x:c>
      <x:c r="S22" s="12" t="n">
        <x:f>IF(O22=1,I22*J22,0)</x:f>
        <x:v>0</x:v>
      </x:c>
      <x:c r="T22" s="13" t="n">
        <x:f>IF(L22&gt;0,K22/L22,"n.a.")</x:f>
        <x:v>0.8611</x:v>
      </x:c>
      <x:c r="U22" s="12" t="n">
        <x:f>IF(Q22="Old cost",S22,0)</x:f>
        <x:v>0</x:v>
      </x:c>
      <x:c r="V22" s="12" t="n">
        <x:f>IF(Q22="Higher cost",S22,0)</x:f>
        <x:v>0</x:v>
      </x:c>
      <x:c r="W22" s="12" t="n">
        <x:f>IF(Q22="Unclassified",S22,0)</x:f>
        <x:v>0</x:v>
      </x:c>
      <x:c r="X22" s="12" t="n">
        <x:f>IF(AND(ISNUMBER(F22),F22&gt;0,F22&lt;=Summary!$D$5,H22&gt;0),H22*J22,0)</x:f>
        <x:v>10000</x:v>
      </x:c>
    </x:row>
    <x:row r="23" ht="21" customHeight="1">
      <x:c r="A23" s="1" t="str">
        <x:v>60</x:v>
      </x:c>
      <x:c r="B23" s="1" t="str">
        <x:v>800BNAVASC</x:v>
      </x:c>
      <x:c r="C23" s="1" t="str">
        <x:v>6102928</x:v>
      </x:c>
      <x:c r="D23" s="1" t="str">
        <x:v>0</x:v>
      </x:c>
      <x:c r="E23" s="1"/>
      <x:c r="F23" s="7" t="n">
        <x:v>46247</x:v>
      </x:c>
      <x:c r="G23" s="7" t="n">
        <x:v>46290</x:v>
      </x:c>
      <x:c r="H23" s="8" t="n">
        <x:v>0</x:v>
      </x:c>
      <x:c r="I23" s="8"/>
      <x:c r="J23" s="8" t="n">
        <x:v>1</x:v>
      </x:c>
      <x:c r="K23" s="9" t="n">
        <x:v>14.43</x:v>
      </x:c>
      <x:c r="L23" s="8" t="n">
        <x:v>100</x:v>
      </x:c>
      <x:c r="M23" s="10" t="n">
        <x:v>0</x:v>
      </x:c>
      <x:c r="N23" s="8" t="str">
        <x:v>i</x:v>
      </x:c>
      <x:c r="O23" s="8" t="n">
        <x:v>0</x:v>
      </x:c>
      <x:c r="P23" s="11" t="n">
        <x:f>MIN(X23,MAX(0,SUMIFS('Current inventory'!$D$2:$D$127,'Current inventory'!$A$2:$A$127,A23,'Current inventory'!$B$2:$B$127,B23)-SUMIFS($X$2:X22,$A$2:A22,A23,$B$2:B22,B23)))</x:f>
        <x:v>0</x:v>
      </x:c>
      <x:c r="Q23" s="1" t="str">
        <x:v>Received history</x:v>
      </x:c>
      <x:c r="R23" s="1" t="str">
        <x:v>Receipts data film c400 c800 plastic.csv</x:v>
      </x:c>
      <x:c r="S23" s="12" t="n">
        <x:f>IF(O23=1,I23*J23,0)</x:f>
        <x:v>0</x:v>
      </x:c>
      <x:c r="T23" s="13" t="n">
        <x:f>IF(L23&gt;0,K23/L23,"n.a.")</x:f>
        <x:v>0.14429999999999998</x:v>
      </x:c>
      <x:c r="U23" s="12" t="n">
        <x:f>IF(Q23="Old cost",S23,0)</x:f>
        <x:v>0</x:v>
      </x:c>
      <x:c r="V23" s="12" t="n">
        <x:f>IF(Q23="Higher cost",S23,0)</x:f>
        <x:v>0</x:v>
      </x:c>
      <x:c r="W23" s="12" t="n">
        <x:f>IF(Q23="Unclassified",S23,0)</x:f>
        <x:v>0</x:v>
      </x:c>
      <x:c r="X23" s="12" t="n">
        <x:f>IF(AND(ISNUMBER(F23),F23&gt;0,F23&lt;=Summary!$D$5,H23&gt;0),H23*J23,0)</x:f>
        <x:v>0</x:v>
      </x:c>
    </x:row>
    <x:row r="24" ht="21" customHeight="1">
      <x:c r="A24" s="1" t="str">
        <x:v>60</x:v>
      </x:c>
      <x:c r="B24" s="1" t="str">
        <x:v>800NAVE</x:v>
      </x:c>
      <x:c r="C24" s="1" t="str">
        <x:v>6102928</x:v>
      </x:c>
      <x:c r="D24" s="1" t="str">
        <x:v>0</x:v>
      </x:c>
      <x:c r="E24" s="1"/>
      <x:c r="F24" s="7" t="n">
        <x:v>46247</x:v>
      </x:c>
      <x:c r="G24" s="7" t="n">
        <x:v>46290</x:v>
      </x:c>
      <x:c r="H24" s="8" t="n">
        <x:v>0</x:v>
      </x:c>
      <x:c r="I24" s="8"/>
      <x:c r="J24" s="8" t="n">
        <x:v>1</x:v>
      </x:c>
      <x:c r="K24" s="9" t="n">
        <x:v>993.6</x:v>
      </x:c>
      <x:c r="L24" s="8" t="n">
        <x:v>1000</x:v>
      </x:c>
      <x:c r="M24" s="10" t="n">
        <x:v>0</x:v>
      </x:c>
      <x:c r="N24" s="8" t="str">
        <x:v>i</x:v>
      </x:c>
      <x:c r="O24" s="8" t="n">
        <x:v>0</x:v>
      </x:c>
      <x:c r="P24" s="11" t="n">
        <x:f>MIN(X24,MAX(0,SUMIFS('Current inventory'!$D$2:$D$127,'Current inventory'!$A$2:$A$127,A24,'Current inventory'!$B$2:$B$127,B24)-SUMIFS($X$2:X23,$A$2:A23,A24,$B$2:B23,B24)))</x:f>
        <x:v>0</x:v>
      </x:c>
      <x:c r="Q24" s="1" t="str">
        <x:v>Received history</x:v>
      </x:c>
      <x:c r="R24" s="1" t="str">
        <x:v>Receipts data film c400 c800 plastic.csv</x:v>
      </x:c>
      <x:c r="S24" s="12" t="n">
        <x:f>IF(O24=1,I24*J24,0)</x:f>
        <x:v>0</x:v>
      </x:c>
      <x:c r="T24" s="13" t="n">
        <x:f>IF(L24&gt;0,K24/L24,"n.a.")</x:f>
        <x:v>0.9936</x:v>
      </x:c>
      <x:c r="U24" s="12" t="n">
        <x:f>IF(Q24="Old cost",S24,0)</x:f>
        <x:v>0</x:v>
      </x:c>
      <x:c r="V24" s="12" t="n">
        <x:f>IF(Q24="Higher cost",S24,0)</x:f>
        <x:v>0</x:v>
      </x:c>
      <x:c r="W24" s="12" t="n">
        <x:f>IF(Q24="Unclassified",S24,0)</x:f>
        <x:v>0</x:v>
      </x:c>
      <x:c r="X24" s="12" t="n">
        <x:f>IF(AND(ISNUMBER(F24),F24&gt;0,F24&lt;=Summary!$D$5,H24&gt;0),H24*J24,0)</x:f>
        <x:v>0</x:v>
      </x:c>
    </x:row>
    <x:row r="25" ht="21" customHeight="1">
      <x:c r="A25" s="1" t="str">
        <x:v>10</x:v>
      </x:c>
      <x:c r="B25" s="1" t="str">
        <x:v>800BLKE</x:v>
      </x:c>
      <x:c r="C25" s="1" t="str">
        <x:v>1060416</x:v>
      </x:c>
      <x:c r="D25" s="1" t="str">
        <x:v>2</x:v>
      </x:c>
      <x:c r="E25" s="1"/>
      <x:c r="F25" s="7" t="n">
        <x:v>46195</x:v>
      </x:c>
      <x:c r="G25" s="7" t="n">
        <x:v>46192</x:v>
      </x:c>
      <x:c r="H25" s="8" t="n">
        <x:v>10200</x:v>
      </x:c>
      <x:c r="I25" s="8"/>
      <x:c r="J25" s="8" t="n">
        <x:v>1</x:v>
      </x:c>
      <x:c r="K25" s="9" t="n">
        <x:v>861.1</x:v>
      </x:c>
      <x:c r="L25" s="8" t="n">
        <x:v>1000</x:v>
      </x:c>
      <x:c r="M25" s="10" t="n">
        <x:v>9222.43</x:v>
      </x:c>
      <x:c r="N25" s="8" t="str">
        <x:v>i</x:v>
      </x:c>
      <x:c r="O25" s="8" t="n">
        <x:v>0</x:v>
      </x:c>
      <x:c r="P25" s="11" t="n">
        <x:f>MIN(X25,MAX(0,SUMIFS('Current inventory'!$D$2:$D$127,'Current inventory'!$A$2:$A$127,A25,'Current inventory'!$B$2:$B$127,B25)-SUMIFS($X$2:X24,$A$2:A24,A25,$B$2:B24,B25)))</x:f>
        <x:v>10200</x:v>
      </x:c>
      <x:c r="Q25" s="1" t="str">
        <x:v>Received history</x:v>
      </x:c>
      <x:c r="R25" s="1" t="str">
        <x:v>Receipts data film c400 c800 plastic.csv</x:v>
      </x:c>
      <x:c r="S25" s="12" t="n">
        <x:f>IF(O25=1,I25*J25,0)</x:f>
        <x:v>0</x:v>
      </x:c>
      <x:c r="T25" s="13" t="n">
        <x:f>IF(L25&gt;0,K25/L25,"n.a.")</x:f>
        <x:v>0.8611</x:v>
      </x:c>
      <x:c r="U25" s="12" t="n">
        <x:f>IF(Q25="Old cost",S25,0)</x:f>
        <x:v>0</x:v>
      </x:c>
      <x:c r="V25" s="12" t="n">
        <x:f>IF(Q25="Higher cost",S25,0)</x:f>
        <x:v>0</x:v>
      </x:c>
      <x:c r="W25" s="12" t="n">
        <x:f>IF(Q25="Unclassified",S25,0)</x:f>
        <x:v>0</x:v>
      </x:c>
      <x:c r="X25" s="12" t="n">
        <x:f>IF(AND(ISNUMBER(F25),F25&gt;0,F25&lt;=Summary!$D$5,H25&gt;0),H25*J25,0)</x:f>
        <x:v>10200</x:v>
      </x:c>
    </x:row>
    <x:row r="26" ht="21" customHeight="1">
      <x:c r="A26" s="1" t="str">
        <x:v>10</x:v>
      </x:c>
      <x:c r="B26" s="1" t="str">
        <x:v>800BNAVASC</x:v>
      </x:c>
      <x:c r="C26" s="1" t="str">
        <x:v>1060416</x:v>
      </x:c>
      <x:c r="D26" s="1" t="str">
        <x:v>2</x:v>
      </x:c>
      <x:c r="E26" s="1"/>
      <x:c r="F26" s="7" t="n">
        <x:v>46195</x:v>
      </x:c>
      <x:c r="G26" s="7" t="n">
        <x:v>46241</x:v>
      </x:c>
      <x:c r="H26" s="8" t="n">
        <x:v>0</x:v>
      </x:c>
      <x:c r="I26" s="8"/>
      <x:c r="J26" s="8" t="n">
        <x:v>1</x:v>
      </x:c>
      <x:c r="K26" s="9" t="n">
        <x:v>14.43</x:v>
      </x:c>
      <x:c r="L26" s="8" t="n">
        <x:v>100</x:v>
      </x:c>
      <x:c r="M26" s="10" t="n">
        <x:v>0</x:v>
      </x:c>
      <x:c r="N26" s="8" t="str">
        <x:v>i</x:v>
      </x:c>
      <x:c r="O26" s="8" t="n">
        <x:v>0</x:v>
      </x:c>
      <x:c r="P26" s="11" t="n">
        <x:f>MIN(X26,MAX(0,SUMIFS('Current inventory'!$D$2:$D$127,'Current inventory'!$A$2:$A$127,A26,'Current inventory'!$B$2:$B$127,B26)-SUMIFS($X$2:X25,$A$2:A25,A26,$B$2:B25,B26)))</x:f>
        <x:v>0</x:v>
      </x:c>
      <x:c r="Q26" s="1" t="str">
        <x:v>Received history</x:v>
      </x:c>
      <x:c r="R26" s="1" t="str">
        <x:v>Receipts data film c400 c800 plastic.csv</x:v>
      </x:c>
      <x:c r="S26" s="12" t="n">
        <x:f>IF(O26=1,I26*J26,0)</x:f>
        <x:v>0</x:v>
      </x:c>
      <x:c r="T26" s="13" t="n">
        <x:f>IF(L26&gt;0,K26/L26,"n.a.")</x:f>
        <x:v>0.14429999999999998</x:v>
      </x:c>
      <x:c r="U26" s="12" t="n">
        <x:f>IF(Q26="Old cost",S26,0)</x:f>
        <x:v>0</x:v>
      </x:c>
      <x:c r="V26" s="12" t="n">
        <x:f>IF(Q26="Higher cost",S26,0)</x:f>
        <x:v>0</x:v>
      </x:c>
      <x:c r="W26" s="12" t="n">
        <x:f>IF(Q26="Unclassified",S26,0)</x:f>
        <x:v>0</x:v>
      </x:c>
      <x:c r="X26" s="12" t="n">
        <x:f>IF(AND(ISNUMBER(F26),F26&gt;0,F26&lt;=Summary!$D$5,H26&gt;0),H26*J26,0)</x:f>
        <x:v>0</x:v>
      </x:c>
    </x:row>
    <x:row r="27" ht="21" customHeight="1">
      <x:c r="A27" s="1" t="str">
        <x:v>30</x:v>
      </x:c>
      <x:c r="B27" s="1" t="str">
        <x:v>800BBLKASC</x:v>
      </x:c>
      <x:c r="C27" s="1" t="str">
        <x:v>3003939</x:v>
      </x:c>
      <x:c r="D27" s="1" t="str">
        <x:v>0</x:v>
      </x:c>
      <x:c r="E27" s="1"/>
      <x:c r="F27" s="7" t="n">
        <x:v>46190</x:v>
      </x:c>
      <x:c r="G27" s="7" t="n">
        <x:v>46192</x:v>
      </x:c>
      <x:c r="H27" s="8" t="n">
        <x:v>80000</x:v>
      </x:c>
      <x:c r="I27" s="8"/>
      <x:c r="J27" s="8" t="n">
        <x:v>1</x:v>
      </x:c>
      <x:c r="K27" s="9" t="n">
        <x:v>11.7</x:v>
      </x:c>
      <x:c r="L27" s="8" t="n">
        <x:v>100</x:v>
      </x:c>
      <x:c r="M27" s="10" t="n">
        <x:v>9832</x:v>
      </x:c>
      <x:c r="N27" s="8" t="str">
        <x:v>i</x:v>
      </x:c>
      <x:c r="O27" s="8" t="n">
        <x:v>0</x:v>
      </x:c>
      <x:c r="P27" s="11" t="n">
        <x:f>MIN(X27,MAX(0,SUMIFS('Current inventory'!$D$2:$D$127,'Current inventory'!$A$2:$A$127,A27,'Current inventory'!$B$2:$B$127,B27)-SUMIFS($X$2:X26,$A$2:A26,A27,$B$2:B26,B27)))</x:f>
        <x:v>0</x:v>
      </x:c>
      <x:c r="Q27" s="1" t="str">
        <x:v>Received history</x:v>
      </x:c>
      <x:c r="R27" s="1" t="str">
        <x:v>Receipts data film c400 c800 plastic.csv</x:v>
      </x:c>
      <x:c r="S27" s="12" t="n">
        <x:f>IF(O27=1,I27*J27,0)</x:f>
        <x:v>0</x:v>
      </x:c>
      <x:c r="T27" s="13" t="n">
        <x:f>IF(L27&gt;0,K27/L27,"n.a.")</x:f>
        <x:v>0.11699999999999999</x:v>
      </x:c>
      <x:c r="U27" s="12" t="n">
        <x:f>IF(Q27="Old cost",S27,0)</x:f>
        <x:v>0</x:v>
      </x:c>
      <x:c r="V27" s="12" t="n">
        <x:f>IF(Q27="Higher cost",S27,0)</x:f>
        <x:v>0</x:v>
      </x:c>
      <x:c r="W27" s="12" t="n">
        <x:f>IF(Q27="Unclassified",S27,0)</x:f>
        <x:v>0</x:v>
      </x:c>
      <x:c r="X27" s="12" t="n">
        <x:f>IF(AND(ISNUMBER(F27),F27&gt;0,F27&lt;=Summary!$D$5,H27&gt;0),H27*J27,0)</x:f>
        <x:v>80000</x:v>
      </x:c>
    </x:row>
    <x:row r="28" ht="21" customHeight="1">
      <x:c r="A28" s="1" t="str">
        <x:v>30</x:v>
      </x:c>
      <x:c r="B28" s="1" t="str">
        <x:v>800BBLKDSC</x:v>
      </x:c>
      <x:c r="C28" s="1" t="str">
        <x:v>3003939</x:v>
      </x:c>
      <x:c r="D28" s="1" t="str">
        <x:v>0</x:v>
      </x:c>
      <x:c r="E28" s="1"/>
      <x:c r="F28" s="7" t="n">
        <x:v>46190</x:v>
      </x:c>
      <x:c r="G28" s="7" t="n">
        <x:v>46192</x:v>
      </x:c>
      <x:c r="H28" s="8" t="n">
        <x:v>20000</x:v>
      </x:c>
      <x:c r="I28" s="8"/>
      <x:c r="J28" s="8" t="n">
        <x:v>1</x:v>
      </x:c>
      <x:c r="K28" s="9" t="n">
        <x:v>31.73</x:v>
      </x:c>
      <x:c r="L28" s="8" t="n">
        <x:v>100</x:v>
      </x:c>
      <x:c r="M28" s="10" t="n">
        <x:v>6664</x:v>
      </x:c>
      <x:c r="N28" s="8" t="str">
        <x:v>i</x:v>
      </x:c>
      <x:c r="O28" s="8" t="n">
        <x:v>0</x:v>
      </x:c>
      <x:c r="P28" s="11" t="n">
        <x:f>MIN(X28,MAX(0,SUMIFS('Current inventory'!$D$2:$D$127,'Current inventory'!$A$2:$A$127,A28,'Current inventory'!$B$2:$B$127,B28)-SUMIFS($X$2:X27,$A$2:A27,A28,$B$2:B27,B28)))</x:f>
        <x:v>3500</x:v>
      </x:c>
      <x:c r="Q28" s="1" t="str">
        <x:v>Received history</x:v>
      </x:c>
      <x:c r="R28" s="1" t="str">
        <x:v>Receipts data film c400 c800 plastic.csv</x:v>
      </x:c>
      <x:c r="S28" s="12" t="n">
        <x:f>IF(O28=1,I28*J28,0)</x:f>
        <x:v>0</x:v>
      </x:c>
      <x:c r="T28" s="13" t="n">
        <x:f>IF(L28&gt;0,K28/L28,"n.a.")</x:f>
        <x:v>0.3173</x:v>
      </x:c>
      <x:c r="U28" s="12" t="n">
        <x:f>IF(Q28="Old cost",S28,0)</x:f>
        <x:v>0</x:v>
      </x:c>
      <x:c r="V28" s="12" t="n">
        <x:f>IF(Q28="Higher cost",S28,0)</x:f>
        <x:v>0</x:v>
      </x:c>
      <x:c r="W28" s="12" t="n">
        <x:f>IF(Q28="Unclassified",S28,0)</x:f>
        <x:v>0</x:v>
      </x:c>
      <x:c r="X28" s="12" t="n">
        <x:f>IF(AND(ISNUMBER(F28),F28&gt;0,F28&lt;=Summary!$D$5,H28&gt;0),H28*J28,0)</x:f>
        <x:v>20000</x:v>
      </x:c>
    </x:row>
    <x:row r="29" ht="21" customHeight="1">
      <x:c r="A29" s="1" t="str">
        <x:v>30</x:v>
      </x:c>
      <x:c r="B29" s="1" t="str">
        <x:v>800BNAVASC</x:v>
      </x:c>
      <x:c r="C29" s="1" t="str">
        <x:v>3003939</x:v>
      </x:c>
      <x:c r="D29" s="1" t="str">
        <x:v>0</x:v>
      </x:c>
      <x:c r="E29" s="1"/>
      <x:c r="F29" s="7" t="n">
        <x:v>46190</x:v>
      </x:c>
      <x:c r="G29" s="7" t="n">
        <x:v>46262</x:v>
      </x:c>
      <x:c r="H29" s="8" t="n">
        <x:v>0</x:v>
      </x:c>
      <x:c r="I29" s="8"/>
      <x:c r="J29" s="8" t="n">
        <x:v>1</x:v>
      </x:c>
      <x:c r="K29" s="9" t="n">
        <x:v>14.43</x:v>
      </x:c>
      <x:c r="L29" s="8" t="n">
        <x:v>100</x:v>
      </x:c>
      <x:c r="M29" s="10" t="n">
        <x:v>0</x:v>
      </x:c>
      <x:c r="N29" s="8" t="str">
        <x:v>i</x:v>
      </x:c>
      <x:c r="O29" s="8" t="n">
        <x:v>0</x:v>
      </x:c>
      <x:c r="P29" s="11" t="n">
        <x:f>MIN(X29,MAX(0,SUMIFS('Current inventory'!$D$2:$D$127,'Current inventory'!$A$2:$A$127,A29,'Current inventory'!$B$2:$B$127,B29)-SUMIFS($X$2:X28,$A$2:A28,A29,$B$2:B28,B29)))</x:f>
        <x:v>0</x:v>
      </x:c>
      <x:c r="Q29" s="1" t="str">
        <x:v>Received history</x:v>
      </x:c>
      <x:c r="R29" s="1" t="str">
        <x:v>Receipts data film c400 c800 plastic.csv</x:v>
      </x:c>
      <x:c r="S29" s="12" t="n">
        <x:f>IF(O29=1,I29*J29,0)</x:f>
        <x:v>0</x:v>
      </x:c>
      <x:c r="T29" s="13" t="n">
        <x:f>IF(L29&gt;0,K29/L29,"n.a.")</x:f>
        <x:v>0.14429999999999998</x:v>
      </x:c>
      <x:c r="U29" s="12" t="n">
        <x:f>IF(Q29="Old cost",S29,0)</x:f>
        <x:v>0</x:v>
      </x:c>
      <x:c r="V29" s="12" t="n">
        <x:f>IF(Q29="Higher cost",S29,0)</x:f>
        <x:v>0</x:v>
      </x:c>
      <x:c r="W29" s="12" t="n">
        <x:f>IF(Q29="Unclassified",S29,0)</x:f>
        <x:v>0</x:v>
      </x:c>
      <x:c r="X29" s="12" t="n">
        <x:f>IF(AND(ISNUMBER(F29),F29&gt;0,F29&lt;=Summary!$D$5,H29&gt;0),H29*J29,0)</x:f>
        <x:v>0</x:v>
      </x:c>
    </x:row>
    <x:row r="30" ht="21" customHeight="1">
      <x:c r="A30" s="1" t="str">
        <x:v>60</x:v>
      </x:c>
      <x:c r="B30" s="1" t="str">
        <x:v>800BLKE</x:v>
      </x:c>
      <x:c r="C30" s="1" t="str">
        <x:v>6102915</x:v>
      </x:c>
      <x:c r="D30" s="1" t="str">
        <x:v>1</x:v>
      </x:c>
      <x:c r="E30" s="1"/>
      <x:c r="F30" s="7" t="n">
        <x:v>46189</x:v>
      </x:c>
      <x:c r="G30" s="7" t="n">
        <x:v>46192</x:v>
      </x:c>
      <x:c r="H30" s="8" t="n">
        <x:v>10000</x:v>
      </x:c>
      <x:c r="I30" s="8"/>
      <x:c r="J30" s="8" t="n">
        <x:v>1</x:v>
      </x:c>
      <x:c r="K30" s="9" t="n">
        <x:v>861.1</x:v>
      </x:c>
      <x:c r="L30" s="8" t="n">
        <x:v>1000</x:v>
      </x:c>
      <x:c r="M30" s="10" t="n">
        <x:v>9041.6</x:v>
      </x:c>
      <x:c r="N30" s="8" t="str">
        <x:v>i</x:v>
      </x:c>
      <x:c r="O30" s="8" t="n">
        <x:v>0</x:v>
      </x:c>
      <x:c r="P30" s="11" t="n">
        <x:f>MIN(X30,MAX(0,SUMIFS('Current inventory'!$D$2:$D$127,'Current inventory'!$A$2:$A$127,A30,'Current inventory'!$B$2:$B$127,B30)-SUMIFS($X$2:X29,$A$2:A29,A30,$B$2:B29,B30)))</x:f>
        <x:v>5888</x:v>
      </x:c>
      <x:c r="Q30" s="1" t="str">
        <x:v>Received history</x:v>
      </x:c>
      <x:c r="R30" s="1" t="str">
        <x:v>Receipts data film c400 c800 plastic.csv</x:v>
      </x:c>
      <x:c r="S30" s="12" t="n">
        <x:f>IF(O30=1,I30*J30,0)</x:f>
        <x:v>0</x:v>
      </x:c>
      <x:c r="T30" s="13" t="n">
        <x:f>IF(L30&gt;0,K30/L30,"n.a.")</x:f>
        <x:v>0.8611</x:v>
      </x:c>
      <x:c r="U30" s="12" t="n">
        <x:f>IF(Q30="Old cost",S30,0)</x:f>
        <x:v>0</x:v>
      </x:c>
      <x:c r="V30" s="12" t="n">
        <x:f>IF(Q30="Higher cost",S30,0)</x:f>
        <x:v>0</x:v>
      </x:c>
      <x:c r="W30" s="12" t="n">
        <x:f>IF(Q30="Unclassified",S30,0)</x:f>
        <x:v>0</x:v>
      </x:c>
      <x:c r="X30" s="12" t="n">
        <x:f>IF(AND(ISNUMBER(F30),F30&gt;0,F30&lt;=Summary!$D$5,H30&gt;0),H30*J30,0)</x:f>
        <x:v>10000</x:v>
      </x:c>
    </x:row>
    <x:row r="31" ht="21" customHeight="1">
      <x:c r="A31" s="1" t="str">
        <x:v>60</x:v>
      </x:c>
      <x:c r="B31" s="1" t="str">
        <x:v>800BNAVASC</x:v>
      </x:c>
      <x:c r="C31" s="1" t="str">
        <x:v>6102915</x:v>
      </x:c>
      <x:c r="D31" s="1" t="str">
        <x:v>1</x:v>
      </x:c>
      <x:c r="E31" s="1"/>
      <x:c r="F31" s="7" t="n">
        <x:v>46189</x:v>
      </x:c>
      <x:c r="G31" s="7" t="n">
        <x:v>46241</x:v>
      </x:c>
      <x:c r="H31" s="8" t="n">
        <x:v>0</x:v>
      </x:c>
      <x:c r="I31" s="8"/>
      <x:c r="J31" s="8" t="n">
        <x:v>1</x:v>
      </x:c>
      <x:c r="K31" s="9" t="n">
        <x:v>14.43</x:v>
      </x:c>
      <x:c r="L31" s="8" t="n">
        <x:v>100</x:v>
      </x:c>
      <x:c r="M31" s="10" t="n">
        <x:v>0</x:v>
      </x:c>
      <x:c r="N31" s="8" t="str">
        <x:v>i</x:v>
      </x:c>
      <x:c r="O31" s="8" t="n">
        <x:v>0</x:v>
      </x:c>
      <x:c r="P31" s="11" t="n">
        <x:f>MIN(X31,MAX(0,SUMIFS('Current inventory'!$D$2:$D$127,'Current inventory'!$A$2:$A$127,A31,'Current inventory'!$B$2:$B$127,B31)-SUMIFS($X$2:X30,$A$2:A30,A31,$B$2:B30,B31)))</x:f>
        <x:v>0</x:v>
      </x:c>
      <x:c r="Q31" s="1" t="str">
        <x:v>Received history</x:v>
      </x:c>
      <x:c r="R31" s="1" t="str">
        <x:v>Receipts data film c400 c800 plastic.csv</x:v>
      </x:c>
      <x:c r="S31" s="12" t="n">
        <x:f>IF(O31=1,I31*J31,0)</x:f>
        <x:v>0</x:v>
      </x:c>
      <x:c r="T31" s="13" t="n">
        <x:f>IF(L31&gt;0,K31/L31,"n.a.")</x:f>
        <x:v>0.14429999999999998</x:v>
      </x:c>
      <x:c r="U31" s="12" t="n">
        <x:f>IF(Q31="Old cost",S31,0)</x:f>
        <x:v>0</x:v>
      </x:c>
      <x:c r="V31" s="12" t="n">
        <x:f>IF(Q31="Higher cost",S31,0)</x:f>
        <x:v>0</x:v>
      </x:c>
      <x:c r="W31" s="12" t="n">
        <x:f>IF(Q31="Unclassified",S31,0)</x:f>
        <x:v>0</x:v>
      </x:c>
      <x:c r="X31" s="12" t="n">
        <x:f>IF(AND(ISNUMBER(F31),F31&gt;0,F31&lt;=Summary!$D$5,H31&gt;0),H31*J31,0)</x:f>
        <x:v>0</x:v>
      </x:c>
    </x:row>
    <x:row r="32" ht="21" customHeight="1">
      <x:c r="A32" s="1" t="str">
        <x:v>60</x:v>
      </x:c>
      <x:c r="B32" s="1" t="str">
        <x:v>800NAVE</x:v>
      </x:c>
      <x:c r="C32" s="1" t="str">
        <x:v>6102915</x:v>
      </x:c>
      <x:c r="D32" s="1" t="str">
        <x:v>1</x:v>
      </x:c>
      <x:c r="E32" s="1"/>
      <x:c r="F32" s="7" t="n">
        <x:v>46189</x:v>
      </x:c>
      <x:c r="G32" s="7" t="n">
        <x:v>46241</x:v>
      </x:c>
      <x:c r="H32" s="8" t="n">
        <x:v>0</x:v>
      </x:c>
      <x:c r="I32" s="8"/>
      <x:c r="J32" s="8" t="n">
        <x:v>1</x:v>
      </x:c>
      <x:c r="K32" s="9" t="n">
        <x:v>993.6</x:v>
      </x:c>
      <x:c r="L32" s="8" t="n">
        <x:v>1000</x:v>
      </x:c>
      <x:c r="M32" s="10" t="n">
        <x:v>0</x:v>
      </x:c>
      <x:c r="N32" s="8" t="str">
        <x:v>i</x:v>
      </x:c>
      <x:c r="O32" s="8" t="n">
        <x:v>0</x:v>
      </x:c>
      <x:c r="P32" s="11" t="n">
        <x:f>MIN(X32,MAX(0,SUMIFS('Current inventory'!$D$2:$D$127,'Current inventory'!$A$2:$A$127,A32,'Current inventory'!$B$2:$B$127,B32)-SUMIFS($X$2:X31,$A$2:A31,A32,$B$2:B31,B32)))</x:f>
        <x:v>0</x:v>
      </x:c>
      <x:c r="Q32" s="1" t="str">
        <x:v>Received history</x:v>
      </x:c>
      <x:c r="R32" s="1" t="str">
        <x:v>Receipts data film c400 c800 plastic.csv</x:v>
      </x:c>
      <x:c r="S32" s="12" t="n">
        <x:f>IF(O32=1,I32*J32,0)</x:f>
        <x:v>0</x:v>
      </x:c>
      <x:c r="T32" s="13" t="n">
        <x:f>IF(L32&gt;0,K32/L32,"n.a.")</x:f>
        <x:v>0.9936</x:v>
      </x:c>
      <x:c r="U32" s="12" t="n">
        <x:f>IF(Q32="Old cost",S32,0)</x:f>
        <x:v>0</x:v>
      </x:c>
      <x:c r="V32" s="12" t="n">
        <x:f>IF(Q32="Higher cost",S32,0)</x:f>
        <x:v>0</x:v>
      </x:c>
      <x:c r="W32" s="12" t="n">
        <x:f>IF(Q32="Unclassified",S32,0)</x:f>
        <x:v>0</x:v>
      </x:c>
      <x:c r="X32" s="12" t="n">
        <x:f>IF(AND(ISNUMBER(F32),F32&gt;0,F32&lt;=Summary!$D$5,H32&gt;0),H32*J32,0)</x:f>
        <x:v>0</x:v>
      </x:c>
    </x:row>
    <x:row r="33" ht="21" customHeight="1">
      <x:c r="A33" s="1" t="str">
        <x:v>10</x:v>
      </x:c>
      <x:c r="B33" s="1" t="str">
        <x:v>800BBLKDSC</x:v>
      </x:c>
      <x:c r="C33" s="1" t="str">
        <x:v>1060416</x:v>
      </x:c>
      <x:c r="D33" s="1" t="str">
        <x:v>1</x:v>
      </x:c>
      <x:c r="E33" s="1"/>
      <x:c r="F33" s="7" t="n">
        <x:v>46183</x:v>
      </x:c>
      <x:c r="G33" s="7" t="n">
        <x:v>46178</x:v>
      </x:c>
      <x:c r="H33" s="8" t="n">
        <x:v>60000</x:v>
      </x:c>
      <x:c r="I33" s="8"/>
      <x:c r="J33" s="8" t="n">
        <x:v>1</x:v>
      </x:c>
      <x:c r="K33" s="9" t="n">
        <x:v>31.73</x:v>
      </x:c>
      <x:c r="L33" s="8" t="n">
        <x:v>100</x:v>
      </x:c>
      <x:c r="M33" s="10" t="n">
        <x:v>19992</x:v>
      </x:c>
      <x:c r="N33" s="8" t="str">
        <x:v>i</x:v>
      </x:c>
      <x:c r="O33" s="8" t="n">
        <x:v>0</x:v>
      </x:c>
      <x:c r="P33" s="11" t="n">
        <x:f>MIN(X33,MAX(0,SUMIFS('Current inventory'!$D$2:$D$127,'Current inventory'!$A$2:$A$127,A33,'Current inventory'!$B$2:$B$127,B33)-SUMIFS($X$2:X32,$A$2:A32,A33,$B$2:B32,B33)))</x:f>
        <x:v>47900</x:v>
      </x:c>
      <x:c r="Q33" s="1" t="str">
        <x:v>Received history</x:v>
      </x:c>
      <x:c r="R33" s="1" t="str">
        <x:v>Receipts data film c400 c800 plastic.csv</x:v>
      </x:c>
      <x:c r="S33" s="12" t="n">
        <x:f>IF(O33=1,I33*J33,0)</x:f>
        <x:v>0</x:v>
      </x:c>
      <x:c r="T33" s="13" t="n">
        <x:f>IF(L33&gt;0,K33/L33,"n.a.")</x:f>
        <x:v>0.3173</x:v>
      </x:c>
      <x:c r="U33" s="12" t="n">
        <x:f>IF(Q33="Old cost",S33,0)</x:f>
        <x:v>0</x:v>
      </x:c>
      <x:c r="V33" s="12" t="n">
        <x:f>IF(Q33="Higher cost",S33,0)</x:f>
        <x:v>0</x:v>
      </x:c>
      <x:c r="W33" s="12" t="n">
        <x:f>IF(Q33="Unclassified",S33,0)</x:f>
        <x:v>0</x:v>
      </x:c>
      <x:c r="X33" s="12" t="n">
        <x:f>IF(AND(ISNUMBER(F33),F33&gt;0,F33&lt;=Summary!$D$5,H33&gt;0),H33*J33,0)</x:f>
        <x:v>60000</x:v>
      </x:c>
    </x:row>
    <x:row r="34" ht="21" customHeight="1">
      <x:c r="A34" s="1" t="str">
        <x:v>10</x:v>
      </x:c>
      <x:c r="B34" s="1" t="str">
        <x:v>800BLKE</x:v>
      </x:c>
      <x:c r="C34" s="1" t="str">
        <x:v>1060416</x:v>
      </x:c>
      <x:c r="D34" s="1" t="str">
        <x:v>1</x:v>
      </x:c>
      <x:c r="E34" s="1"/>
      <x:c r="F34" s="7" t="n">
        <x:v>46183</x:v>
      </x:c>
      <x:c r="G34" s="7" t="n">
        <x:v>46192</x:v>
      </x:c>
      <x:c r="H34" s="8" t="n">
        <x:v>0</x:v>
      </x:c>
      <x:c r="I34" s="8"/>
      <x:c r="J34" s="8" t="n">
        <x:v>1</x:v>
      </x:c>
      <x:c r="K34" s="9" t="n">
        <x:v>861.1</x:v>
      </x:c>
      <x:c r="L34" s="8" t="n">
        <x:v>1000</x:v>
      </x:c>
      <x:c r="M34" s="10" t="n">
        <x:v>0</x:v>
      </x:c>
      <x:c r="N34" s="8" t="str">
        <x:v>i</x:v>
      </x:c>
      <x:c r="O34" s="8" t="n">
        <x:v>0</x:v>
      </x:c>
      <x:c r="P34" s="11" t="n">
        <x:f>MIN(X34,MAX(0,SUMIFS('Current inventory'!$D$2:$D$127,'Current inventory'!$A$2:$A$127,A34,'Current inventory'!$B$2:$B$127,B34)-SUMIFS($X$2:X33,$A$2:A33,A34,$B$2:B33,B34)))</x:f>
        <x:v>0</x:v>
      </x:c>
      <x:c r="Q34" s="1" t="str">
        <x:v>Received history</x:v>
      </x:c>
      <x:c r="R34" s="1" t="str">
        <x:v>Receipts data film c400 c800 plastic.csv</x:v>
      </x:c>
      <x:c r="S34" s="12" t="n">
        <x:f>IF(O34=1,I34*J34,0)</x:f>
        <x:v>0</x:v>
      </x:c>
      <x:c r="T34" s="13" t="n">
        <x:f>IF(L34&gt;0,K34/L34,"n.a.")</x:f>
        <x:v>0.8611</x:v>
      </x:c>
      <x:c r="U34" s="12" t="n">
        <x:f>IF(Q34="Old cost",S34,0)</x:f>
        <x:v>0</x:v>
      </x:c>
      <x:c r="V34" s="12" t="n">
        <x:f>IF(Q34="Higher cost",S34,0)</x:f>
        <x:v>0</x:v>
      </x:c>
      <x:c r="W34" s="12" t="n">
        <x:f>IF(Q34="Unclassified",S34,0)</x:f>
        <x:v>0</x:v>
      </x:c>
      <x:c r="X34" s="12" t="n">
        <x:f>IF(AND(ISNUMBER(F34),F34&gt;0,F34&lt;=Summary!$D$5,H34&gt;0),H34*J34,0)</x:f>
        <x:v>0</x:v>
      </x:c>
    </x:row>
    <x:row r="35" ht="21" customHeight="1">
      <x:c r="A35" s="1" t="str">
        <x:v>10</x:v>
      </x:c>
      <x:c r="B35" s="1" t="str">
        <x:v>800BNAVASC</x:v>
      </x:c>
      <x:c r="C35" s="1" t="str">
        <x:v>1060416</x:v>
      </x:c>
      <x:c r="D35" s="1" t="str">
        <x:v>1</x:v>
      </x:c>
      <x:c r="E35" s="1"/>
      <x:c r="F35" s="7" t="n">
        <x:v>46183</x:v>
      </x:c>
      <x:c r="G35" s="7" t="n">
        <x:v>46192</x:v>
      </x:c>
      <x:c r="H35" s="8" t="n">
        <x:v>0</x:v>
      </x:c>
      <x:c r="I35" s="8"/>
      <x:c r="J35" s="8" t="n">
        <x:v>1</x:v>
      </x:c>
      <x:c r="K35" s="9" t="n">
        <x:v>14.43</x:v>
      </x:c>
      <x:c r="L35" s="8" t="n">
        <x:v>100</x:v>
      </x:c>
      <x:c r="M35" s="10" t="n">
        <x:v>0</x:v>
      </x:c>
      <x:c r="N35" s="8" t="str">
        <x:v>i</x:v>
      </x:c>
      <x:c r="O35" s="8" t="n">
        <x:v>0</x:v>
      </x:c>
      <x:c r="P35" s="11" t="n">
        <x:f>MIN(X35,MAX(0,SUMIFS('Current inventory'!$D$2:$D$127,'Current inventory'!$A$2:$A$127,A35,'Current inventory'!$B$2:$B$127,B35)-SUMIFS($X$2:X34,$A$2:A34,A35,$B$2:B34,B35)))</x:f>
        <x:v>0</x:v>
      </x:c>
      <x:c r="Q35" s="1" t="str">
        <x:v>Received history</x:v>
      </x:c>
      <x:c r="R35" s="1" t="str">
        <x:v>Receipts data film c400 c800 plastic.csv</x:v>
      </x:c>
      <x:c r="S35" s="12" t="n">
        <x:f>IF(O35=1,I35*J35,0)</x:f>
        <x:v>0</x:v>
      </x:c>
      <x:c r="T35" s="13" t="n">
        <x:f>IF(L35&gt;0,K35/L35,"n.a.")</x:f>
        <x:v>0.14429999999999998</x:v>
      </x:c>
      <x:c r="U35" s="12" t="n">
        <x:f>IF(Q35="Old cost",S35,0)</x:f>
        <x:v>0</x:v>
      </x:c>
      <x:c r="V35" s="12" t="n">
        <x:f>IF(Q35="Higher cost",S35,0)</x:f>
        <x:v>0</x:v>
      </x:c>
      <x:c r="W35" s="12" t="n">
        <x:f>IF(Q35="Unclassified",S35,0)</x:f>
        <x:v>0</x:v>
      </x:c>
      <x:c r="X35" s="12" t="n">
        <x:f>IF(AND(ISNUMBER(F35),F35&gt;0,F35&lt;=Summary!$D$5,H35&gt;0),H35*J35,0)</x:f>
        <x:v>0</x:v>
      </x:c>
    </x:row>
    <x:row r="36" ht="21" customHeight="1">
      <x:c r="A36" s="1" t="str">
        <x:v>10</x:v>
      </x:c>
      <x:c r="B36" s="1" t="str">
        <x:v>800NAVE</x:v>
      </x:c>
      <x:c r="C36" s="1" t="str">
        <x:v>1060416</x:v>
      </x:c>
      <x:c r="D36" s="1" t="str">
        <x:v>1</x:v>
      </x:c>
      <x:c r="E36" s="1"/>
      <x:c r="F36" s="7" t="n">
        <x:v>46183</x:v>
      </x:c>
      <x:c r="G36" s="7" t="n">
        <x:v>46199</x:v>
      </x:c>
      <x:c r="H36" s="8" t="n">
        <x:v>10200</x:v>
      </x:c>
      <x:c r="I36" s="8"/>
      <x:c r="J36" s="8" t="n">
        <x:v>1</x:v>
      </x:c>
      <x:c r="K36" s="9" t="n">
        <x:v>993.6</x:v>
      </x:c>
      <x:c r="L36" s="8" t="n">
        <x:v>1000</x:v>
      </x:c>
      <x:c r="M36" s="10" t="n">
        <x:v>10641.46</x:v>
      </x:c>
      <x:c r="N36" s="8" t="str">
        <x:v>i</x:v>
      </x:c>
      <x:c r="O36" s="8" t="n">
        <x:v>0</x:v>
      </x:c>
      <x:c r="P36" s="11" t="n">
        <x:f>MIN(X36,MAX(0,SUMIFS('Current inventory'!$D$2:$D$127,'Current inventory'!$A$2:$A$127,A36,'Current inventory'!$B$2:$B$127,B36)-SUMIFS($X$2:X35,$A$2:A35,A36,$B$2:B35,B36)))</x:f>
        <x:v>7911</x:v>
      </x:c>
      <x:c r="Q36" s="1" t="str">
        <x:v>Received history</x:v>
      </x:c>
      <x:c r="R36" s="1" t="str">
        <x:v>Receipts data film c400 c800 plastic.csv</x:v>
      </x:c>
      <x:c r="S36" s="12" t="n">
        <x:f>IF(O36=1,I36*J36,0)</x:f>
        <x:v>0</x:v>
      </x:c>
      <x:c r="T36" s="13" t="n">
        <x:f>IF(L36&gt;0,K36/L36,"n.a.")</x:f>
        <x:v>0.9936</x:v>
      </x:c>
      <x:c r="U36" s="12" t="n">
        <x:f>IF(Q36="Old cost",S36,0)</x:f>
        <x:v>0</x:v>
      </x:c>
      <x:c r="V36" s="12" t="n">
        <x:f>IF(Q36="Higher cost",S36,0)</x:f>
        <x:v>0</x:v>
      </x:c>
      <x:c r="W36" s="12" t="n">
        <x:f>IF(Q36="Unclassified",S36,0)</x:f>
        <x:v>0</x:v>
      </x:c>
      <x:c r="X36" s="12" t="n">
        <x:f>IF(AND(ISNUMBER(F36),F36&gt;0,F36&lt;=Summary!$D$5,H36&gt;0),H36*J36,0)</x:f>
        <x:v>10200</x:v>
      </x:c>
    </x:row>
    <x:row r="37" ht="21" customHeight="1">
      <x:c r="A37" s="1" t="str">
        <x:v>60</x:v>
      </x:c>
      <x:c r="B37" s="1" t="str">
        <x:v>800BBLKASC</x:v>
      </x:c>
      <x:c r="C37" s="1" t="str">
        <x:v>6102915</x:v>
      </x:c>
      <x:c r="D37" s="1" t="str">
        <x:v>0</x:v>
      </x:c>
      <x:c r="E37" s="1"/>
      <x:c r="F37" s="7" t="n">
        <x:v>46182</x:v>
      </x:c>
      <x:c r="G37" s="7" t="n">
        <x:v>46185</x:v>
      </x:c>
      <x:c r="H37" s="8" t="n">
        <x:v>200000</x:v>
      </x:c>
      <x:c r="I37" s="8"/>
      <x:c r="J37" s="8" t="n">
        <x:v>1</x:v>
      </x:c>
      <x:c r="K37" s="9" t="n">
        <x:v>11.7</x:v>
      </x:c>
      <x:c r="L37" s="8" t="n">
        <x:v>100</x:v>
      </x:c>
      <x:c r="M37" s="10" t="n">
        <x:v>24580</x:v>
      </x:c>
      <x:c r="N37" s="8" t="str">
        <x:v>i</x:v>
      </x:c>
      <x:c r="O37" s="8" t="n">
        <x:v>0</x:v>
      </x:c>
      <x:c r="P37" s="11" t="n">
        <x:f>MIN(X37,MAX(0,SUMIFS('Current inventory'!$D$2:$D$127,'Current inventory'!$A$2:$A$127,A37,'Current inventory'!$B$2:$B$127,B37)-SUMIFS($X$2:X36,$A$2:A36,A37,$B$2:B36,B37)))</x:f>
        <x:v>49800</x:v>
      </x:c>
      <x:c r="Q37" s="1" t="str">
        <x:v>Received history</x:v>
      </x:c>
      <x:c r="R37" s="1" t="str">
        <x:v>Receipts data film c400 c800 plastic.csv</x:v>
      </x:c>
      <x:c r="S37" s="12" t="n">
        <x:f>IF(O37=1,I37*J37,0)</x:f>
        <x:v>0</x:v>
      </x:c>
      <x:c r="T37" s="13" t="n">
        <x:f>IF(L37&gt;0,K37/L37,"n.a.")</x:f>
        <x:v>0.11699999999999999</x:v>
      </x:c>
      <x:c r="U37" s="12" t="n">
        <x:f>IF(Q37="Old cost",S37,0)</x:f>
        <x:v>0</x:v>
      </x:c>
      <x:c r="V37" s="12" t="n">
        <x:f>IF(Q37="Higher cost",S37,0)</x:f>
        <x:v>0</x:v>
      </x:c>
      <x:c r="W37" s="12" t="n">
        <x:f>IF(Q37="Unclassified",S37,0)</x:f>
        <x:v>0</x:v>
      </x:c>
      <x:c r="X37" s="12" t="n">
        <x:f>IF(AND(ISNUMBER(F37),F37&gt;0,F37&lt;=Summary!$D$5,H37&gt;0),H37*J37,0)</x:f>
        <x:v>200000</x:v>
      </x:c>
    </x:row>
    <x:row r="38" ht="21" customHeight="1">
      <x:c r="A38" s="1" t="str">
        <x:v>60</x:v>
      </x:c>
      <x:c r="B38" s="1" t="str">
        <x:v>800BBLKDSC</x:v>
      </x:c>
      <x:c r="C38" s="1" t="str">
        <x:v>6102915</x:v>
      </x:c>
      <x:c r="D38" s="1" t="str">
        <x:v>0</x:v>
      </x:c>
      <x:c r="E38" s="1"/>
      <x:c r="F38" s="7" t="n">
        <x:v>46182</x:v>
      </x:c>
      <x:c r="G38" s="7" t="n">
        <x:v>46178</x:v>
      </x:c>
      <x:c r="H38" s="8" t="n">
        <x:v>80000</x:v>
      </x:c>
      <x:c r="I38" s="8"/>
      <x:c r="J38" s="8" t="n">
        <x:v>1</x:v>
      </x:c>
      <x:c r="K38" s="9" t="n">
        <x:v>31.73</x:v>
      </x:c>
      <x:c r="L38" s="8" t="n">
        <x:v>100</x:v>
      </x:c>
      <x:c r="M38" s="10" t="n">
        <x:v>26656</x:v>
      </x:c>
      <x:c r="N38" s="8" t="str">
        <x:v>i</x:v>
      </x:c>
      <x:c r="O38" s="8" t="n">
        <x:v>0</x:v>
      </x:c>
      <x:c r="P38" s="11" t="n">
        <x:f>MIN(X38,MAX(0,SUMIFS('Current inventory'!$D$2:$D$127,'Current inventory'!$A$2:$A$127,A38,'Current inventory'!$B$2:$B$127,B38)-SUMIFS($X$2:X37,$A$2:A37,A38,$B$2:B37,B38)))</x:f>
        <x:v>43300</x:v>
      </x:c>
      <x:c r="Q38" s="1" t="str">
        <x:v>Received history</x:v>
      </x:c>
      <x:c r="R38" s="1" t="str">
        <x:v>Receipts data film c400 c800 plastic.csv</x:v>
      </x:c>
      <x:c r="S38" s="12" t="n">
        <x:f>IF(O38=1,I38*J38,0)</x:f>
        <x:v>0</x:v>
      </x:c>
      <x:c r="T38" s="13" t="n">
        <x:f>IF(L38&gt;0,K38/L38,"n.a.")</x:f>
        <x:v>0.3173</x:v>
      </x:c>
      <x:c r="U38" s="12" t="n">
        <x:f>IF(Q38="Old cost",S38,0)</x:f>
        <x:v>0</x:v>
      </x:c>
      <x:c r="V38" s="12" t="n">
        <x:f>IF(Q38="Higher cost",S38,0)</x:f>
        <x:v>0</x:v>
      </x:c>
      <x:c r="W38" s="12" t="n">
        <x:f>IF(Q38="Unclassified",S38,0)</x:f>
        <x:v>0</x:v>
      </x:c>
      <x:c r="X38" s="12" t="n">
        <x:f>IF(AND(ISNUMBER(F38),F38&gt;0,F38&lt;=Summary!$D$5,H38&gt;0),H38*J38,0)</x:f>
        <x:v>80000</x:v>
      </x:c>
    </x:row>
    <x:row r="39" ht="21" customHeight="1">
      <x:c r="A39" s="1" t="str">
        <x:v>60</x:v>
      </x:c>
      <x:c r="B39" s="1" t="str">
        <x:v>800BLKE</x:v>
      </x:c>
      <x:c r="C39" s="1" t="str">
        <x:v>6102915</x:v>
      </x:c>
      <x:c r="D39" s="1" t="str">
        <x:v>0</x:v>
      </x:c>
      <x:c r="E39" s="1"/>
      <x:c r="F39" s="7" t="n">
        <x:v>46182</x:v>
      </x:c>
      <x:c r="G39" s="7" t="n">
        <x:v>46192</x:v>
      </x:c>
      <x:c r="H39" s="8" t="n">
        <x:v>0</x:v>
      </x:c>
      <x:c r="I39" s="8"/>
      <x:c r="J39" s="8" t="n">
        <x:v>1</x:v>
      </x:c>
      <x:c r="K39" s="9" t="n">
        <x:v>861.1</x:v>
      </x:c>
      <x:c r="L39" s="8" t="n">
        <x:v>1000</x:v>
      </x:c>
      <x:c r="M39" s="10" t="n">
        <x:v>0</x:v>
      </x:c>
      <x:c r="N39" s="8" t="str">
        <x:v>i</x:v>
      </x:c>
      <x:c r="O39" s="8" t="n">
        <x:v>0</x:v>
      </x:c>
      <x:c r="P39" s="11" t="n">
        <x:f>MIN(X39,MAX(0,SUMIFS('Current inventory'!$D$2:$D$127,'Current inventory'!$A$2:$A$127,A39,'Current inventory'!$B$2:$B$127,B39)-SUMIFS($X$2:X38,$A$2:A38,A39,$B$2:B38,B39)))</x:f>
        <x:v>0</x:v>
      </x:c>
      <x:c r="Q39" s="1" t="str">
        <x:v>Received history</x:v>
      </x:c>
      <x:c r="R39" s="1" t="str">
        <x:v>Receipts data film c400 c800 plastic.csv</x:v>
      </x:c>
      <x:c r="S39" s="12" t="n">
        <x:f>IF(O39=1,I39*J39,0)</x:f>
        <x:v>0</x:v>
      </x:c>
      <x:c r="T39" s="13" t="n">
        <x:f>IF(L39&gt;0,K39/L39,"n.a.")</x:f>
        <x:v>0.8611</x:v>
      </x:c>
      <x:c r="U39" s="12" t="n">
        <x:f>IF(Q39="Old cost",S39,0)</x:f>
        <x:v>0</x:v>
      </x:c>
      <x:c r="V39" s="12" t="n">
        <x:f>IF(Q39="Higher cost",S39,0)</x:f>
        <x:v>0</x:v>
      </x:c>
      <x:c r="W39" s="12" t="n">
        <x:f>IF(Q39="Unclassified",S39,0)</x:f>
        <x:v>0</x:v>
      </x:c>
      <x:c r="X39" s="12" t="n">
        <x:f>IF(AND(ISNUMBER(F39),F39&gt;0,F39&lt;=Summary!$D$5,H39&gt;0),H39*J39,0)</x:f>
        <x:v>0</x:v>
      </x:c>
    </x:row>
    <x:row r="40" ht="21" customHeight="1">
      <x:c r="A40" s="1" t="str">
        <x:v>60</x:v>
      </x:c>
      <x:c r="B40" s="1" t="str">
        <x:v>800BNAVASC</x:v>
      </x:c>
      <x:c r="C40" s="1" t="str">
        <x:v>6102915</x:v>
      </x:c>
      <x:c r="D40" s="1" t="str">
        <x:v>0</x:v>
      </x:c>
      <x:c r="E40" s="1"/>
      <x:c r="F40" s="7" t="n">
        <x:v>46182</x:v>
      </x:c>
      <x:c r="G40" s="7" t="n">
        <x:v>46192</x:v>
      </x:c>
      <x:c r="H40" s="8" t="n">
        <x:v>0</x:v>
      </x:c>
      <x:c r="I40" s="8"/>
      <x:c r="J40" s="8" t="n">
        <x:v>1</x:v>
      </x:c>
      <x:c r="K40" s="9" t="n">
        <x:v>14.43</x:v>
      </x:c>
      <x:c r="L40" s="8" t="n">
        <x:v>100</x:v>
      </x:c>
      <x:c r="M40" s="10" t="n">
        <x:v>0</x:v>
      </x:c>
      <x:c r="N40" s="8" t="str">
        <x:v>i</x:v>
      </x:c>
      <x:c r="O40" s="8" t="n">
        <x:v>0</x:v>
      </x:c>
      <x:c r="P40" s="11" t="n">
        <x:f>MIN(X40,MAX(0,SUMIFS('Current inventory'!$D$2:$D$127,'Current inventory'!$A$2:$A$127,A40,'Current inventory'!$B$2:$B$127,B40)-SUMIFS($X$2:X39,$A$2:A39,A40,$B$2:B39,B40)))</x:f>
        <x:v>0</x:v>
      </x:c>
      <x:c r="Q40" s="1" t="str">
        <x:v>Received history</x:v>
      </x:c>
      <x:c r="R40" s="1" t="str">
        <x:v>Receipts data film c400 c800 plastic.csv</x:v>
      </x:c>
      <x:c r="S40" s="12" t="n">
        <x:f>IF(O40=1,I40*J40,0)</x:f>
        <x:v>0</x:v>
      </x:c>
      <x:c r="T40" s="13" t="n">
        <x:f>IF(L40&gt;0,K40/L40,"n.a.")</x:f>
        <x:v>0.14429999999999998</x:v>
      </x:c>
      <x:c r="U40" s="12" t="n">
        <x:f>IF(Q40="Old cost",S40,0)</x:f>
        <x:v>0</x:v>
      </x:c>
      <x:c r="V40" s="12" t="n">
        <x:f>IF(Q40="Higher cost",S40,0)</x:f>
        <x:v>0</x:v>
      </x:c>
      <x:c r="W40" s="12" t="n">
        <x:f>IF(Q40="Unclassified",S40,0)</x:f>
        <x:v>0</x:v>
      </x:c>
      <x:c r="X40" s="12" t="n">
        <x:f>IF(AND(ISNUMBER(F40),F40&gt;0,F40&lt;=Summary!$D$5,H40&gt;0),H40*J40,0)</x:f>
        <x:v>0</x:v>
      </x:c>
    </x:row>
    <x:row r="41" ht="21" customHeight="1">
      <x:c r="A41" s="1" t="str">
        <x:v>60</x:v>
      </x:c>
      <x:c r="B41" s="1" t="str">
        <x:v>800MARE</x:v>
      </x:c>
      <x:c r="C41" s="1" t="str">
        <x:v>6102915</x:v>
      </x:c>
      <x:c r="D41" s="1" t="str">
        <x:v>0</x:v>
      </x:c>
      <x:c r="E41" s="1"/>
      <x:c r="F41" s="7" t="n">
        <x:v>46182</x:v>
      </x:c>
      <x:c r="G41" s="7" t="n">
        <x:v>46178</x:v>
      </x:c>
      <x:c r="H41" s="8" t="n">
        <x:v>2600</x:v>
      </x:c>
      <x:c r="I41" s="8"/>
      <x:c r="J41" s="8" t="n">
        <x:v>1</x:v>
      </x:c>
      <x:c r="K41" s="9" t="n">
        <x:v>1229.8</x:v>
      </x:c>
      <x:c r="L41" s="8" t="n">
        <x:v>1000</x:v>
      </x:c>
      <x:c r="M41" s="10" t="n">
        <x:v>3357.35</x:v>
      </x:c>
      <x:c r="N41" s="8" t="str">
        <x:v>i</x:v>
      </x:c>
      <x:c r="O41" s="8" t="n">
        <x:v>0</x:v>
      </x:c>
      <x:c r="P41" s="11" t="n">
        <x:f>MIN(X41,MAX(0,SUMIFS('Current inventory'!$D$2:$D$127,'Current inventory'!$A$2:$A$127,A41,'Current inventory'!$B$2:$B$127,B41)-SUMIFS($X$2:X40,$A$2:A40,A41,$B$2:B40,B41)))</x:f>
        <x:v>2600</x:v>
      </x:c>
      <x:c r="Q41" s="1" t="str">
        <x:v>Received history</x:v>
      </x:c>
      <x:c r="R41" s="1" t="str">
        <x:v>Receipts data film c400 c800 plastic.csv</x:v>
      </x:c>
      <x:c r="S41" s="12" t="n">
        <x:f>IF(O41=1,I41*J41,0)</x:f>
        <x:v>0</x:v>
      </x:c>
      <x:c r="T41" s="13" t="n">
        <x:f>IF(L41&gt;0,K41/L41,"n.a.")</x:f>
        <x:v>1.2298</x:v>
      </x:c>
      <x:c r="U41" s="12" t="n">
        <x:f>IF(Q41="Old cost",S41,0)</x:f>
        <x:v>0</x:v>
      </x:c>
      <x:c r="V41" s="12" t="n">
        <x:f>IF(Q41="Higher cost",S41,0)</x:f>
        <x:v>0</x:v>
      </x:c>
      <x:c r="W41" s="12" t="n">
        <x:f>IF(Q41="Unclassified",S41,0)</x:f>
        <x:v>0</x:v>
      </x:c>
      <x:c r="X41" s="12" t="n">
        <x:f>IF(AND(ISNUMBER(F41),F41&gt;0,F41&lt;=Summary!$D$5,H41&gt;0),H41*J41,0)</x:f>
        <x:v>2600</x:v>
      </x:c>
    </x:row>
    <x:row r="42" ht="21" customHeight="1">
      <x:c r="A42" s="1" t="str">
        <x:v>60</x:v>
      </x:c>
      <x:c r="B42" s="1" t="str">
        <x:v>800NAVE</x:v>
      </x:c>
      <x:c r="C42" s="1" t="str">
        <x:v>6102915</x:v>
      </x:c>
      <x:c r="D42" s="1" t="str">
        <x:v>0</x:v>
      </x:c>
      <x:c r="E42" s="1"/>
      <x:c r="F42" s="7" t="n">
        <x:v>46182</x:v>
      </x:c>
      <x:c r="G42" s="7" t="n">
        <x:v>46199</x:v>
      </x:c>
      <x:c r="H42" s="8" t="n">
        <x:v>7068</x:v>
      </x:c>
      <x:c r="I42" s="8"/>
      <x:c r="J42" s="8" t="n">
        <x:v>1</x:v>
      </x:c>
      <x:c r="K42" s="9" t="n">
        <x:v>993.6</x:v>
      </x:c>
      <x:c r="L42" s="8" t="n">
        <x:v>1000</x:v>
      </x:c>
      <x:c r="M42" s="10" t="n">
        <x:v>7373.9</x:v>
      </x:c>
      <x:c r="N42" s="8" t="str">
        <x:v>i</x:v>
      </x:c>
      <x:c r="O42" s="8" t="n">
        <x:v>0</x:v>
      </x:c>
      <x:c r="P42" s="11" t="n">
        <x:f>MIN(X42,MAX(0,SUMIFS('Current inventory'!$D$2:$D$127,'Current inventory'!$A$2:$A$127,A42,'Current inventory'!$B$2:$B$127,B42)-SUMIFS($X$2:X41,$A$2:A41,A42,$B$2:B41,B42)))</x:f>
        <x:v>0</x:v>
      </x:c>
      <x:c r="Q42" s="1" t="str">
        <x:v>Received history</x:v>
      </x:c>
      <x:c r="R42" s="1" t="str">
        <x:v>Receipts data film c400 c800 plastic.csv</x:v>
      </x:c>
      <x:c r="S42" s="12" t="n">
        <x:f>IF(O42=1,I42*J42,0)</x:f>
        <x:v>0</x:v>
      </x:c>
      <x:c r="T42" s="13" t="n">
        <x:f>IF(L42&gt;0,K42/L42,"n.a.")</x:f>
        <x:v>0.9936</x:v>
      </x:c>
      <x:c r="U42" s="12" t="n">
        <x:f>IF(Q42="Old cost",S42,0)</x:f>
        <x:v>0</x:v>
      </x:c>
      <x:c r="V42" s="12" t="n">
        <x:f>IF(Q42="Higher cost",S42,0)</x:f>
        <x:v>0</x:v>
      </x:c>
      <x:c r="W42" s="12" t="n">
        <x:f>IF(Q42="Unclassified",S42,0)</x:f>
        <x:v>0</x:v>
      </x:c>
      <x:c r="X42" s="12" t="n">
        <x:f>IF(AND(ISNUMBER(F42),F42&gt;0,F42&lt;=Summary!$D$5,H42&gt;0),H42*J42,0)</x:f>
        <x:v>7068</x:v>
      </x:c>
    </x:row>
    <x:row r="43" ht="21" customHeight="1">
      <x:c r="A43" s="1" t="str">
        <x:v>30</x:v>
      </x:c>
      <x:c r="B43" s="1" t="str">
        <x:v>800BNAVASC</x:v>
      </x:c>
      <x:c r="C43" s="1" t="str">
        <x:v>3003926</x:v>
      </x:c>
      <x:c r="D43" s="1" t="str">
        <x:v>2</x:v>
      </x:c>
      <x:c r="E43" s="1"/>
      <x:c r="F43" s="7" t="n">
        <x:v>46169</x:v>
      </x:c>
      <x:c r="G43" s="7" t="n">
        <x:v>46163</x:v>
      </x:c>
      <x:c r="H43" s="8" t="n">
        <x:v>40000</x:v>
      </x:c>
      <x:c r="I43" s="8"/>
      <x:c r="J43" s="8" t="n">
        <x:v>1</x:v>
      </x:c>
      <x:c r="K43" s="9" t="n">
        <x:v>14.43</x:v>
      </x:c>
      <x:c r="L43" s="8" t="n">
        <x:v>100</x:v>
      </x:c>
      <x:c r="M43" s="10" t="n">
        <x:v>6060</x:v>
      </x:c>
      <x:c r="N43" s="8" t="str">
        <x:v>i</x:v>
      </x:c>
      <x:c r="O43" s="8" t="n">
        <x:v>0</x:v>
      </x:c>
      <x:c r="P43" s="11" t="n">
        <x:f>MIN(X43,MAX(0,SUMIFS('Current inventory'!$D$2:$D$127,'Current inventory'!$A$2:$A$127,A43,'Current inventory'!$B$2:$B$127,B43)-SUMIFS($X$2:X42,$A$2:A42,A43,$B$2:B42,B43)))</x:f>
        <x:v>800</x:v>
      </x:c>
      <x:c r="Q43" s="1" t="str">
        <x:v>Received history</x:v>
      </x:c>
      <x:c r="R43" s="1" t="str">
        <x:v>Receipts data film c400 c800 plastic.csv</x:v>
      </x:c>
      <x:c r="S43" s="12" t="n">
        <x:f>IF(O43=1,I43*J43,0)</x:f>
        <x:v>0</x:v>
      </x:c>
      <x:c r="T43" s="13" t="n">
        <x:f>IF(L43&gt;0,K43/L43,"n.a.")</x:f>
        <x:v>0.14429999999999998</x:v>
      </x:c>
      <x:c r="U43" s="12" t="n">
        <x:f>IF(Q43="Old cost",S43,0)</x:f>
        <x:v>0</x:v>
      </x:c>
      <x:c r="V43" s="12" t="n">
        <x:f>IF(Q43="Higher cost",S43,0)</x:f>
        <x:v>0</x:v>
      </x:c>
      <x:c r="W43" s="12" t="n">
        <x:f>IF(Q43="Unclassified",S43,0)</x:f>
        <x:v>0</x:v>
      </x:c>
      <x:c r="X43" s="12" t="n">
        <x:f>IF(AND(ISNUMBER(F43),F43&gt;0,F43&lt;=Summary!$D$5,H43&gt;0),H43*J43,0)</x:f>
        <x:v>40000</x:v>
      </x:c>
    </x:row>
    <x:row r="44" ht="21" customHeight="1">
      <x:c r="A44" s="1" t="str">
        <x:v>10</x:v>
      </x:c>
      <x:c r="B44" s="1" t="str">
        <x:v>800BBLKASC</x:v>
      </x:c>
      <x:c r="C44" s="1" t="str">
        <x:v>1060416</x:v>
      </x:c>
      <x:c r="D44" s="1" t="str">
        <x:v>0</x:v>
      </x:c>
      <x:c r="E44" s="1"/>
      <x:c r="F44" s="7" t="n">
        <x:v>46163</x:v>
      </x:c>
      <x:c r="G44" s="7" t="n">
        <x:v>46171</x:v>
      </x:c>
      <x:c r="H44" s="8" t="n">
        <x:v>240000</x:v>
      </x:c>
      <x:c r="I44" s="8"/>
      <x:c r="J44" s="8" t="n">
        <x:v>1</x:v>
      </x:c>
      <x:c r="K44" s="9" t="n">
        <x:v>11.7</x:v>
      </x:c>
      <x:c r="L44" s="8" t="n">
        <x:v>100</x:v>
      </x:c>
      <x:c r="M44" s="10" t="n">
        <x:v>29496</x:v>
      </x:c>
      <x:c r="N44" s="8" t="str">
        <x:v>i</x:v>
      </x:c>
      <x:c r="O44" s="8" t="n">
        <x:v>0</x:v>
      </x:c>
      <x:c r="P44" s="11" t="n">
        <x:f>MIN(X44,MAX(0,SUMIFS('Current inventory'!$D$2:$D$127,'Current inventory'!$A$2:$A$127,A44,'Current inventory'!$B$2:$B$127,B44)-SUMIFS($X$2:X43,$A$2:A43,A44,$B$2:B43,B44)))</x:f>
        <x:v>19100</x:v>
      </x:c>
      <x:c r="Q44" s="1" t="str">
        <x:v>Received history</x:v>
      </x:c>
      <x:c r="R44" s="1" t="str">
        <x:v>Receipts data film c400 c800 plastic.csv</x:v>
      </x:c>
      <x:c r="S44" s="12" t="n">
        <x:f>IF(O44=1,I44*J44,0)</x:f>
        <x:v>0</x:v>
      </x:c>
      <x:c r="T44" s="13" t="n">
        <x:f>IF(L44&gt;0,K44/L44,"n.a.")</x:f>
        <x:v>0.11699999999999999</x:v>
      </x:c>
      <x:c r="U44" s="12" t="n">
        <x:f>IF(Q44="Old cost",S44,0)</x:f>
        <x:v>0</x:v>
      </x:c>
      <x:c r="V44" s="12" t="n">
        <x:f>IF(Q44="Higher cost",S44,0)</x:f>
        <x:v>0</x:v>
      </x:c>
      <x:c r="W44" s="12" t="n">
        <x:f>IF(Q44="Unclassified",S44,0)</x:f>
        <x:v>0</x:v>
      </x:c>
      <x:c r="X44" s="12" t="n">
        <x:f>IF(AND(ISNUMBER(F44),F44&gt;0,F44&lt;=Summary!$D$5,H44&gt;0),H44*J44,0)</x:f>
        <x:v>240000</x:v>
      </x:c>
    </x:row>
    <x:row r="45" ht="21" customHeight="1">
      <x:c r="A45" s="1" t="str">
        <x:v>10</x:v>
      </x:c>
      <x:c r="B45" s="1" t="str">
        <x:v>800BBLKDSC</x:v>
      </x:c>
      <x:c r="C45" s="1" t="str">
        <x:v>1060416</x:v>
      </x:c>
      <x:c r="D45" s="1" t="str">
        <x:v>0</x:v>
      </x:c>
      <x:c r="E45" s="1"/>
      <x:c r="F45" s="7" t="n">
        <x:v>46163</x:v>
      </x:c>
      <x:c r="G45" s="7" t="n">
        <x:v>46178</x:v>
      </x:c>
      <x:c r="H45" s="8" t="n">
        <x:v>0</x:v>
      </x:c>
      <x:c r="I45" s="8"/>
      <x:c r="J45" s="8" t="n">
        <x:v>1</x:v>
      </x:c>
      <x:c r="K45" s="9" t="n">
        <x:v>31.73</x:v>
      </x:c>
      <x:c r="L45" s="8" t="n">
        <x:v>100</x:v>
      </x:c>
      <x:c r="M45" s="10" t="n">
        <x:v>0</x:v>
      </x:c>
      <x:c r="N45" s="8" t="str">
        <x:v>i</x:v>
      </x:c>
      <x:c r="O45" s="8" t="n">
        <x:v>0</x:v>
      </x:c>
      <x:c r="P45" s="11" t="n">
        <x:f>MIN(X45,MAX(0,SUMIFS('Current inventory'!$D$2:$D$127,'Current inventory'!$A$2:$A$127,A45,'Current inventory'!$B$2:$B$127,B45)-SUMIFS($X$2:X44,$A$2:A44,A45,$B$2:B44,B45)))</x:f>
        <x:v>0</x:v>
      </x:c>
      <x:c r="Q45" s="1" t="str">
        <x:v>Received history</x:v>
      </x:c>
      <x:c r="R45" s="1" t="str">
        <x:v>Receipts data film c400 c800 plastic.csv</x:v>
      </x:c>
      <x:c r="S45" s="12" t="n">
        <x:f>IF(O45=1,I45*J45,0)</x:f>
        <x:v>0</x:v>
      </x:c>
      <x:c r="T45" s="13" t="n">
        <x:f>IF(L45&gt;0,K45/L45,"n.a.")</x:f>
        <x:v>0.3173</x:v>
      </x:c>
      <x:c r="U45" s="12" t="n">
        <x:f>IF(Q45="Old cost",S45,0)</x:f>
        <x:v>0</x:v>
      </x:c>
      <x:c r="V45" s="12" t="n">
        <x:f>IF(Q45="Higher cost",S45,0)</x:f>
        <x:v>0</x:v>
      </x:c>
      <x:c r="W45" s="12" t="n">
        <x:f>IF(Q45="Unclassified",S45,0)</x:f>
        <x:v>0</x:v>
      </x:c>
      <x:c r="X45" s="12" t="n">
        <x:f>IF(AND(ISNUMBER(F45),F45&gt;0,F45&lt;=Summary!$D$5,H45&gt;0),H45*J45,0)</x:f>
        <x:v>0</x:v>
      </x:c>
    </x:row>
    <x:row r="46" ht="21" customHeight="1">
      <x:c r="A46" s="1" t="str">
        <x:v>10</x:v>
      </x:c>
      <x:c r="B46" s="1" t="str">
        <x:v>800BLKE</x:v>
      </x:c>
      <x:c r="C46" s="1" t="str">
        <x:v>1060416</x:v>
      </x:c>
      <x:c r="D46" s="1" t="str">
        <x:v>0</x:v>
      </x:c>
      <x:c r="E46" s="1"/>
      <x:c r="F46" s="7" t="n">
        <x:v>46163</x:v>
      </x:c>
      <x:c r="G46" s="7" t="n">
        <x:v>46192</x:v>
      </x:c>
      <x:c r="H46" s="8" t="n">
        <x:v>0</x:v>
      </x:c>
      <x:c r="I46" s="8"/>
      <x:c r="J46" s="8" t="n">
        <x:v>1</x:v>
      </x:c>
      <x:c r="K46" s="9" t="n">
        <x:v>861.1</x:v>
      </x:c>
      <x:c r="L46" s="8" t="n">
        <x:v>1000</x:v>
      </x:c>
      <x:c r="M46" s="10" t="n">
        <x:v>0</x:v>
      </x:c>
      <x:c r="N46" s="8" t="str">
        <x:v>i</x:v>
      </x:c>
      <x:c r="O46" s="8" t="n">
        <x:v>0</x:v>
      </x:c>
      <x:c r="P46" s="11" t="n">
        <x:f>MIN(X46,MAX(0,SUMIFS('Current inventory'!$D$2:$D$127,'Current inventory'!$A$2:$A$127,A46,'Current inventory'!$B$2:$B$127,B46)-SUMIFS($X$2:X45,$A$2:A45,A46,$B$2:B45,B46)))</x:f>
        <x:v>0</x:v>
      </x:c>
      <x:c r="Q46" s="1" t="str">
        <x:v>Received history</x:v>
      </x:c>
      <x:c r="R46" s="1" t="str">
        <x:v>Receipts data film c400 c800 plastic.csv</x:v>
      </x:c>
      <x:c r="S46" s="12" t="n">
        <x:f>IF(O46=1,I46*J46,0)</x:f>
        <x:v>0</x:v>
      </x:c>
      <x:c r="T46" s="13" t="n">
        <x:f>IF(L46&gt;0,K46/L46,"n.a.")</x:f>
        <x:v>0.8611</x:v>
      </x:c>
      <x:c r="U46" s="12" t="n">
        <x:f>IF(Q46="Old cost",S46,0)</x:f>
        <x:v>0</x:v>
      </x:c>
      <x:c r="V46" s="12" t="n">
        <x:f>IF(Q46="Higher cost",S46,0)</x:f>
        <x:v>0</x:v>
      </x:c>
      <x:c r="W46" s="12" t="n">
        <x:f>IF(Q46="Unclassified",S46,0)</x:f>
        <x:v>0</x:v>
      </x:c>
      <x:c r="X46" s="12" t="n">
        <x:f>IF(AND(ISNUMBER(F46),F46&gt;0,F46&lt;=Summary!$D$5,H46&gt;0),H46*J46,0)</x:f>
        <x:v>0</x:v>
      </x:c>
    </x:row>
    <x:row r="47" ht="21" customHeight="1">
      <x:c r="A47" s="1" t="str">
        <x:v>10</x:v>
      </x:c>
      <x:c r="B47" s="1" t="str">
        <x:v>800BNAVASC</x:v>
      </x:c>
      <x:c r="C47" s="1" t="str">
        <x:v>1060416</x:v>
      </x:c>
      <x:c r="D47" s="1" t="str">
        <x:v>0</x:v>
      </x:c>
      <x:c r="E47" s="1"/>
      <x:c r="F47" s="7" t="n">
        <x:v>46163</x:v>
      </x:c>
      <x:c r="G47" s="7" t="n">
        <x:v>46192</x:v>
      </x:c>
      <x:c r="H47" s="8" t="n">
        <x:v>0</x:v>
      </x:c>
      <x:c r="I47" s="8"/>
      <x:c r="J47" s="8" t="n">
        <x:v>1</x:v>
      </x:c>
      <x:c r="K47" s="9" t="n">
        <x:v>14.43</x:v>
      </x:c>
      <x:c r="L47" s="8" t="n">
        <x:v>100</x:v>
      </x:c>
      <x:c r="M47" s="10" t="n">
        <x:v>0</x:v>
      </x:c>
      <x:c r="N47" s="8" t="str">
        <x:v>i</x:v>
      </x:c>
      <x:c r="O47" s="8" t="n">
        <x:v>0</x:v>
      </x:c>
      <x:c r="P47" s="11" t="n">
        <x:f>MIN(X47,MAX(0,SUMIFS('Current inventory'!$D$2:$D$127,'Current inventory'!$A$2:$A$127,A47,'Current inventory'!$B$2:$B$127,B47)-SUMIFS($X$2:X46,$A$2:A46,A47,$B$2:B46,B47)))</x:f>
        <x:v>0</x:v>
      </x:c>
      <x:c r="Q47" s="1" t="str">
        <x:v>Received history</x:v>
      </x:c>
      <x:c r="R47" s="1" t="str">
        <x:v>Receipts data film c400 c800 plastic.csv</x:v>
      </x:c>
      <x:c r="S47" s="12" t="n">
        <x:f>IF(O47=1,I47*J47,0)</x:f>
        <x:v>0</x:v>
      </x:c>
      <x:c r="T47" s="13" t="n">
        <x:f>IF(L47&gt;0,K47/L47,"n.a.")</x:f>
        <x:v>0.14429999999999998</x:v>
      </x:c>
      <x:c r="U47" s="12" t="n">
        <x:f>IF(Q47="Old cost",S47,0)</x:f>
        <x:v>0</x:v>
      </x:c>
      <x:c r="V47" s="12" t="n">
        <x:f>IF(Q47="Higher cost",S47,0)</x:f>
        <x:v>0</x:v>
      </x:c>
      <x:c r="W47" s="12" t="n">
        <x:f>IF(Q47="Unclassified",S47,0)</x:f>
        <x:v>0</x:v>
      </x:c>
      <x:c r="X47" s="12" t="n">
        <x:f>IF(AND(ISNUMBER(F47),F47&gt;0,F47&lt;=Summary!$D$5,H47&gt;0),H47*J47,0)</x:f>
        <x:v>0</x:v>
      </x:c>
    </x:row>
    <x:row r="48" ht="21" customHeight="1">
      <x:c r="A48" s="1" t="str">
        <x:v>10</x:v>
      </x:c>
      <x:c r="B48" s="1" t="str">
        <x:v>800NAVE</x:v>
      </x:c>
      <x:c r="C48" s="1" t="str">
        <x:v>1060416</x:v>
      </x:c>
      <x:c r="D48" s="1" t="str">
        <x:v>0</x:v>
      </x:c>
      <x:c r="E48" s="1"/>
      <x:c r="F48" s="7" t="n">
        <x:v>46163</x:v>
      </x:c>
      <x:c r="G48" s="7" t="n">
        <x:v>46199</x:v>
      </x:c>
      <x:c r="H48" s="8" t="n">
        <x:v>0</x:v>
      </x:c>
      <x:c r="I48" s="8"/>
      <x:c r="J48" s="8" t="n">
        <x:v>1</x:v>
      </x:c>
      <x:c r="K48" s="9" t="n">
        <x:v>993.6</x:v>
      </x:c>
      <x:c r="L48" s="8" t="n">
        <x:v>1000</x:v>
      </x:c>
      <x:c r="M48" s="10" t="n">
        <x:v>0</x:v>
      </x:c>
      <x:c r="N48" s="8" t="str">
        <x:v>i</x:v>
      </x:c>
      <x:c r="O48" s="8" t="n">
        <x:v>0</x:v>
      </x:c>
      <x:c r="P48" s="11" t="n">
        <x:f>MIN(X48,MAX(0,SUMIFS('Current inventory'!$D$2:$D$127,'Current inventory'!$A$2:$A$127,A48,'Current inventory'!$B$2:$B$127,B48)-SUMIFS($X$2:X47,$A$2:A47,A48,$B$2:B47,B48)))</x:f>
        <x:v>0</x:v>
      </x:c>
      <x:c r="Q48" s="1" t="str">
        <x:v>Received history</x:v>
      </x:c>
      <x:c r="R48" s="1" t="str">
        <x:v>Receipts data film c400 c800 plastic.csv</x:v>
      </x:c>
      <x:c r="S48" s="12" t="n">
        <x:f>IF(O48=1,I48*J48,0)</x:f>
        <x:v>0</x:v>
      </x:c>
      <x:c r="T48" s="13" t="n">
        <x:f>IF(L48&gt;0,K48/L48,"n.a.")</x:f>
        <x:v>0.9936</x:v>
      </x:c>
      <x:c r="U48" s="12" t="n">
        <x:f>IF(Q48="Old cost",S48,0)</x:f>
        <x:v>0</x:v>
      </x:c>
      <x:c r="V48" s="12" t="n">
        <x:f>IF(Q48="Higher cost",S48,0)</x:f>
        <x:v>0</x:v>
      </x:c>
      <x:c r="W48" s="12" t="n">
        <x:f>IF(Q48="Unclassified",S48,0)</x:f>
        <x:v>0</x:v>
      </x:c>
      <x:c r="X48" s="12" t="n">
        <x:f>IF(AND(ISNUMBER(F48),F48&gt;0,F48&lt;=Summary!$D$5,H48&gt;0),H48*J48,0)</x:f>
        <x:v>0</x:v>
      </x:c>
    </x:row>
    <x:row r="49" ht="21" customHeight="1">
      <x:c r="A49" s="1" t="str">
        <x:v>10</x:v>
      </x:c>
      <x:c r="B49" s="1" t="str">
        <x:v>800BNAVASC</x:v>
      </x:c>
      <x:c r="C49" s="1" t="str">
        <x:v>1059986</x:v>
      </x:c>
      <x:c r="D49" s="1" t="str">
        <x:v>4</x:v>
      </x:c>
      <x:c r="E49" s="1"/>
      <x:c r="F49" s="7" t="n">
        <x:v>46162</x:v>
      </x:c>
      <x:c r="G49" s="7" t="n">
        <x:v>46163</x:v>
      </x:c>
      <x:c r="H49" s="8" t="n">
        <x:v>100</x:v>
      </x:c>
      <x:c r="I49" s="8"/>
      <x:c r="J49" s="8" t="n">
        <x:v>1</x:v>
      </x:c>
      <x:c r="K49" s="9" t="n">
        <x:v>14.43</x:v>
      </x:c>
      <x:c r="L49" s="8" t="n">
        <x:v>100</x:v>
      </x:c>
      <x:c r="M49" s="10" t="n">
        <x:v>15.15</x:v>
      </x:c>
      <x:c r="N49" s="8" t="str">
        <x:v>i</x:v>
      </x:c>
      <x:c r="O49" s="8" t="n">
        <x:v>0</x:v>
      </x:c>
      <x:c r="P49" s="11" t="n">
        <x:f>MIN(X49,MAX(0,SUMIFS('Current inventory'!$D$2:$D$127,'Current inventory'!$A$2:$A$127,A49,'Current inventory'!$B$2:$B$127,B49)-SUMIFS($X$2:X48,$A$2:A48,A49,$B$2:B48,B49)))</x:f>
        <x:v>100</x:v>
      </x:c>
      <x:c r="Q49" s="1" t="str">
        <x:v>Received history</x:v>
      </x:c>
      <x:c r="R49" s="1" t="str">
        <x:v>Receipts data film c400 c800 plastic.csv</x:v>
      </x:c>
      <x:c r="S49" s="12" t="n">
        <x:f>IF(O49=1,I49*J49,0)</x:f>
        <x:v>0</x:v>
      </x:c>
      <x:c r="T49" s="13" t="n">
        <x:f>IF(L49&gt;0,K49/L49,"n.a.")</x:f>
        <x:v>0.14429999999999998</x:v>
      </x:c>
      <x:c r="U49" s="12" t="n">
        <x:f>IF(Q49="Old cost",S49,0)</x:f>
        <x:v>0</x:v>
      </x:c>
      <x:c r="V49" s="12" t="n">
        <x:f>IF(Q49="Higher cost",S49,0)</x:f>
        <x:v>0</x:v>
      </x:c>
      <x:c r="W49" s="12" t="n">
        <x:f>IF(Q49="Unclassified",S49,0)</x:f>
        <x:v>0</x:v>
      </x:c>
      <x:c r="X49" s="12" t="n">
        <x:f>IF(AND(ISNUMBER(F49),F49&gt;0,F49&lt;=Summary!$D$5,H49&gt;0),H49*J49,0)</x:f>
        <x:v>100</x:v>
      </x:c>
    </x:row>
    <x:row r="50" ht="21" customHeight="1">
      <x:c r="A50" s="1" t="str">
        <x:v>10</x:v>
      </x:c>
      <x:c r="B50" s="1" t="str">
        <x:v>800BNAVASC</x:v>
      </x:c>
      <x:c r="C50" s="1" t="str">
        <x:v>1059986</x:v>
      </x:c>
      <x:c r="D50" s="1" t="str">
        <x:v>3</x:v>
      </x:c>
      <x:c r="E50" s="1"/>
      <x:c r="F50" s="7" t="n">
        <x:v>46160</x:v>
      </x:c>
      <x:c r="G50" s="7" t="n">
        <x:v>46163</x:v>
      </x:c>
      <x:c r="H50" s="8" t="n">
        <x:v>40000</x:v>
      </x:c>
      <x:c r="I50" s="8"/>
      <x:c r="J50" s="8" t="n">
        <x:v>1</x:v>
      </x:c>
      <x:c r="K50" s="9" t="n">
        <x:v>14.43</x:v>
      </x:c>
      <x:c r="L50" s="8" t="n">
        <x:v>100</x:v>
      </x:c>
      <x:c r="M50" s="10" t="n">
        <x:v>6060</x:v>
      </x:c>
      <x:c r="N50" s="8" t="str">
        <x:v>i</x:v>
      </x:c>
      <x:c r="O50" s="8" t="n">
        <x:v>0</x:v>
      </x:c>
      <x:c r="P50" s="11" t="n">
        <x:f>MIN(X50,MAX(0,SUMIFS('Current inventory'!$D$2:$D$127,'Current inventory'!$A$2:$A$127,A50,'Current inventory'!$B$2:$B$127,B50)-SUMIFS($X$2:X49,$A$2:A49,A50,$B$2:B49,B50)))</x:f>
        <x:v>1900</x:v>
      </x:c>
      <x:c r="Q50" s="1" t="str">
        <x:v>Received history</x:v>
      </x:c>
      <x:c r="R50" s="1" t="str">
        <x:v>Receipts data film c400 c800 plastic.csv</x:v>
      </x:c>
      <x:c r="S50" s="12" t="n">
        <x:f>IF(O50=1,I50*J50,0)</x:f>
        <x:v>0</x:v>
      </x:c>
      <x:c r="T50" s="13" t="n">
        <x:f>IF(L50&gt;0,K50/L50,"n.a.")</x:f>
        <x:v>0.14429999999999998</x:v>
      </x:c>
      <x:c r="U50" s="12" t="n">
        <x:f>IF(Q50="Old cost",S50,0)</x:f>
        <x:v>0</x:v>
      </x:c>
      <x:c r="V50" s="12" t="n">
        <x:f>IF(Q50="Higher cost",S50,0)</x:f>
        <x:v>0</x:v>
      </x:c>
      <x:c r="W50" s="12" t="n">
        <x:f>IF(Q50="Unclassified",S50,0)</x:f>
        <x:v>0</x:v>
      </x:c>
      <x:c r="X50" s="12" t="n">
        <x:f>IF(AND(ISNUMBER(F50),F50&gt;0,F50&lt;=Summary!$D$5,H50&gt;0),H50*J50,0)</x:f>
        <x:v>40000</x:v>
      </x:c>
    </x:row>
    <x:row r="51" ht="21" customHeight="1">
      <x:c r="A51" s="1" t="str">
        <x:v>10</x:v>
      </x:c>
      <x:c r="B51" s="1" t="str">
        <x:v>800NAVE</x:v>
      </x:c>
      <x:c r="C51" s="1" t="str">
        <x:v>1059986</x:v>
      </x:c>
      <x:c r="D51" s="1" t="str">
        <x:v>3</x:v>
      </x:c>
      <x:c r="E51" s="1"/>
      <x:c r="F51" s="7" t="n">
        <x:v>46160</x:v>
      </x:c>
      <x:c r="G51" s="7" t="n">
        <x:v>46163</x:v>
      </x:c>
      <x:c r="H51" s="8" t="n">
        <x:v>10200</x:v>
      </x:c>
      <x:c r="I51" s="8"/>
      <x:c r="J51" s="8" t="n">
        <x:v>1</x:v>
      </x:c>
      <x:c r="K51" s="9" t="n">
        <x:v>993.6</x:v>
      </x:c>
      <x:c r="L51" s="8" t="n">
        <x:v>1000</x:v>
      </x:c>
      <x:c r="M51" s="10" t="n">
        <x:v>10641.46</x:v>
      </x:c>
      <x:c r="N51" s="8" t="str">
        <x:v>i</x:v>
      </x:c>
      <x:c r="O51" s="8" t="n">
        <x:v>0</x:v>
      </x:c>
      <x:c r="P51" s="11" t="n">
        <x:f>MIN(X51,MAX(0,SUMIFS('Current inventory'!$D$2:$D$127,'Current inventory'!$A$2:$A$127,A51,'Current inventory'!$B$2:$B$127,B51)-SUMIFS($X$2:X50,$A$2:A50,A51,$B$2:B50,B51)))</x:f>
        <x:v>0</x:v>
      </x:c>
      <x:c r="Q51" s="1" t="str">
        <x:v>Received history</x:v>
      </x:c>
      <x:c r="R51" s="1" t="str">
        <x:v>Receipts data film c400 c800 plastic.csv</x:v>
      </x:c>
      <x:c r="S51" s="12" t="n">
        <x:f>IF(O51=1,I51*J51,0)</x:f>
        <x:v>0</x:v>
      </x:c>
      <x:c r="T51" s="13" t="n">
        <x:f>IF(L51&gt;0,K51/L51,"n.a.")</x:f>
        <x:v>0.9936</x:v>
      </x:c>
      <x:c r="U51" s="12" t="n">
        <x:f>IF(Q51="Old cost",S51,0)</x:f>
        <x:v>0</x:v>
      </x:c>
      <x:c r="V51" s="12" t="n">
        <x:f>IF(Q51="Higher cost",S51,0)</x:f>
        <x:v>0</x:v>
      </x:c>
      <x:c r="W51" s="12" t="n">
        <x:f>IF(Q51="Unclassified",S51,0)</x:f>
        <x:v>0</x:v>
      </x:c>
      <x:c r="X51" s="12" t="n">
        <x:f>IF(AND(ISNUMBER(F51),F51&gt;0,F51&lt;=Summary!$D$5,H51&gt;0),H51*J51,0)</x:f>
        <x:v>10200</x:v>
      </x:c>
    </x:row>
    <x:row r="52" ht="21" customHeight="1">
      <x:c r="A52" s="1" t="str">
        <x:v>60</x:v>
      </x:c>
      <x:c r="B52" s="1" t="str">
        <x:v>800BNAVASC</x:v>
      </x:c>
      <x:c r="C52" s="1" t="str">
        <x:v>6102895</x:v>
      </x:c>
      <x:c r="D52" s="1" t="str">
        <x:v>4</x:v>
      </x:c>
      <x:c r="E52" s="1"/>
      <x:c r="F52" s="7" t="n">
        <x:v>46157</x:v>
      </x:c>
      <x:c r="G52" s="7" t="n">
        <x:v>46157</x:v>
      </x:c>
      <x:c r="H52" s="8" t="n">
        <x:v>40000</x:v>
      </x:c>
      <x:c r="I52" s="8"/>
      <x:c r="J52" s="8" t="n">
        <x:v>1</x:v>
      </x:c>
      <x:c r="K52" s="9" t="n">
        <x:v>14.43</x:v>
      </x:c>
      <x:c r="L52" s="8" t="n">
        <x:v>100</x:v>
      </x:c>
      <x:c r="M52" s="10" t="n">
        <x:v>6060</x:v>
      </x:c>
      <x:c r="N52" s="8" t="str">
        <x:v>i</x:v>
      </x:c>
      <x:c r="O52" s="8" t="n">
        <x:v>0</x:v>
      </x:c>
      <x:c r="P52" s="11" t="n">
        <x:f>MIN(X52,MAX(0,SUMIFS('Current inventory'!$D$2:$D$127,'Current inventory'!$A$2:$A$127,A52,'Current inventory'!$B$2:$B$127,B52)-SUMIFS($X$2:X51,$A$2:A51,A52,$B$2:B51,B52)))</x:f>
        <x:v>0</x:v>
      </x:c>
      <x:c r="Q52" s="1" t="str">
        <x:v>Received history</x:v>
      </x:c>
      <x:c r="R52" s="1" t="str">
        <x:v>Receipts data film c400 c800 plastic.csv</x:v>
      </x:c>
      <x:c r="S52" s="12" t="n">
        <x:f>IF(O52=1,I52*J52,0)</x:f>
        <x:v>0</x:v>
      </x:c>
      <x:c r="T52" s="13" t="n">
        <x:f>IF(L52&gt;0,K52/L52,"n.a.")</x:f>
        <x:v>0.14429999999999998</x:v>
      </x:c>
      <x:c r="U52" s="12" t="n">
        <x:f>IF(Q52="Old cost",S52,0)</x:f>
        <x:v>0</x:v>
      </x:c>
      <x:c r="V52" s="12" t="n">
        <x:f>IF(Q52="Higher cost",S52,0)</x:f>
        <x:v>0</x:v>
      </x:c>
      <x:c r="W52" s="12" t="n">
        <x:f>IF(Q52="Unclassified",S52,0)</x:f>
        <x:v>0</x:v>
      </x:c>
      <x:c r="X52" s="12" t="n">
        <x:f>IF(AND(ISNUMBER(F52),F52&gt;0,F52&lt;=Summary!$D$5,H52&gt;0),H52*J52,0)</x:f>
        <x:v>40000</x:v>
      </x:c>
    </x:row>
    <x:row r="53" ht="21" customHeight="1">
      <x:c r="A53" s="1" t="str">
        <x:v>10</x:v>
      </x:c>
      <x:c r="B53" s="1" t="str">
        <x:v>800BBLKASC</x:v>
      </x:c>
      <x:c r="C53" s="1" t="str">
        <x:v>1059986</x:v>
      </x:c>
      <x:c r="D53" s="1" t="str">
        <x:v>2</x:v>
      </x:c>
      <x:c r="E53" s="1"/>
      <x:c r="F53" s="7" t="n">
        <x:v>46153</x:v>
      </x:c>
      <x:c r="G53" s="7" t="n">
        <x:v>46157</x:v>
      </x:c>
      <x:c r="H53" s="8" t="n">
        <x:v>360000</x:v>
      </x:c>
      <x:c r="I53" s="8"/>
      <x:c r="J53" s="8" t="n">
        <x:v>1</x:v>
      </x:c>
      <x:c r="K53" s="9" t="n">
        <x:v>11.7</x:v>
      </x:c>
      <x:c r="L53" s="8" t="n">
        <x:v>100</x:v>
      </x:c>
      <x:c r="M53" s="10" t="n">
        <x:v>44244</x:v>
      </x:c>
      <x:c r="N53" s="8" t="str">
        <x:v>i</x:v>
      </x:c>
      <x:c r="O53" s="8" t="n">
        <x:v>0</x:v>
      </x:c>
      <x:c r="P53" s="11" t="n">
        <x:f>MIN(X53,MAX(0,SUMIFS('Current inventory'!$D$2:$D$127,'Current inventory'!$A$2:$A$127,A53,'Current inventory'!$B$2:$B$127,B53)-SUMIFS($X$2:X52,$A$2:A52,A53,$B$2:B52,B53)))</x:f>
        <x:v>0</x:v>
      </x:c>
      <x:c r="Q53" s="1" t="str">
        <x:v>Received history</x:v>
      </x:c>
      <x:c r="R53" s="1" t="str">
        <x:v>Receipts data film c400 c800 plastic.csv</x:v>
      </x:c>
      <x:c r="S53" s="12" t="n">
        <x:f>IF(O53=1,I53*J53,0)</x:f>
        <x:v>0</x:v>
      </x:c>
      <x:c r="T53" s="13" t="n">
        <x:f>IF(L53&gt;0,K53/L53,"n.a.")</x:f>
        <x:v>0.11699999999999999</x:v>
      </x:c>
      <x:c r="U53" s="12" t="n">
        <x:f>IF(Q53="Old cost",S53,0)</x:f>
        <x:v>0</x:v>
      </x:c>
      <x:c r="V53" s="12" t="n">
        <x:f>IF(Q53="Higher cost",S53,0)</x:f>
        <x:v>0</x:v>
      </x:c>
      <x:c r="W53" s="12" t="n">
        <x:f>IF(Q53="Unclassified",S53,0)</x:f>
        <x:v>0</x:v>
      </x:c>
      <x:c r="X53" s="12" t="n">
        <x:f>IF(AND(ISNUMBER(F53),F53&gt;0,F53&lt;=Summary!$D$5,H53&gt;0),H53*J53,0)</x:f>
        <x:v>360000</x:v>
      </x:c>
    </x:row>
    <x:row r="54" ht="21" customHeight="1">
      <x:c r="A54" s="1" t="str">
        <x:v>10</x:v>
      </x:c>
      <x:c r="B54" s="1" t="str">
        <x:v>800BLKE</x:v>
      </x:c>
      <x:c r="C54" s="1" t="str">
        <x:v>1059986</x:v>
      </x:c>
      <x:c r="D54" s="1" t="str">
        <x:v>2</x:v>
      </x:c>
      <x:c r="E54" s="1"/>
      <x:c r="F54" s="7" t="n">
        <x:v>46153</x:v>
      </x:c>
      <x:c r="G54" s="7" t="n">
        <x:v>46157</x:v>
      </x:c>
      <x:c r="H54" s="8" t="n">
        <x:v>10050</x:v>
      </x:c>
      <x:c r="I54" s="8"/>
      <x:c r="J54" s="8" t="n">
        <x:v>1</x:v>
      </x:c>
      <x:c r="K54" s="9" t="n">
        <x:v>861.1</x:v>
      </x:c>
      <x:c r="L54" s="8" t="n">
        <x:v>1000</x:v>
      </x:c>
      <x:c r="M54" s="10" t="n">
        <x:v>9086.81</x:v>
      </x:c>
      <x:c r="N54" s="8" t="str">
        <x:v>i</x:v>
      </x:c>
      <x:c r="O54" s="8" t="n">
        <x:v>0</x:v>
      </x:c>
      <x:c r="P54" s="11" t="n">
        <x:f>MIN(X54,MAX(0,SUMIFS('Current inventory'!$D$2:$D$127,'Current inventory'!$A$2:$A$127,A54,'Current inventory'!$B$2:$B$127,B54)-SUMIFS($X$2:X53,$A$2:A53,A54,$B$2:B53,B54)))</x:f>
        <x:v>8868</x:v>
      </x:c>
      <x:c r="Q54" s="1" t="str">
        <x:v>Received history</x:v>
      </x:c>
      <x:c r="R54" s="1" t="str">
        <x:v>Receipts data film c400 c800 plastic.csv</x:v>
      </x:c>
      <x:c r="S54" s="12" t="n">
        <x:f>IF(O54=1,I54*J54,0)</x:f>
        <x:v>0</x:v>
      </x:c>
      <x:c r="T54" s="13" t="n">
        <x:f>IF(L54&gt;0,K54/L54,"n.a.")</x:f>
        <x:v>0.8611</x:v>
      </x:c>
      <x:c r="U54" s="12" t="n">
        <x:f>IF(Q54="Old cost",S54,0)</x:f>
        <x:v>0</x:v>
      </x:c>
      <x:c r="V54" s="12" t="n">
        <x:f>IF(Q54="Higher cost",S54,0)</x:f>
        <x:v>0</x:v>
      </x:c>
      <x:c r="W54" s="12" t="n">
        <x:f>IF(Q54="Unclassified",S54,0)</x:f>
        <x:v>0</x:v>
      </x:c>
      <x:c r="X54" s="12" t="n">
        <x:f>IF(AND(ISNUMBER(F54),F54&gt;0,F54&lt;=Summary!$D$5,H54&gt;0),H54*J54,0)</x:f>
        <x:v>10050</x:v>
      </x:c>
    </x:row>
    <x:row r="55" ht="21" customHeight="1">
      <x:c r="A55" s="1" t="str">
        <x:v>10</x:v>
      </x:c>
      <x:c r="B55" s="1" t="str">
        <x:v>800BNAVASC</x:v>
      </x:c>
      <x:c r="C55" s="1" t="str">
        <x:v>1059986</x:v>
      </x:c>
      <x:c r="D55" s="1" t="str">
        <x:v>2</x:v>
      </x:c>
      <x:c r="E55" s="1"/>
      <x:c r="F55" s="7" t="n">
        <x:v>46153</x:v>
      </x:c>
      <x:c r="G55" s="7" t="n">
        <x:v>46164</x:v>
      </x:c>
      <x:c r="H55" s="8" t="n">
        <x:v>0</x:v>
      </x:c>
      <x:c r="I55" s="8"/>
      <x:c r="J55" s="8" t="n">
        <x:v>1</x:v>
      </x:c>
      <x:c r="K55" s="9" t="n">
        <x:v>14.43</x:v>
      </x:c>
      <x:c r="L55" s="8" t="n">
        <x:v>100</x:v>
      </x:c>
      <x:c r="M55" s="10" t="n">
        <x:v>0</x:v>
      </x:c>
      <x:c r="N55" s="8" t="str">
        <x:v>i</x:v>
      </x:c>
      <x:c r="O55" s="8" t="n">
        <x:v>0</x:v>
      </x:c>
      <x:c r="P55" s="11" t="n">
        <x:f>MIN(X55,MAX(0,SUMIFS('Current inventory'!$D$2:$D$127,'Current inventory'!$A$2:$A$127,A55,'Current inventory'!$B$2:$B$127,B55)-SUMIFS($X$2:X54,$A$2:A54,A55,$B$2:B54,B55)))</x:f>
        <x:v>0</x:v>
      </x:c>
      <x:c r="Q55" s="1" t="str">
        <x:v>Received history</x:v>
      </x:c>
      <x:c r="R55" s="1" t="str">
        <x:v>Receipts data film c400 c800 plastic.csv</x:v>
      </x:c>
      <x:c r="S55" s="12" t="n">
        <x:f>IF(O55=1,I55*J55,0)</x:f>
        <x:v>0</x:v>
      </x:c>
      <x:c r="T55" s="13" t="n">
        <x:f>IF(L55&gt;0,K55/L55,"n.a.")</x:f>
        <x:v>0.14429999999999998</x:v>
      </x:c>
      <x:c r="U55" s="12" t="n">
        <x:f>IF(Q55="Old cost",S55,0)</x:f>
        <x:v>0</x:v>
      </x:c>
      <x:c r="V55" s="12" t="n">
        <x:f>IF(Q55="Higher cost",S55,0)</x:f>
        <x:v>0</x:v>
      </x:c>
      <x:c r="W55" s="12" t="n">
        <x:f>IF(Q55="Unclassified",S55,0)</x:f>
        <x:v>0</x:v>
      </x:c>
      <x:c r="X55" s="12" t="n">
        <x:f>IF(AND(ISNUMBER(F55),F55&gt;0,F55&lt;=Summary!$D$5,H55&gt;0),H55*J55,0)</x:f>
        <x:v>0</x:v>
      </x:c>
    </x:row>
    <x:row r="56" ht="21" customHeight="1">
      <x:c r="A56" s="1" t="str">
        <x:v>10</x:v>
      </x:c>
      <x:c r="B56" s="1" t="str">
        <x:v>800NAVE</x:v>
      </x:c>
      <x:c r="C56" s="1" t="str">
        <x:v>1059986</x:v>
      </x:c>
      <x:c r="D56" s="1" t="str">
        <x:v>2</x:v>
      </x:c>
      <x:c r="E56" s="1"/>
      <x:c r="F56" s="7" t="n">
        <x:v>46153</x:v>
      </x:c>
      <x:c r="G56" s="7" t="n">
        <x:v>46164</x:v>
      </x:c>
      <x:c r="H56" s="8" t="n">
        <x:v>0</x:v>
      </x:c>
      <x:c r="I56" s="8"/>
      <x:c r="J56" s="8" t="n">
        <x:v>1</x:v>
      </x:c>
      <x:c r="K56" s="9" t="n">
        <x:v>993.6</x:v>
      </x:c>
      <x:c r="L56" s="8" t="n">
        <x:v>1000</x:v>
      </x:c>
      <x:c r="M56" s="10" t="n">
        <x:v>0</x:v>
      </x:c>
      <x:c r="N56" s="8" t="str">
        <x:v>i</x:v>
      </x:c>
      <x:c r="O56" s="8" t="n">
        <x:v>0</x:v>
      </x:c>
      <x:c r="P56" s="11" t="n">
        <x:f>MIN(X56,MAX(0,SUMIFS('Current inventory'!$D$2:$D$127,'Current inventory'!$A$2:$A$127,A56,'Current inventory'!$B$2:$B$127,B56)-SUMIFS($X$2:X55,$A$2:A55,A56,$B$2:B55,B56)))</x:f>
        <x:v>0</x:v>
      </x:c>
      <x:c r="Q56" s="1" t="str">
        <x:v>Received history</x:v>
      </x:c>
      <x:c r="R56" s="1" t="str">
        <x:v>Receipts data film c400 c800 plastic.csv</x:v>
      </x:c>
      <x:c r="S56" s="12" t="n">
        <x:f>IF(O56=1,I56*J56,0)</x:f>
        <x:v>0</x:v>
      </x:c>
      <x:c r="T56" s="13" t="n">
        <x:f>IF(L56&gt;0,K56/L56,"n.a.")</x:f>
        <x:v>0.9936</x:v>
      </x:c>
      <x:c r="U56" s="12" t="n">
        <x:f>IF(Q56="Old cost",S56,0)</x:f>
        <x:v>0</x:v>
      </x:c>
      <x:c r="V56" s="12" t="n">
        <x:f>IF(Q56="Higher cost",S56,0)</x:f>
        <x:v>0</x:v>
      </x:c>
      <x:c r="W56" s="12" t="n">
        <x:f>IF(Q56="Unclassified",S56,0)</x:f>
        <x:v>0</x:v>
      </x:c>
      <x:c r="X56" s="12" t="n">
        <x:f>IF(AND(ISNUMBER(F56),F56&gt;0,F56&lt;=Summary!$D$5,H56&gt;0),H56*J56,0)</x:f>
        <x:v>0</x:v>
      </x:c>
    </x:row>
    <x:row r="57" ht="21" customHeight="1">
      <x:c r="A57" s="1" t="str">
        <x:v>30</x:v>
      </x:c>
      <x:c r="B57" s="1" t="str">
        <x:v>800BBLKASC</x:v>
      </x:c>
      <x:c r="C57" s="1" t="str">
        <x:v>3003926</x:v>
      </x:c>
      <x:c r="D57" s="1" t="str">
        <x:v>1</x:v>
      </x:c>
      <x:c r="E57" s="1"/>
      <x:c r="F57" s="7" t="n">
        <x:v>46149</x:v>
      </x:c>
      <x:c r="G57" s="7" t="n">
        <x:v>46143</x:v>
      </x:c>
      <x:c r="H57" s="8" t="n">
        <x:v>60000</x:v>
      </x:c>
      <x:c r="I57" s="8"/>
      <x:c r="J57" s="8" t="n">
        <x:v>1</x:v>
      </x:c>
      <x:c r="K57" s="9" t="n">
        <x:v>11.7</x:v>
      </x:c>
      <x:c r="L57" s="8" t="n">
        <x:v>100</x:v>
      </x:c>
      <x:c r="M57" s="10" t="n">
        <x:v>7374</x:v>
      </x:c>
      <x:c r="N57" s="8" t="str">
        <x:v>i</x:v>
      </x:c>
      <x:c r="O57" s="8" t="n">
        <x:v>0</x:v>
      </x:c>
      <x:c r="P57" s="11" t="n">
        <x:f>MIN(X57,MAX(0,SUMIFS('Current inventory'!$D$2:$D$127,'Current inventory'!$A$2:$A$127,A57,'Current inventory'!$B$2:$B$127,B57)-SUMIFS($X$2:X56,$A$2:A56,A57,$B$2:B56,B57)))</x:f>
        <x:v>0</x:v>
      </x:c>
      <x:c r="Q57" s="1" t="str">
        <x:v>Received history</x:v>
      </x:c>
      <x:c r="R57" s="1" t="str">
        <x:v>Receipts data film c400 c800 plastic.csv</x:v>
      </x:c>
      <x:c r="S57" s="12" t="n">
        <x:f>IF(O57=1,I57*J57,0)</x:f>
        <x:v>0</x:v>
      </x:c>
      <x:c r="T57" s="13" t="n">
        <x:f>IF(L57&gt;0,K57/L57,"n.a.")</x:f>
        <x:v>0.11699999999999999</x:v>
      </x:c>
      <x:c r="U57" s="12" t="n">
        <x:f>IF(Q57="Old cost",S57,0)</x:f>
        <x:v>0</x:v>
      </x:c>
      <x:c r="V57" s="12" t="n">
        <x:f>IF(Q57="Higher cost",S57,0)</x:f>
        <x:v>0</x:v>
      </x:c>
      <x:c r="W57" s="12" t="n">
        <x:f>IF(Q57="Unclassified",S57,0)</x:f>
        <x:v>0</x:v>
      </x:c>
      <x:c r="X57" s="12" t="n">
        <x:f>IF(AND(ISNUMBER(F57),F57&gt;0,F57&lt;=Summary!$D$5,H57&gt;0),H57*J57,0)</x:f>
        <x:v>60000</x:v>
      </x:c>
    </x:row>
    <x:row r="58" ht="21" customHeight="1">
      <x:c r="A58" s="1" t="str">
        <x:v>30</x:v>
      </x:c>
      <x:c r="B58" s="1" t="str">
        <x:v>800BNAVASC</x:v>
      </x:c>
      <x:c r="C58" s="1" t="str">
        <x:v>3003926</x:v>
      </x:c>
      <x:c r="D58" s="1" t="str">
        <x:v>1</x:v>
      </x:c>
      <x:c r="E58" s="1"/>
      <x:c r="F58" s="7" t="n">
        <x:v>46149</x:v>
      </x:c>
      <x:c r="G58" s="7" t="n">
        <x:v>46168</x:v>
      </x:c>
      <x:c r="H58" s="8" t="n">
        <x:v>0</x:v>
      </x:c>
      <x:c r="I58" s="8"/>
      <x:c r="J58" s="8" t="n">
        <x:v>1</x:v>
      </x:c>
      <x:c r="K58" s="9" t="n">
        <x:v>14.43</x:v>
      </x:c>
      <x:c r="L58" s="8" t="n">
        <x:v>100</x:v>
      </x:c>
      <x:c r="M58" s="10" t="n">
        <x:v>0</x:v>
      </x:c>
      <x:c r="N58" s="8" t="str">
        <x:v>i</x:v>
      </x:c>
      <x:c r="O58" s="8" t="n">
        <x:v>0</x:v>
      </x:c>
      <x:c r="P58" s="11" t="n">
        <x:f>MIN(X58,MAX(0,SUMIFS('Current inventory'!$D$2:$D$127,'Current inventory'!$A$2:$A$127,A58,'Current inventory'!$B$2:$B$127,B58)-SUMIFS($X$2:X57,$A$2:A57,A58,$B$2:B57,B58)))</x:f>
        <x:v>0</x:v>
      </x:c>
      <x:c r="Q58" s="1" t="str">
        <x:v>Received history</x:v>
      </x:c>
      <x:c r="R58" s="1" t="str">
        <x:v>Receipts data film c400 c800 plastic.csv</x:v>
      </x:c>
      <x:c r="S58" s="12" t="n">
        <x:f>IF(O58=1,I58*J58,0)</x:f>
        <x:v>0</x:v>
      </x:c>
      <x:c r="T58" s="13" t="n">
        <x:f>IF(L58&gt;0,K58/L58,"n.a.")</x:f>
        <x:v>0.14429999999999998</x:v>
      </x:c>
      <x:c r="U58" s="12" t="n">
        <x:f>IF(Q58="Old cost",S58,0)</x:f>
        <x:v>0</x:v>
      </x:c>
      <x:c r="V58" s="12" t="n">
        <x:f>IF(Q58="Higher cost",S58,0)</x:f>
        <x:v>0</x:v>
      </x:c>
      <x:c r="W58" s="12" t="n">
        <x:f>IF(Q58="Unclassified",S58,0)</x:f>
        <x:v>0</x:v>
      </x:c>
      <x:c r="X58" s="12" t="n">
        <x:f>IF(AND(ISNUMBER(F58),F58&gt;0,F58&lt;=Summary!$D$5,H58&gt;0),H58*J58,0)</x:f>
        <x:v>0</x:v>
      </x:c>
    </x:row>
    <x:row r="59" ht="21" customHeight="1">
      <x:c r="A59" s="1" t="str">
        <x:v>60</x:v>
      </x:c>
      <x:c r="B59" s="1" t="str">
        <x:v>800BBLKASC</x:v>
      </x:c>
      <x:c r="C59" s="1" t="str">
        <x:v>6102895</x:v>
      </x:c>
      <x:c r="D59" s="1" t="str">
        <x:v>3</x:v>
      </x:c>
      <x:c r="E59" s="1"/>
      <x:c r="F59" s="7" t="n">
        <x:v>46142</x:v>
      </x:c>
      <x:c r="G59" s="7" t="n">
        <x:v>46147</x:v>
      </x:c>
      <x:c r="H59" s="8" t="n">
        <x:v>280000</x:v>
      </x:c>
      <x:c r="I59" s="8"/>
      <x:c r="J59" s="8" t="n">
        <x:v>1</x:v>
      </x:c>
      <x:c r="K59" s="9" t="n">
        <x:v>11.7</x:v>
      </x:c>
      <x:c r="L59" s="8" t="n">
        <x:v>100</x:v>
      </x:c>
      <x:c r="M59" s="10" t="n">
        <x:v>34412</x:v>
      </x:c>
      <x:c r="N59" s="8" t="str">
        <x:v>i</x:v>
      </x:c>
      <x:c r="O59" s="8" t="n">
        <x:v>0</x:v>
      </x:c>
      <x:c r="P59" s="11" t="n">
        <x:f>MIN(X59,MAX(0,SUMIFS('Current inventory'!$D$2:$D$127,'Current inventory'!$A$2:$A$127,A59,'Current inventory'!$B$2:$B$127,B59)-SUMIFS($X$2:X58,$A$2:A58,A59,$B$2:B58,B59)))</x:f>
        <x:v>0</x:v>
      </x:c>
      <x:c r="Q59" s="1" t="str">
        <x:v>Received history</x:v>
      </x:c>
      <x:c r="R59" s="1" t="str">
        <x:v>Receipts data film c400 c800 plastic.csv</x:v>
      </x:c>
      <x:c r="S59" s="12" t="n">
        <x:f>IF(O59=1,I59*J59,0)</x:f>
        <x:v>0</x:v>
      </x:c>
      <x:c r="T59" s="13" t="n">
        <x:f>IF(L59&gt;0,K59/L59,"n.a.")</x:f>
        <x:v>0.11699999999999999</x:v>
      </x:c>
      <x:c r="U59" s="12" t="n">
        <x:f>IF(Q59="Old cost",S59,0)</x:f>
        <x:v>0</x:v>
      </x:c>
      <x:c r="V59" s="12" t="n">
        <x:f>IF(Q59="Higher cost",S59,0)</x:f>
        <x:v>0</x:v>
      </x:c>
      <x:c r="W59" s="12" t="n">
        <x:f>IF(Q59="Unclassified",S59,0)</x:f>
        <x:v>0</x:v>
      </x:c>
      <x:c r="X59" s="12" t="n">
        <x:f>IF(AND(ISNUMBER(F59),F59&gt;0,F59&lt;=Summary!$D$5,H59&gt;0),H59*J59,0)</x:f>
        <x:v>280000</x:v>
      </x:c>
    </x:row>
    <x:row r="60" ht="21" customHeight="1">
      <x:c r="A60" s="1" t="str">
        <x:v>60</x:v>
      </x:c>
      <x:c r="B60" s="1" t="str">
        <x:v>800BNAVASC</x:v>
      </x:c>
      <x:c r="C60" s="1" t="str">
        <x:v>6102895</x:v>
      </x:c>
      <x:c r="D60" s="1" t="str">
        <x:v>3</x:v>
      </x:c>
      <x:c r="E60" s="1"/>
      <x:c r="F60" s="7" t="n">
        <x:v>46142</x:v>
      </x:c>
      <x:c r="G60" s="7" t="n">
        <x:v>46164</x:v>
      </x:c>
      <x:c r="H60" s="8" t="n">
        <x:v>0</x:v>
      </x:c>
      <x:c r="I60" s="8"/>
      <x:c r="J60" s="8" t="n">
        <x:v>1</x:v>
      </x:c>
      <x:c r="K60" s="9" t="n">
        <x:v>14.43</x:v>
      </x:c>
      <x:c r="L60" s="8" t="n">
        <x:v>100</x:v>
      </x:c>
      <x:c r="M60" s="10" t="n">
        <x:v>0</x:v>
      </x:c>
      <x:c r="N60" s="8" t="str">
        <x:v>i</x:v>
      </x:c>
      <x:c r="O60" s="8" t="n">
        <x:v>0</x:v>
      </x:c>
      <x:c r="P60" s="11" t="n">
        <x:f>MIN(X60,MAX(0,SUMIFS('Current inventory'!$D$2:$D$127,'Current inventory'!$A$2:$A$127,A60,'Current inventory'!$B$2:$B$127,B60)-SUMIFS($X$2:X59,$A$2:A59,A60,$B$2:B59,B60)))</x:f>
        <x:v>0</x:v>
      </x:c>
      <x:c r="Q60" s="1" t="str">
        <x:v>Received history</x:v>
      </x:c>
      <x:c r="R60" s="1" t="str">
        <x:v>Receipts data film c400 c800 plastic.csv</x:v>
      </x:c>
      <x:c r="S60" s="12" t="n">
        <x:f>IF(O60=1,I60*J60,0)</x:f>
        <x:v>0</x:v>
      </x:c>
      <x:c r="T60" s="13" t="n">
        <x:f>IF(L60&gt;0,K60/L60,"n.a.")</x:f>
        <x:v>0.14429999999999998</x:v>
      </x:c>
      <x:c r="U60" s="12" t="n">
        <x:f>IF(Q60="Old cost",S60,0)</x:f>
        <x:v>0</x:v>
      </x:c>
      <x:c r="V60" s="12" t="n">
        <x:f>IF(Q60="Higher cost",S60,0)</x:f>
        <x:v>0</x:v>
      </x:c>
      <x:c r="W60" s="12" t="n">
        <x:f>IF(Q60="Unclassified",S60,0)</x:f>
        <x:v>0</x:v>
      </x:c>
      <x:c r="X60" s="12" t="n">
        <x:f>IF(AND(ISNUMBER(F60),F60&gt;0,F60&lt;=Summary!$D$5,H60&gt;0),H60*J60,0)</x:f>
        <x:v>0</x:v>
      </x:c>
    </x:row>
    <x:row r="61" ht="21" customHeight="1">
      <x:c r="A61" s="1" t="str">
        <x:v>10</x:v>
      </x:c>
      <x:c r="B61" s="1" t="str">
        <x:v>800BBLKASC</x:v>
      </x:c>
      <x:c r="C61" s="1" t="str">
        <x:v>1059986</x:v>
      </x:c>
      <x:c r="D61" s="1" t="str">
        <x:v>1</x:v>
      </x:c>
      <x:c r="E61" s="1"/>
      <x:c r="F61" s="7" t="n">
        <x:v>46140</x:v>
      </x:c>
      <x:c r="G61" s="7" t="n">
        <x:v>46157</x:v>
      </x:c>
      <x:c r="H61" s="8" t="n">
        <x:v>0</x:v>
      </x:c>
      <x:c r="I61" s="8"/>
      <x:c r="J61" s="8" t="n">
        <x:v>1</x:v>
      </x:c>
      <x:c r="K61" s="9" t="n">
        <x:v>11.7</x:v>
      </x:c>
      <x:c r="L61" s="8" t="n">
        <x:v>100</x:v>
      </x:c>
      <x:c r="M61" s="10" t="n">
        <x:v>0</x:v>
      </x:c>
      <x:c r="N61" s="8" t="str">
        <x:v>i</x:v>
      </x:c>
      <x:c r="O61" s="8" t="n">
        <x:v>0</x:v>
      </x:c>
      <x:c r="P61" s="11" t="n">
        <x:f>MIN(X61,MAX(0,SUMIFS('Current inventory'!$D$2:$D$127,'Current inventory'!$A$2:$A$127,A61,'Current inventory'!$B$2:$B$127,B61)-SUMIFS($X$2:X60,$A$2:A60,A61,$B$2:B60,B61)))</x:f>
        <x:v>0</x:v>
      </x:c>
      <x:c r="Q61" s="1" t="str">
        <x:v>Received history</x:v>
      </x:c>
      <x:c r="R61" s="1" t="str">
        <x:v>Receipts data film c400 c800 plastic.csv</x:v>
      </x:c>
      <x:c r="S61" s="12" t="n">
        <x:f>IF(O61=1,I61*J61,0)</x:f>
        <x:v>0</x:v>
      </x:c>
      <x:c r="T61" s="13" t="n">
        <x:f>IF(L61&gt;0,K61/L61,"n.a.")</x:f>
        <x:v>0.11699999999999999</x:v>
      </x:c>
      <x:c r="U61" s="12" t="n">
        <x:f>IF(Q61="Old cost",S61,0)</x:f>
        <x:v>0</x:v>
      </x:c>
      <x:c r="V61" s="12" t="n">
        <x:f>IF(Q61="Higher cost",S61,0)</x:f>
        <x:v>0</x:v>
      </x:c>
      <x:c r="W61" s="12" t="n">
        <x:f>IF(Q61="Unclassified",S61,0)</x:f>
        <x:v>0</x:v>
      </x:c>
      <x:c r="X61" s="12" t="n">
        <x:f>IF(AND(ISNUMBER(F61),F61&gt;0,F61&lt;=Summary!$D$5,H61&gt;0),H61*J61,0)</x:f>
        <x:v>0</x:v>
      </x:c>
    </x:row>
    <x:row r="62" ht="21" customHeight="1">
      <x:c r="A62" s="1" t="str">
        <x:v>10</x:v>
      </x:c>
      <x:c r="B62" s="1" t="str">
        <x:v>800BBLKISC</x:v>
      </x:c>
      <x:c r="C62" s="1" t="str">
        <x:v>1059986</x:v>
      </x:c>
      <x:c r="D62" s="1" t="str">
        <x:v>1</x:v>
      </x:c>
      <x:c r="E62" s="1"/>
      <x:c r="F62" s="7" t="n">
        <x:v>46140</x:v>
      </x:c>
      <x:c r="G62" s="7" t="n">
        <x:v>46143</x:v>
      </x:c>
      <x:c r="H62" s="8" t="n">
        <x:v>60000</x:v>
      </x:c>
      <x:c r="I62" s="8"/>
      <x:c r="J62" s="8" t="n">
        <x:v>1</x:v>
      </x:c>
      <x:c r="K62" s="9" t="n">
        <x:v>15.35</x:v>
      </x:c>
      <x:c r="L62" s="8" t="n">
        <x:v>100</x:v>
      </x:c>
      <x:c r="M62" s="10" t="n">
        <x:v>9672</x:v>
      </x:c>
      <x:c r="N62" s="8" t="str">
        <x:v>i</x:v>
      </x:c>
      <x:c r="O62" s="8" t="n">
        <x:v>0</x:v>
      </x:c>
      <x:c r="P62" s="11" t="n">
        <x:f>MIN(X62,MAX(0,SUMIFS('Current inventory'!$D$2:$D$127,'Current inventory'!$A$2:$A$127,A62,'Current inventory'!$B$2:$B$127,B62)-SUMIFS($X$2:X61,$A$2:A61,A62,$B$2:B61,B62)))</x:f>
        <x:v>36300</x:v>
      </x:c>
      <x:c r="Q62" s="1" t="str">
        <x:v>Received history</x:v>
      </x:c>
      <x:c r="R62" s="1" t="str">
        <x:v>Receipts data film c400 c800 plastic.csv</x:v>
      </x:c>
      <x:c r="S62" s="12" t="n">
        <x:f>IF(O62=1,I62*J62,0)</x:f>
        <x:v>0</x:v>
      </x:c>
      <x:c r="T62" s="13" t="n">
        <x:f>IF(L62&gt;0,K62/L62,"n.a.")</x:f>
        <x:v>0.1535</x:v>
      </x:c>
      <x:c r="U62" s="12" t="n">
        <x:f>IF(Q62="Old cost",S62,0)</x:f>
        <x:v>0</x:v>
      </x:c>
      <x:c r="V62" s="12" t="n">
        <x:f>IF(Q62="Higher cost",S62,0)</x:f>
        <x:v>0</x:v>
      </x:c>
      <x:c r="W62" s="12" t="n">
        <x:f>IF(Q62="Unclassified",S62,0)</x:f>
        <x:v>0</x:v>
      </x:c>
      <x:c r="X62" s="12" t="n">
        <x:f>IF(AND(ISNUMBER(F62),F62&gt;0,F62&lt;=Summary!$D$5,H62&gt;0),H62*J62,0)</x:f>
        <x:v>60000</x:v>
      </x:c>
    </x:row>
    <x:row r="63" ht="21" customHeight="1">
      <x:c r="A63" s="1" t="str">
        <x:v>10</x:v>
      </x:c>
      <x:c r="B63" s="1" t="str">
        <x:v>800BLKE</x:v>
      </x:c>
      <x:c r="C63" s="1" t="str">
        <x:v>1059986</x:v>
      </x:c>
      <x:c r="D63" s="1" t="str">
        <x:v>1</x:v>
      </x:c>
      <x:c r="E63" s="1"/>
      <x:c r="F63" s="7" t="n">
        <x:v>46140</x:v>
      </x:c>
      <x:c r="G63" s="7" t="n">
        <x:v>46157</x:v>
      </x:c>
      <x:c r="H63" s="8" t="n">
        <x:v>0</x:v>
      </x:c>
      <x:c r="I63" s="8"/>
      <x:c r="J63" s="8" t="n">
        <x:v>1</x:v>
      </x:c>
      <x:c r="K63" s="9" t="n">
        <x:v>861.1</x:v>
      </x:c>
      <x:c r="L63" s="8" t="n">
        <x:v>1000</x:v>
      </x:c>
      <x:c r="M63" s="10" t="n">
        <x:v>0</x:v>
      </x:c>
      <x:c r="N63" s="8" t="str">
        <x:v>i</x:v>
      </x:c>
      <x:c r="O63" s="8" t="n">
        <x:v>0</x:v>
      </x:c>
      <x:c r="P63" s="11" t="n">
        <x:f>MIN(X63,MAX(0,SUMIFS('Current inventory'!$D$2:$D$127,'Current inventory'!$A$2:$A$127,A63,'Current inventory'!$B$2:$B$127,B63)-SUMIFS($X$2:X62,$A$2:A62,A63,$B$2:B62,B63)))</x:f>
        <x:v>0</x:v>
      </x:c>
      <x:c r="Q63" s="1" t="str">
        <x:v>Received history</x:v>
      </x:c>
      <x:c r="R63" s="1" t="str">
        <x:v>Receipts data film c400 c800 plastic.csv</x:v>
      </x:c>
      <x:c r="S63" s="12" t="n">
        <x:f>IF(O63=1,I63*J63,0)</x:f>
        <x:v>0</x:v>
      </x:c>
      <x:c r="T63" s="13" t="n">
        <x:f>IF(L63&gt;0,K63/L63,"n.a.")</x:f>
        <x:v>0.8611</x:v>
      </x:c>
      <x:c r="U63" s="12" t="n">
        <x:f>IF(Q63="Old cost",S63,0)</x:f>
        <x:v>0</x:v>
      </x:c>
      <x:c r="V63" s="12" t="n">
        <x:f>IF(Q63="Higher cost",S63,0)</x:f>
        <x:v>0</x:v>
      </x:c>
      <x:c r="W63" s="12" t="n">
        <x:f>IF(Q63="Unclassified",S63,0)</x:f>
        <x:v>0</x:v>
      </x:c>
      <x:c r="X63" s="12" t="n">
        <x:f>IF(AND(ISNUMBER(F63),F63&gt;0,F63&lt;=Summary!$D$5,H63&gt;0),H63*J63,0)</x:f>
        <x:v>0</x:v>
      </x:c>
    </x:row>
    <x:row r="64" ht="21" customHeight="1">
      <x:c r="A64" s="1" t="str">
        <x:v>10</x:v>
      </x:c>
      <x:c r="B64" s="1" t="str">
        <x:v>800BNAVASC</x:v>
      </x:c>
      <x:c r="C64" s="1" t="str">
        <x:v>1059986</x:v>
      </x:c>
      <x:c r="D64" s="1" t="str">
        <x:v>1</x:v>
      </x:c>
      <x:c r="E64" s="1"/>
      <x:c r="F64" s="7" t="n">
        <x:v>46140</x:v>
      </x:c>
      <x:c r="G64" s="7" t="n">
        <x:v>46164</x:v>
      </x:c>
      <x:c r="H64" s="8" t="n">
        <x:v>0</x:v>
      </x:c>
      <x:c r="I64" s="8"/>
      <x:c r="J64" s="8" t="n">
        <x:v>1</x:v>
      </x:c>
      <x:c r="K64" s="9" t="n">
        <x:v>14.43</x:v>
      </x:c>
      <x:c r="L64" s="8" t="n">
        <x:v>100</x:v>
      </x:c>
      <x:c r="M64" s="10" t="n">
        <x:v>0</x:v>
      </x:c>
      <x:c r="N64" s="8" t="str">
        <x:v>i</x:v>
      </x:c>
      <x:c r="O64" s="8" t="n">
        <x:v>0</x:v>
      </x:c>
      <x:c r="P64" s="11" t="n">
        <x:f>MIN(X64,MAX(0,SUMIFS('Current inventory'!$D$2:$D$127,'Current inventory'!$A$2:$A$127,A64,'Current inventory'!$B$2:$B$127,B64)-SUMIFS($X$2:X63,$A$2:A63,A64,$B$2:B63,B64)))</x:f>
        <x:v>0</x:v>
      </x:c>
      <x:c r="Q64" s="1" t="str">
        <x:v>Received history</x:v>
      </x:c>
      <x:c r="R64" s="1" t="str">
        <x:v>Receipts data film c400 c800 plastic.csv</x:v>
      </x:c>
      <x:c r="S64" s="12" t="n">
        <x:f>IF(O64=1,I64*J64,0)</x:f>
        <x:v>0</x:v>
      </x:c>
      <x:c r="T64" s="13" t="n">
        <x:f>IF(L64&gt;0,K64/L64,"n.a.")</x:f>
        <x:v>0.14429999999999998</x:v>
      </x:c>
      <x:c r="U64" s="12" t="n">
        <x:f>IF(Q64="Old cost",S64,0)</x:f>
        <x:v>0</x:v>
      </x:c>
      <x:c r="V64" s="12" t="n">
        <x:f>IF(Q64="Higher cost",S64,0)</x:f>
        <x:v>0</x:v>
      </x:c>
      <x:c r="W64" s="12" t="n">
        <x:f>IF(Q64="Unclassified",S64,0)</x:f>
        <x:v>0</x:v>
      </x:c>
      <x:c r="X64" s="12" t="n">
        <x:f>IF(AND(ISNUMBER(F64),F64&gt;0,F64&lt;=Summary!$D$5,H64&gt;0),H64*J64,0)</x:f>
        <x:v>0</x:v>
      </x:c>
    </x:row>
    <x:row r="65" ht="21" customHeight="1">
      <x:c r="A65" s="1" t="str">
        <x:v>10</x:v>
      </x:c>
      <x:c r="B65" s="1" t="str">
        <x:v>800NAVE</x:v>
      </x:c>
      <x:c r="C65" s="1" t="str">
        <x:v>1059986</x:v>
      </x:c>
      <x:c r="D65" s="1" t="str">
        <x:v>1</x:v>
      </x:c>
      <x:c r="E65" s="1"/>
      <x:c r="F65" s="7" t="n">
        <x:v>46140</x:v>
      </x:c>
      <x:c r="G65" s="7" t="n">
        <x:v>46164</x:v>
      </x:c>
      <x:c r="H65" s="8" t="n">
        <x:v>0</x:v>
      </x:c>
      <x:c r="I65" s="8"/>
      <x:c r="J65" s="8" t="n">
        <x:v>1</x:v>
      </x:c>
      <x:c r="K65" s="9" t="n">
        <x:v>993.6</x:v>
      </x:c>
      <x:c r="L65" s="8" t="n">
        <x:v>1000</x:v>
      </x:c>
      <x:c r="M65" s="10" t="n">
        <x:v>0</x:v>
      </x:c>
      <x:c r="N65" s="8" t="str">
        <x:v>i</x:v>
      </x:c>
      <x:c r="O65" s="8" t="n">
        <x:v>0</x:v>
      </x:c>
      <x:c r="P65" s="11" t="n">
        <x:f>MIN(X65,MAX(0,SUMIFS('Current inventory'!$D$2:$D$127,'Current inventory'!$A$2:$A$127,A65,'Current inventory'!$B$2:$B$127,B65)-SUMIFS($X$2:X64,$A$2:A64,A65,$B$2:B64,B65)))</x:f>
        <x:v>0</x:v>
      </x:c>
      <x:c r="Q65" s="1" t="str">
        <x:v>Received history</x:v>
      </x:c>
      <x:c r="R65" s="1" t="str">
        <x:v>Receipts data film c400 c800 plastic.csv</x:v>
      </x:c>
      <x:c r="S65" s="12" t="n">
        <x:f>IF(O65=1,I65*J65,0)</x:f>
        <x:v>0</x:v>
      </x:c>
      <x:c r="T65" s="13" t="n">
        <x:f>IF(L65&gt;0,K65/L65,"n.a.")</x:f>
        <x:v>0.9936</x:v>
      </x:c>
      <x:c r="U65" s="12" t="n">
        <x:f>IF(Q65="Old cost",S65,0)</x:f>
        <x:v>0</x:v>
      </x:c>
      <x:c r="V65" s="12" t="n">
        <x:f>IF(Q65="Higher cost",S65,0)</x:f>
        <x:v>0</x:v>
      </x:c>
      <x:c r="W65" s="12" t="n">
        <x:f>IF(Q65="Unclassified",S65,0)</x:f>
        <x:v>0</x:v>
      </x:c>
      <x:c r="X65" s="12" t="n">
        <x:f>IF(AND(ISNUMBER(F65),F65&gt;0,F65&lt;=Summary!$D$5,H65&gt;0),H65*J65,0)</x:f>
        <x:v>0</x:v>
      </x:c>
    </x:row>
    <x:row r="66" ht="21" customHeight="1">
      <x:c r="A66" s="1" t="str">
        <x:v>60</x:v>
      </x:c>
      <x:c r="B66" s="1" t="str">
        <x:v>800NAVE</x:v>
      </x:c>
      <x:c r="C66" s="1" t="str">
        <x:v>6102880</x:v>
      </x:c>
      <x:c r="D66" s="1" t="str">
        <x:v>5</x:v>
      </x:c>
      <x:c r="E66" s="1"/>
      <x:c r="F66" s="7" t="n">
        <x:v>46135</x:v>
      </x:c>
      <x:c r="G66" s="7" t="n">
        <x:v>46142</x:v>
      </x:c>
      <x:c r="H66" s="8" t="n">
        <x:v>4815</x:v>
      </x:c>
      <x:c r="I66" s="8"/>
      <x:c r="J66" s="8" t="n">
        <x:v>1</x:v>
      </x:c>
      <x:c r="K66" s="9" t="n">
        <x:v>993.6</x:v>
      </x:c>
      <x:c r="L66" s="8" t="n">
        <x:v>1000</x:v>
      </x:c>
      <x:c r="M66" s="10" t="n">
        <x:v>5023.39</x:v>
      </x:c>
      <x:c r="N66" s="8" t="str">
        <x:v>i</x:v>
      </x:c>
      <x:c r="O66" s="8" t="n">
        <x:v>0</x:v>
      </x:c>
      <x:c r="P66" s="11" t="n">
        <x:f>MIN(X66,MAX(0,SUMIFS('Current inventory'!$D$2:$D$127,'Current inventory'!$A$2:$A$127,A66,'Current inventory'!$B$2:$B$127,B66)-SUMIFS($X$2:X65,$A$2:A65,A66,$B$2:B65,B66)))</x:f>
        <x:v>0</x:v>
      </x:c>
      <x:c r="Q66" s="1" t="str">
        <x:v>Received history</x:v>
      </x:c>
      <x:c r="R66" s="1" t="str">
        <x:v>Receipts data film c400 c800 plastic.csv</x:v>
      </x:c>
      <x:c r="S66" s="12" t="n">
        <x:f>IF(O66=1,I66*J66,0)</x:f>
        <x:v>0</x:v>
      </x:c>
      <x:c r="T66" s="13" t="n">
        <x:f>IF(L66&gt;0,K66/L66,"n.a.")</x:f>
        <x:v>0.9936</x:v>
      </x:c>
      <x:c r="U66" s="12" t="n">
        <x:f>IF(Q66="Old cost",S66,0)</x:f>
        <x:v>0</x:v>
      </x:c>
      <x:c r="V66" s="12" t="n">
        <x:f>IF(Q66="Higher cost",S66,0)</x:f>
        <x:v>0</x:v>
      </x:c>
      <x:c r="W66" s="12" t="n">
        <x:f>IF(Q66="Unclassified",S66,0)</x:f>
        <x:v>0</x:v>
      </x:c>
      <x:c r="X66" s="12" t="n">
        <x:f>IF(AND(ISNUMBER(F66),F66&gt;0,F66&lt;=Summary!$D$5,H66&gt;0),H66*J66,0)</x:f>
        <x:v>4815</x:v>
      </x:c>
    </x:row>
    <x:row r="67" ht="21" customHeight="1">
      <x:c r="A67" s="1" t="str">
        <x:v>30</x:v>
      </x:c>
      <x:c r="B67" s="1" t="str">
        <x:v>800BBLKASC</x:v>
      </x:c>
      <x:c r="C67" s="1" t="str">
        <x:v>3003926</x:v>
      </x:c>
      <x:c r="D67" s="1" t="str">
        <x:v>0</x:v>
      </x:c>
      <x:c r="E67" s="1"/>
      <x:c r="F67" s="7" t="n">
        <x:v>46125</x:v>
      </x:c>
      <x:c r="G67" s="7" t="n">
        <x:v>46143</x:v>
      </x:c>
      <x:c r="H67" s="8" t="n">
        <x:v>0</x:v>
      </x:c>
      <x:c r="I67" s="8"/>
      <x:c r="J67" s="8" t="n">
        <x:v>1</x:v>
      </x:c>
      <x:c r="K67" s="9" t="n">
        <x:v>11.7</x:v>
      </x:c>
      <x:c r="L67" s="8" t="n">
        <x:v>100</x:v>
      </x:c>
      <x:c r="M67" s="10" t="n">
        <x:v>0</x:v>
      </x:c>
      <x:c r="N67" s="8" t="str">
        <x:v>i</x:v>
      </x:c>
      <x:c r="O67" s="8" t="n">
        <x:v>0</x:v>
      </x:c>
      <x:c r="P67" s="11" t="n">
        <x:f>MIN(X67,MAX(0,SUMIFS('Current inventory'!$D$2:$D$127,'Current inventory'!$A$2:$A$127,A67,'Current inventory'!$B$2:$B$127,B67)-SUMIFS($X$2:X66,$A$2:A66,A67,$B$2:B66,B67)))</x:f>
        <x:v>0</x:v>
      </x:c>
      <x:c r="Q67" s="1" t="str">
        <x:v>Received history</x:v>
      </x:c>
      <x:c r="R67" s="1" t="str">
        <x:v>Receipts data film c400 c800 plastic.csv</x:v>
      </x:c>
      <x:c r="S67" s="12" t="n">
        <x:f>IF(O67=1,I67*J67,0)</x:f>
        <x:v>0</x:v>
      </x:c>
      <x:c r="T67" s="13" t="n">
        <x:f>IF(L67&gt;0,K67/L67,"n.a.")</x:f>
        <x:v>0.11699999999999999</x:v>
      </x:c>
      <x:c r="U67" s="12" t="n">
        <x:f>IF(Q67="Old cost",S67,0)</x:f>
        <x:v>0</x:v>
      </x:c>
      <x:c r="V67" s="12" t="n">
        <x:f>IF(Q67="Higher cost",S67,0)</x:f>
        <x:v>0</x:v>
      </x:c>
      <x:c r="W67" s="12" t="n">
        <x:f>IF(Q67="Unclassified",S67,0)</x:f>
        <x:v>0</x:v>
      </x:c>
      <x:c r="X67" s="12" t="n">
        <x:f>IF(AND(ISNUMBER(F67),F67&gt;0,F67&lt;=Summary!$D$5,H67&gt;0),H67*J67,0)</x:f>
        <x:v>0</x:v>
      </x:c>
    </x:row>
    <x:row r="68" ht="21" customHeight="1">
      <x:c r="A68" s="1" t="str">
        <x:v>30</x:v>
      </x:c>
      <x:c r="B68" s="1" t="str">
        <x:v>800BMARASC</x:v>
      </x:c>
      <x:c r="C68" s="1" t="str">
        <x:v>3003926</x:v>
      </x:c>
      <x:c r="D68" s="1" t="str">
        <x:v>0</x:v>
      </x:c>
      <x:c r="E68" s="1"/>
      <x:c r="F68" s="7" t="n">
        <x:v>46125</x:v>
      </x:c>
      <x:c r="G68" s="7" t="n">
        <x:v>46119</x:v>
      </x:c>
      <x:c r="H68" s="8" t="n">
        <x:v>20000</x:v>
      </x:c>
      <x:c r="I68" s="8"/>
      <x:c r="J68" s="8" t="n">
        <x:v>1</x:v>
      </x:c>
      <x:c r="K68" s="9" t="n">
        <x:v>15.22</x:v>
      </x:c>
      <x:c r="L68" s="8" t="n">
        <x:v>100</x:v>
      </x:c>
      <x:c r="M68" s="10" t="n">
        <x:v>3196</x:v>
      </x:c>
      <x:c r="N68" s="8" t="str">
        <x:v>i</x:v>
      </x:c>
      <x:c r="O68" s="8" t="n">
        <x:v>0</x:v>
      </x:c>
      <x:c r="P68" s="11" t="n">
        <x:f>MIN(X68,MAX(0,SUMIFS('Current inventory'!$D$2:$D$127,'Current inventory'!$A$2:$A$127,A68,'Current inventory'!$B$2:$B$127,B68)-SUMIFS($X$2:X67,$A$2:A67,A68,$B$2:B67,B68)))</x:f>
        <x:v>19900</x:v>
      </x:c>
      <x:c r="Q68" s="1" t="str">
        <x:v>Received history</x:v>
      </x:c>
      <x:c r="R68" s="1" t="str">
        <x:v>Receipts data film c400 c800 plastic.csv</x:v>
      </x:c>
      <x:c r="S68" s="12" t="n">
        <x:f>IF(O68=1,I68*J68,0)</x:f>
        <x:v>0</x:v>
      </x:c>
      <x:c r="T68" s="13" t="n">
        <x:f>IF(L68&gt;0,K68/L68,"n.a.")</x:f>
        <x:v>0.1522</x:v>
      </x:c>
      <x:c r="U68" s="12" t="n">
        <x:f>IF(Q68="Old cost",S68,0)</x:f>
        <x:v>0</x:v>
      </x:c>
      <x:c r="V68" s="12" t="n">
        <x:f>IF(Q68="Higher cost",S68,0)</x:f>
        <x:v>0</x:v>
      </x:c>
      <x:c r="W68" s="12" t="n">
        <x:f>IF(Q68="Unclassified",S68,0)</x:f>
        <x:v>0</x:v>
      </x:c>
      <x:c r="X68" s="12" t="n">
        <x:f>IF(AND(ISNUMBER(F68),F68&gt;0,F68&lt;=Summary!$D$5,H68&gt;0),H68*J68,0)</x:f>
        <x:v>20000</x:v>
      </x:c>
    </x:row>
    <x:row r="69" ht="21" customHeight="1">
      <x:c r="A69" s="1" t="str">
        <x:v>30</x:v>
      </x:c>
      <x:c r="B69" s="1" t="str">
        <x:v>800BNAVASC</x:v>
      </x:c>
      <x:c r="C69" s="1" t="str">
        <x:v>3003926</x:v>
      </x:c>
      <x:c r="D69" s="1" t="str">
        <x:v>0</x:v>
      </x:c>
      <x:c r="E69" s="1"/>
      <x:c r="F69" s="7" t="n">
        <x:v>46125</x:v>
      </x:c>
      <x:c r="G69" s="7" t="n">
        <x:v>46168</x:v>
      </x:c>
      <x:c r="H69" s="8" t="n">
        <x:v>0</x:v>
      </x:c>
      <x:c r="I69" s="8"/>
      <x:c r="J69" s="8" t="n">
        <x:v>1</x:v>
      </x:c>
      <x:c r="K69" s="9" t="n">
        <x:v>14.43</x:v>
      </x:c>
      <x:c r="L69" s="8" t="n">
        <x:v>100</x:v>
      </x:c>
      <x:c r="M69" s="10" t="n">
        <x:v>0</x:v>
      </x:c>
      <x:c r="N69" s="8" t="str">
        <x:v>i</x:v>
      </x:c>
      <x:c r="O69" s="8" t="n">
        <x:v>0</x:v>
      </x:c>
      <x:c r="P69" s="11" t="n">
        <x:f>MIN(X69,MAX(0,SUMIFS('Current inventory'!$D$2:$D$127,'Current inventory'!$A$2:$A$127,A69,'Current inventory'!$B$2:$B$127,B69)-SUMIFS($X$2:X68,$A$2:A68,A69,$B$2:B68,B69)))</x:f>
        <x:v>0</x:v>
      </x:c>
      <x:c r="Q69" s="1" t="str">
        <x:v>Received history</x:v>
      </x:c>
      <x:c r="R69" s="1" t="str">
        <x:v>Receipts data film c400 c800 plastic.csv</x:v>
      </x:c>
      <x:c r="S69" s="12" t="n">
        <x:f>IF(O69=1,I69*J69,0)</x:f>
        <x:v>0</x:v>
      </x:c>
      <x:c r="T69" s="13" t="n">
        <x:f>IF(L69&gt;0,K69/L69,"n.a.")</x:f>
        <x:v>0.14429999999999998</x:v>
      </x:c>
      <x:c r="U69" s="12" t="n">
        <x:f>IF(Q69="Old cost",S69,0)</x:f>
        <x:v>0</x:v>
      </x:c>
      <x:c r="V69" s="12" t="n">
        <x:f>IF(Q69="Higher cost",S69,0)</x:f>
        <x:v>0</x:v>
      </x:c>
      <x:c r="W69" s="12" t="n">
        <x:f>IF(Q69="Unclassified",S69,0)</x:f>
        <x:v>0</x:v>
      </x:c>
      <x:c r="X69" s="12" t="n">
        <x:f>IF(AND(ISNUMBER(F69),F69&gt;0,F69&lt;=Summary!$D$5,H69&gt;0),H69*J69,0)</x:f>
        <x:v>0</x:v>
      </x:c>
    </x:row>
    <x:row r="70" ht="21" customHeight="1">
      <x:c r="A70" s="1" t="str">
        <x:v>60</x:v>
      </x:c>
      <x:c r="B70" s="1" t="str">
        <x:v>800BBLKASC</x:v>
      </x:c>
      <x:c r="C70" s="1" t="str">
        <x:v>6102880</x:v>
      </x:c>
      <x:c r="D70" s="1" t="str">
        <x:v>4</x:v>
      </x:c>
      <x:c r="E70" s="1"/>
      <x:c r="F70" s="7" t="n">
        <x:v>46121</x:v>
      </x:c>
      <x:c r="G70" s="7" t="n">
        <x:v>46127</x:v>
      </x:c>
      <x:c r="H70" s="8" t="n">
        <x:v>280000</x:v>
      </x:c>
      <x:c r="I70" s="8"/>
      <x:c r="J70" s="8" t="n">
        <x:v>1</x:v>
      </x:c>
      <x:c r="K70" s="9" t="n">
        <x:v>11.7</x:v>
      </x:c>
      <x:c r="L70" s="8" t="n">
        <x:v>100</x:v>
      </x:c>
      <x:c r="M70" s="10" t="n">
        <x:v>34412</x:v>
      </x:c>
      <x:c r="N70" s="8" t="str">
        <x:v>i</x:v>
      </x:c>
      <x:c r="O70" s="8" t="n">
        <x:v>0</x:v>
      </x:c>
      <x:c r="P70" s="11" t="n">
        <x:f>MIN(X70,MAX(0,SUMIFS('Current inventory'!$D$2:$D$127,'Current inventory'!$A$2:$A$127,A70,'Current inventory'!$B$2:$B$127,B70)-SUMIFS($X$2:X69,$A$2:A69,A70,$B$2:B69,B70)))</x:f>
        <x:v>0</x:v>
      </x:c>
      <x:c r="Q70" s="1" t="str">
        <x:v>Received history</x:v>
      </x:c>
      <x:c r="R70" s="1" t="str">
        <x:v>Receipts data film c400 c800 plastic.csv</x:v>
      </x:c>
      <x:c r="S70" s="12" t="n">
        <x:f>IF(O70=1,I70*J70,0)</x:f>
        <x:v>0</x:v>
      </x:c>
      <x:c r="T70" s="13" t="n">
        <x:f>IF(L70&gt;0,K70/L70,"n.a.")</x:f>
        <x:v>0.11699999999999999</x:v>
      </x:c>
      <x:c r="U70" s="12" t="n">
        <x:f>IF(Q70="Old cost",S70,0)</x:f>
        <x:v>0</x:v>
      </x:c>
      <x:c r="V70" s="12" t="n">
        <x:f>IF(Q70="Higher cost",S70,0)</x:f>
        <x:v>0</x:v>
      </x:c>
      <x:c r="W70" s="12" t="n">
        <x:f>IF(Q70="Unclassified",S70,0)</x:f>
        <x:v>0</x:v>
      </x:c>
      <x:c r="X70" s="12" t="n">
        <x:f>IF(AND(ISNUMBER(F70),F70&gt;0,F70&lt;=Summary!$D$5,H70&gt;0),H70*J70,0)</x:f>
        <x:v>280000</x:v>
      </x:c>
    </x:row>
    <x:row r="71" ht="21" customHeight="1">
      <x:c r="A71" s="1" t="str">
        <x:v>60</x:v>
      </x:c>
      <x:c r="B71" s="1" t="str">
        <x:v>800NAVE</x:v>
      </x:c>
      <x:c r="C71" s="1" t="str">
        <x:v>6102880</x:v>
      </x:c>
      <x:c r="D71" s="1" t="str">
        <x:v>4</x:v>
      </x:c>
      <x:c r="E71" s="1"/>
      <x:c r="F71" s="7" t="n">
        <x:v>46121</x:v>
      </x:c>
      <x:c r="G71" s="7" t="n">
        <x:v>46143</x:v>
      </x:c>
      <x:c r="H71" s="8" t="n">
        <x:v>0</x:v>
      </x:c>
      <x:c r="I71" s="8"/>
      <x:c r="J71" s="8" t="n">
        <x:v>1</x:v>
      </x:c>
      <x:c r="K71" s="9" t="n">
        <x:v>993.6</x:v>
      </x:c>
      <x:c r="L71" s="8" t="n">
        <x:v>1000</x:v>
      </x:c>
      <x:c r="M71" s="10" t="n">
        <x:v>0</x:v>
      </x:c>
      <x:c r="N71" s="8" t="str">
        <x:v>i</x:v>
      </x:c>
      <x:c r="O71" s="8" t="n">
        <x:v>0</x:v>
      </x:c>
      <x:c r="P71" s="11" t="n">
        <x:f>MIN(X71,MAX(0,SUMIFS('Current inventory'!$D$2:$D$127,'Current inventory'!$A$2:$A$127,A71,'Current inventory'!$B$2:$B$127,B71)-SUMIFS($X$2:X70,$A$2:A70,A71,$B$2:B70,B71)))</x:f>
        <x:v>0</x:v>
      </x:c>
      <x:c r="Q71" s="1" t="str">
        <x:v>Received history</x:v>
      </x:c>
      <x:c r="R71" s="1" t="str">
        <x:v>Receipts data film c400 c800 plastic.csv</x:v>
      </x:c>
      <x:c r="S71" s="12" t="n">
        <x:f>IF(O71=1,I71*J71,0)</x:f>
        <x:v>0</x:v>
      </x:c>
      <x:c r="T71" s="13" t="n">
        <x:f>IF(L71&gt;0,K71/L71,"n.a.")</x:f>
        <x:v>0.9936</x:v>
      </x:c>
      <x:c r="U71" s="12" t="n">
        <x:f>IF(Q71="Old cost",S71,0)</x:f>
        <x:v>0</x:v>
      </x:c>
      <x:c r="V71" s="12" t="n">
        <x:f>IF(Q71="Higher cost",S71,0)</x:f>
        <x:v>0</x:v>
      </x:c>
      <x:c r="W71" s="12" t="n">
        <x:f>IF(Q71="Unclassified",S71,0)</x:f>
        <x:v>0</x:v>
      </x:c>
      <x:c r="X71" s="12" t="n">
        <x:f>IF(AND(ISNUMBER(F71),F71&gt;0,F71&lt;=Summary!$D$5,H71&gt;0),H71*J71,0)</x:f>
        <x:v>0</x:v>
      </x:c>
    </x:row>
    <x:row r="72" ht="21" customHeight="1">
      <x:c r="A72" s="1" t="str">
        <x:v>10</x:v>
      </x:c>
      <x:c r="B72" s="1" t="str">
        <x:v>800BBLKASC</x:v>
      </x:c>
      <x:c r="C72" s="1" t="str">
        <x:v>1059703</x:v>
      </x:c>
      <x:c r="D72" s="1" t="str">
        <x:v>7</x:v>
      </x:c>
      <x:c r="E72" s="1"/>
      <x:c r="F72" s="7" t="n">
        <x:v>46119</x:v>
      </x:c>
      <x:c r="G72" s="7" t="n">
        <x:v>46121</x:v>
      </x:c>
      <x:c r="H72" s="8" t="n">
        <x:v>80000</x:v>
      </x:c>
      <x:c r="I72" s="8"/>
      <x:c r="J72" s="8" t="n">
        <x:v>1</x:v>
      </x:c>
      <x:c r="K72" s="9" t="n">
        <x:v>11.7</x:v>
      </x:c>
      <x:c r="L72" s="8" t="n">
        <x:v>100</x:v>
      </x:c>
      <x:c r="M72" s="10" t="n">
        <x:v>9832</x:v>
      </x:c>
      <x:c r="N72" s="8" t="str">
        <x:v>i</x:v>
      </x:c>
      <x:c r="O72" s="8" t="n">
        <x:v>0</x:v>
      </x:c>
      <x:c r="P72" s="11" t="n">
        <x:f>MIN(X72,MAX(0,SUMIFS('Current inventory'!$D$2:$D$127,'Current inventory'!$A$2:$A$127,A72,'Current inventory'!$B$2:$B$127,B72)-SUMIFS($X$2:X71,$A$2:A71,A72,$B$2:B71,B72)))</x:f>
        <x:v>0</x:v>
      </x:c>
      <x:c r="Q72" s="1" t="str">
        <x:v>Received history</x:v>
      </x:c>
      <x:c r="R72" s="1" t="str">
        <x:v>Receipts data film c400 c800 plastic.csv</x:v>
      </x:c>
      <x:c r="S72" s="12" t="n">
        <x:f>IF(O72=1,I72*J72,0)</x:f>
        <x:v>0</x:v>
      </x:c>
      <x:c r="T72" s="13" t="n">
        <x:f>IF(L72&gt;0,K72/L72,"n.a.")</x:f>
        <x:v>0.11699999999999999</x:v>
      </x:c>
      <x:c r="U72" s="12" t="n">
        <x:f>IF(Q72="Old cost",S72,0)</x:f>
        <x:v>0</x:v>
      </x:c>
      <x:c r="V72" s="12" t="n">
        <x:f>IF(Q72="Higher cost",S72,0)</x:f>
        <x:v>0</x:v>
      </x:c>
      <x:c r="W72" s="12" t="n">
        <x:f>IF(Q72="Unclassified",S72,0)</x:f>
        <x:v>0</x:v>
      </x:c>
      <x:c r="X72" s="12" t="n">
        <x:f>IF(AND(ISNUMBER(F72),F72&gt;0,F72&lt;=Summary!$D$5,H72&gt;0),H72*J72,0)</x:f>
        <x:v>80000</x:v>
      </x:c>
    </x:row>
    <x:row r="73" ht="21" customHeight="1">
      <x:c r="A73" s="1" t="str">
        <x:v>10</x:v>
      </x:c>
      <x:c r="B73" s="1" t="str">
        <x:v>800BBLKASC</x:v>
      </x:c>
      <x:c r="C73" s="1" t="str">
        <x:v>1059703</x:v>
      </x:c>
      <x:c r="D73" s="1" t="str">
        <x:v>6</x:v>
      </x:c>
      <x:c r="E73" s="1"/>
      <x:c r="F73" s="7" t="n">
        <x:v>46114</x:v>
      </x:c>
      <x:c r="G73" s="7" t="n">
        <x:v>46121</x:v>
      </x:c>
      <x:c r="H73" s="8" t="n">
        <x:v>160000</x:v>
      </x:c>
      <x:c r="I73" s="8"/>
      <x:c r="J73" s="8" t="n">
        <x:v>1</x:v>
      </x:c>
      <x:c r="K73" s="9" t="n">
        <x:v>11.7</x:v>
      </x:c>
      <x:c r="L73" s="8" t="n">
        <x:v>100</x:v>
      </x:c>
      <x:c r="M73" s="10" t="n">
        <x:v>19664</x:v>
      </x:c>
      <x:c r="N73" s="8" t="str">
        <x:v>i</x:v>
      </x:c>
      <x:c r="O73" s="8" t="n">
        <x:v>0</x:v>
      </x:c>
      <x:c r="P73" s="11" t="n">
        <x:f>MIN(X73,MAX(0,SUMIFS('Current inventory'!$D$2:$D$127,'Current inventory'!$A$2:$A$127,A73,'Current inventory'!$B$2:$B$127,B73)-SUMIFS($X$2:X72,$A$2:A72,A73,$B$2:B72,B73)))</x:f>
        <x:v>0</x:v>
      </x:c>
      <x:c r="Q73" s="1" t="str">
        <x:v>Received history</x:v>
      </x:c>
      <x:c r="R73" s="1" t="str">
        <x:v>Receipts data film c400 c800 plastic.csv</x:v>
      </x:c>
      <x:c r="S73" s="12" t="n">
        <x:f>IF(O73=1,I73*J73,0)</x:f>
        <x:v>0</x:v>
      </x:c>
      <x:c r="T73" s="13" t="n">
        <x:f>IF(L73&gt;0,K73/L73,"n.a.")</x:f>
        <x:v>0.11699999999999999</x:v>
      </x:c>
      <x:c r="U73" s="12" t="n">
        <x:f>IF(Q73="Old cost",S73,0)</x:f>
        <x:v>0</x:v>
      </x:c>
      <x:c r="V73" s="12" t="n">
        <x:f>IF(Q73="Higher cost",S73,0)</x:f>
        <x:v>0</x:v>
      </x:c>
      <x:c r="W73" s="12" t="n">
        <x:f>IF(Q73="Unclassified",S73,0)</x:f>
        <x:v>0</x:v>
      </x:c>
      <x:c r="X73" s="12" t="n">
        <x:f>IF(AND(ISNUMBER(F73),F73&gt;0,F73&lt;=Summary!$D$5,H73&gt;0),H73*J73,0)</x:f>
        <x:v>160000</x:v>
      </x:c>
    </x:row>
    <x:row r="74" ht="21" customHeight="1">
      <x:c r="A74" s="1" t="str">
        <x:v>10</x:v>
      </x:c>
      <x:c r="B74" s="1" t="str">
        <x:v>800BBLKASC</x:v>
      </x:c>
      <x:c r="C74" s="1" t="str">
        <x:v>1059986</x:v>
      </x:c>
      <x:c r="D74" s="1" t="str">
        <x:v>0</x:v>
      </x:c>
      <x:c r="E74" s="1"/>
      <x:c r="F74" s="7" t="n">
        <x:v>46107</x:v>
      </x:c>
      <x:c r="G74" s="7" t="n">
        <x:v>46136</x:v>
      </x:c>
      <x:c r="H74" s="8" t="n">
        <x:v>0</x:v>
      </x:c>
      <x:c r="I74" s="8"/>
      <x:c r="J74" s="8" t="n">
        <x:v>1</x:v>
      </x:c>
      <x:c r="K74" s="9" t="n">
        <x:v>11.7</x:v>
      </x:c>
      <x:c r="L74" s="8" t="n">
        <x:v>100</x:v>
      </x:c>
      <x:c r="M74" s="10" t="n">
        <x:v>0</x:v>
      </x:c>
      <x:c r="N74" s="8" t="str">
        <x:v>i</x:v>
      </x:c>
      <x:c r="O74" s="8" t="n">
        <x:v>0</x:v>
      </x:c>
      <x:c r="P74" s="11" t="n">
        <x:f>MIN(X74,MAX(0,SUMIFS('Current inventory'!$D$2:$D$127,'Current inventory'!$A$2:$A$127,A74,'Current inventory'!$B$2:$B$127,B74)-SUMIFS($X$2:X73,$A$2:A73,A74,$B$2:B73,B74)))</x:f>
        <x:v>0</x:v>
      </x:c>
      <x:c r="Q74" s="1" t="str">
        <x:v>Received history</x:v>
      </x:c>
      <x:c r="R74" s="1" t="str">
        <x:v>Receipts data film c400 c800 plastic.csv</x:v>
      </x:c>
      <x:c r="S74" s="12" t="n">
        <x:f>IF(O74=1,I74*J74,0)</x:f>
        <x:v>0</x:v>
      </x:c>
      <x:c r="T74" s="13" t="n">
        <x:f>IF(L74&gt;0,K74/L74,"n.a.")</x:f>
        <x:v>0.11699999999999999</x:v>
      </x:c>
      <x:c r="U74" s="12" t="n">
        <x:f>IF(Q74="Old cost",S74,0)</x:f>
        <x:v>0</x:v>
      </x:c>
      <x:c r="V74" s="12" t="n">
        <x:f>IF(Q74="Higher cost",S74,0)</x:f>
        <x:v>0</x:v>
      </x:c>
      <x:c r="W74" s="12" t="n">
        <x:f>IF(Q74="Unclassified",S74,0)</x:f>
        <x:v>0</x:v>
      </x:c>
      <x:c r="X74" s="12" t="n">
        <x:f>IF(AND(ISNUMBER(F74),F74&gt;0,F74&lt;=Summary!$D$5,H74&gt;0),H74*J74,0)</x:f>
        <x:v>0</x:v>
      </x:c>
    </x:row>
    <x:row r="75" ht="21" customHeight="1">
      <x:c r="A75" s="1" t="str">
        <x:v>10</x:v>
      </x:c>
      <x:c r="B75" s="1" t="str">
        <x:v>800BBLKISC</x:v>
      </x:c>
      <x:c r="C75" s="1" t="str">
        <x:v>1059986</x:v>
      </x:c>
      <x:c r="D75" s="1" t="str">
        <x:v>0</x:v>
      </x:c>
      <x:c r="E75" s="1"/>
      <x:c r="F75" s="7" t="n">
        <x:v>46107</x:v>
      </x:c>
      <x:c r="G75" s="7" t="n">
        <x:v>46136</x:v>
      </x:c>
      <x:c r="H75" s="8" t="n">
        <x:v>0</x:v>
      </x:c>
      <x:c r="I75" s="8"/>
      <x:c r="J75" s="8" t="n">
        <x:v>1</x:v>
      </x:c>
      <x:c r="K75" s="9" t="n">
        <x:v>15.35</x:v>
      </x:c>
      <x:c r="L75" s="8" t="n">
        <x:v>100</x:v>
      </x:c>
      <x:c r="M75" s="10" t="n">
        <x:v>0</x:v>
      </x:c>
      <x:c r="N75" s="8" t="str">
        <x:v>i</x:v>
      </x:c>
      <x:c r="O75" s="8" t="n">
        <x:v>0</x:v>
      </x:c>
      <x:c r="P75" s="11" t="n">
        <x:f>MIN(X75,MAX(0,SUMIFS('Current inventory'!$D$2:$D$127,'Current inventory'!$A$2:$A$127,A75,'Current inventory'!$B$2:$B$127,B75)-SUMIFS($X$2:X74,$A$2:A74,A75,$B$2:B74,B75)))</x:f>
        <x:v>0</x:v>
      </x:c>
      <x:c r="Q75" s="1" t="str">
        <x:v>Received history</x:v>
      </x:c>
      <x:c r="R75" s="1" t="str">
        <x:v>Receipts data film c400 c800 plastic.csv</x:v>
      </x:c>
      <x:c r="S75" s="12" t="n">
        <x:f>IF(O75=1,I75*J75,0)</x:f>
        <x:v>0</x:v>
      </x:c>
      <x:c r="T75" s="13" t="n">
        <x:f>IF(L75&gt;0,K75/L75,"n.a.")</x:f>
        <x:v>0.1535</x:v>
      </x:c>
      <x:c r="U75" s="12" t="n">
        <x:f>IF(Q75="Old cost",S75,0)</x:f>
        <x:v>0</x:v>
      </x:c>
      <x:c r="V75" s="12" t="n">
        <x:f>IF(Q75="Higher cost",S75,0)</x:f>
        <x:v>0</x:v>
      </x:c>
      <x:c r="W75" s="12" t="n">
        <x:f>IF(Q75="Unclassified",S75,0)</x:f>
        <x:v>0</x:v>
      </x:c>
      <x:c r="X75" s="12" t="n">
        <x:f>IF(AND(ISNUMBER(F75),F75&gt;0,F75&lt;=Summary!$D$5,H75&gt;0),H75*J75,0)</x:f>
        <x:v>0</x:v>
      </x:c>
    </x:row>
    <x:row r="76" ht="21" customHeight="1">
      <x:c r="A76" s="1" t="str">
        <x:v>10</x:v>
      </x:c>
      <x:c r="B76" s="1" t="str">
        <x:v>800BLKE</x:v>
      </x:c>
      <x:c r="C76" s="1" t="str">
        <x:v>1059986</x:v>
      </x:c>
      <x:c r="D76" s="1" t="str">
        <x:v>0</x:v>
      </x:c>
      <x:c r="E76" s="1"/>
      <x:c r="F76" s="7" t="n">
        <x:v>46107</x:v>
      </x:c>
      <x:c r="G76" s="7" t="n">
        <x:v>46136</x:v>
      </x:c>
      <x:c r="H76" s="8" t="n">
        <x:v>0</x:v>
      </x:c>
      <x:c r="I76" s="8"/>
      <x:c r="J76" s="8" t="n">
        <x:v>1</x:v>
      </x:c>
      <x:c r="K76" s="9" t="n">
        <x:v>861.1</x:v>
      </x:c>
      <x:c r="L76" s="8" t="n">
        <x:v>1000</x:v>
      </x:c>
      <x:c r="M76" s="10" t="n">
        <x:v>0</x:v>
      </x:c>
      <x:c r="N76" s="8" t="str">
        <x:v>i</x:v>
      </x:c>
      <x:c r="O76" s="8" t="n">
        <x:v>0</x:v>
      </x:c>
      <x:c r="P76" s="11" t="n">
        <x:f>MIN(X76,MAX(0,SUMIFS('Current inventory'!$D$2:$D$127,'Current inventory'!$A$2:$A$127,A76,'Current inventory'!$B$2:$B$127,B76)-SUMIFS($X$2:X75,$A$2:A75,A76,$B$2:B75,B76)))</x:f>
        <x:v>0</x:v>
      </x:c>
      <x:c r="Q76" s="1" t="str">
        <x:v>Received history</x:v>
      </x:c>
      <x:c r="R76" s="1" t="str">
        <x:v>Receipts data film c400 c800 plastic.csv</x:v>
      </x:c>
      <x:c r="S76" s="12" t="n">
        <x:f>IF(O76=1,I76*J76,0)</x:f>
        <x:v>0</x:v>
      </x:c>
      <x:c r="T76" s="13" t="n">
        <x:f>IF(L76&gt;0,K76/L76,"n.a.")</x:f>
        <x:v>0.8611</x:v>
      </x:c>
      <x:c r="U76" s="12" t="n">
        <x:f>IF(Q76="Old cost",S76,0)</x:f>
        <x:v>0</x:v>
      </x:c>
      <x:c r="V76" s="12" t="n">
        <x:f>IF(Q76="Higher cost",S76,0)</x:f>
        <x:v>0</x:v>
      </x:c>
      <x:c r="W76" s="12" t="n">
        <x:f>IF(Q76="Unclassified",S76,0)</x:f>
        <x:v>0</x:v>
      </x:c>
      <x:c r="X76" s="12" t="n">
        <x:f>IF(AND(ISNUMBER(F76),F76&gt;0,F76&lt;=Summary!$D$5,H76&gt;0),H76*J76,0)</x:f>
        <x:v>0</x:v>
      </x:c>
    </x:row>
    <x:row r="77" ht="21" customHeight="1">
      <x:c r="A77" s="1" t="str">
        <x:v>10</x:v>
      </x:c>
      <x:c r="B77" s="1" t="str">
        <x:v>800BMARASC</x:v>
      </x:c>
      <x:c r="C77" s="1" t="str">
        <x:v>1059986</x:v>
      </x:c>
      <x:c r="D77" s="1" t="str">
        <x:v>0</x:v>
      </x:c>
      <x:c r="E77" s="1"/>
      <x:c r="F77" s="7" t="n">
        <x:v>46107</x:v>
      </x:c>
      <x:c r="G77" s="7" t="n">
        <x:v>46136</x:v>
      </x:c>
      <x:c r="H77" s="8" t="n">
        <x:v>40000</x:v>
      </x:c>
      <x:c r="I77" s="8"/>
      <x:c r="J77" s="8" t="n">
        <x:v>1</x:v>
      </x:c>
      <x:c r="K77" s="9" t="n">
        <x:v>15.22</x:v>
      </x:c>
      <x:c r="L77" s="8" t="n">
        <x:v>100</x:v>
      </x:c>
      <x:c r="M77" s="10" t="n">
        <x:v>6392</x:v>
      </x:c>
      <x:c r="N77" s="8" t="str">
        <x:v>i</x:v>
      </x:c>
      <x:c r="O77" s="8" t="n">
        <x:v>0</x:v>
      </x:c>
      <x:c r="P77" s="11" t="n">
        <x:f>MIN(X77,MAX(0,SUMIFS('Current inventory'!$D$2:$D$127,'Current inventory'!$A$2:$A$127,A77,'Current inventory'!$B$2:$B$127,B77)-SUMIFS($X$2:X76,$A$2:A76,A77,$B$2:B76,B77)))</x:f>
        <x:v>32200</x:v>
      </x:c>
      <x:c r="Q77" s="1" t="str">
        <x:v>Received history</x:v>
      </x:c>
      <x:c r="R77" s="1" t="str">
        <x:v>Receipts data film c400 c800 plastic.csv</x:v>
      </x:c>
      <x:c r="S77" s="12" t="n">
        <x:f>IF(O77=1,I77*J77,0)</x:f>
        <x:v>0</x:v>
      </x:c>
      <x:c r="T77" s="13" t="n">
        <x:f>IF(L77&gt;0,K77/L77,"n.a.")</x:f>
        <x:v>0.1522</x:v>
      </x:c>
      <x:c r="U77" s="12" t="n">
        <x:f>IF(Q77="Old cost",S77,0)</x:f>
        <x:v>0</x:v>
      </x:c>
      <x:c r="V77" s="12" t="n">
        <x:f>IF(Q77="Higher cost",S77,0)</x:f>
        <x:v>0</x:v>
      </x:c>
      <x:c r="W77" s="12" t="n">
        <x:f>IF(Q77="Unclassified",S77,0)</x:f>
        <x:v>0</x:v>
      </x:c>
      <x:c r="X77" s="12" t="n">
        <x:f>IF(AND(ISNUMBER(F77),F77&gt;0,F77&lt;=Summary!$D$5,H77&gt;0),H77*J77,0)</x:f>
        <x:v>40000</x:v>
      </x:c>
    </x:row>
    <x:row r="78" ht="21" customHeight="1">
      <x:c r="A78" s="1" t="str">
        <x:v>10</x:v>
      </x:c>
      <x:c r="B78" s="1" t="str">
        <x:v>800BNAVASC</x:v>
      </x:c>
      <x:c r="C78" s="1" t="str">
        <x:v>1059986</x:v>
      </x:c>
      <x:c r="D78" s="1" t="str">
        <x:v>0</x:v>
      </x:c>
      <x:c r="E78" s="1"/>
      <x:c r="F78" s="7" t="n">
        <x:v>46107</x:v>
      </x:c>
      <x:c r="G78" s="7" t="n">
        <x:v>46136</x:v>
      </x:c>
      <x:c r="H78" s="8" t="n">
        <x:v>0</x:v>
      </x:c>
      <x:c r="I78" s="8"/>
      <x:c r="J78" s="8" t="n">
        <x:v>1</x:v>
      </x:c>
      <x:c r="K78" s="9" t="n">
        <x:v>14.43</x:v>
      </x:c>
      <x:c r="L78" s="8" t="n">
        <x:v>100</x:v>
      </x:c>
      <x:c r="M78" s="10" t="n">
        <x:v>0</x:v>
      </x:c>
      <x:c r="N78" s="8" t="str">
        <x:v>i</x:v>
      </x:c>
      <x:c r="O78" s="8" t="n">
        <x:v>0</x:v>
      </x:c>
      <x:c r="P78" s="11" t="n">
        <x:f>MIN(X78,MAX(0,SUMIFS('Current inventory'!$D$2:$D$127,'Current inventory'!$A$2:$A$127,A78,'Current inventory'!$B$2:$B$127,B78)-SUMIFS($X$2:X77,$A$2:A77,A78,$B$2:B77,B78)))</x:f>
        <x:v>0</x:v>
      </x:c>
      <x:c r="Q78" s="1" t="str">
        <x:v>Received history</x:v>
      </x:c>
      <x:c r="R78" s="1" t="str">
        <x:v>Receipts data film c400 c800 plastic.csv</x:v>
      </x:c>
      <x:c r="S78" s="12" t="n">
        <x:f>IF(O78=1,I78*J78,0)</x:f>
        <x:v>0</x:v>
      </x:c>
      <x:c r="T78" s="13" t="n">
        <x:f>IF(L78&gt;0,K78/L78,"n.a.")</x:f>
        <x:v>0.14429999999999998</x:v>
      </x:c>
      <x:c r="U78" s="12" t="n">
        <x:f>IF(Q78="Old cost",S78,0)</x:f>
        <x:v>0</x:v>
      </x:c>
      <x:c r="V78" s="12" t="n">
        <x:f>IF(Q78="Higher cost",S78,0)</x:f>
        <x:v>0</x:v>
      </x:c>
      <x:c r="W78" s="12" t="n">
        <x:f>IF(Q78="Unclassified",S78,0)</x:f>
        <x:v>0</x:v>
      </x:c>
      <x:c r="X78" s="12" t="n">
        <x:f>IF(AND(ISNUMBER(F78),F78&gt;0,F78&lt;=Summary!$D$5,H78&gt;0),H78*J78,0)</x:f>
        <x:v>0</x:v>
      </x:c>
    </x:row>
    <x:row r="79" ht="21" customHeight="1">
      <x:c r="A79" s="1" t="str">
        <x:v>10</x:v>
      </x:c>
      <x:c r="B79" s="1" t="str">
        <x:v>800NAVE</x:v>
      </x:c>
      <x:c r="C79" s="1" t="str">
        <x:v>1059986</x:v>
      </x:c>
      <x:c r="D79" s="1" t="str">
        <x:v>0</x:v>
      </x:c>
      <x:c r="E79" s="1"/>
      <x:c r="F79" s="7" t="n">
        <x:v>46107</x:v>
      </x:c>
      <x:c r="G79" s="7" t="n">
        <x:v>46136</x:v>
      </x:c>
      <x:c r="H79" s="8" t="n">
        <x:v>0</x:v>
      </x:c>
      <x:c r="I79" s="8"/>
      <x:c r="J79" s="8" t="n">
        <x:v>1</x:v>
      </x:c>
      <x:c r="K79" s="9" t="n">
        <x:v>993.6</x:v>
      </x:c>
      <x:c r="L79" s="8" t="n">
        <x:v>1000</x:v>
      </x:c>
      <x:c r="M79" s="10" t="n">
        <x:v>0</x:v>
      </x:c>
      <x:c r="N79" s="8" t="str">
        <x:v>i</x:v>
      </x:c>
      <x:c r="O79" s="8" t="n">
        <x:v>0</x:v>
      </x:c>
      <x:c r="P79" s="11" t="n">
        <x:f>MIN(X79,MAX(0,SUMIFS('Current inventory'!$D$2:$D$127,'Current inventory'!$A$2:$A$127,A79,'Current inventory'!$B$2:$B$127,B79)-SUMIFS($X$2:X78,$A$2:A78,A79,$B$2:B78,B79)))</x:f>
        <x:v>0</x:v>
      </x:c>
      <x:c r="Q79" s="1" t="str">
        <x:v>Received history</x:v>
      </x:c>
      <x:c r="R79" s="1" t="str">
        <x:v>Receipts data film c400 c800 plastic.csv</x:v>
      </x:c>
      <x:c r="S79" s="12" t="n">
        <x:f>IF(O79=1,I79*J79,0)</x:f>
        <x:v>0</x:v>
      </x:c>
      <x:c r="T79" s="13" t="n">
        <x:f>IF(L79&gt;0,K79/L79,"n.a.")</x:f>
        <x:v>0.9936</x:v>
      </x:c>
      <x:c r="U79" s="12" t="n">
        <x:f>IF(Q79="Old cost",S79,0)</x:f>
        <x:v>0</x:v>
      </x:c>
      <x:c r="V79" s="12" t="n">
        <x:f>IF(Q79="Higher cost",S79,0)</x:f>
        <x:v>0</x:v>
      </x:c>
      <x:c r="W79" s="12" t="n">
        <x:f>IF(Q79="Unclassified",S79,0)</x:f>
        <x:v>0</x:v>
      </x:c>
      <x:c r="X79" s="12" t="n">
        <x:f>IF(AND(ISNUMBER(F79),F79&gt;0,F79&lt;=Summary!$D$5,H79&gt;0),H79*J79,0)</x:f>
        <x:v>0</x:v>
      </x:c>
    </x:row>
    <x:row r="80" ht="21" customHeight="1">
      <x:c r="A80" s="1" t="str">
        <x:v>10</x:v>
      </x:c>
      <x:c r="B80" s="1" t="str">
        <x:v>800BBLKASC</x:v>
      </x:c>
      <x:c r="C80" s="1" t="str">
        <x:v>1059703</x:v>
      </x:c>
      <x:c r="D80" s="1" t="str">
        <x:v>5</x:v>
      </x:c>
      <x:c r="E80" s="1"/>
      <x:c r="F80" s="7" t="n">
        <x:v>46107</x:v>
      </x:c>
      <x:c r="G80" s="7" t="n">
        <x:v>46136</x:v>
      </x:c>
      <x:c r="H80" s="8" t="n">
        <x:v>80000</x:v>
      </x:c>
      <x:c r="I80" s="8"/>
      <x:c r="J80" s="8" t="n">
        <x:v>1</x:v>
      </x:c>
      <x:c r="K80" s="9" t="n">
        <x:v>11.7</x:v>
      </x:c>
      <x:c r="L80" s="8" t="n">
        <x:v>100</x:v>
      </x:c>
      <x:c r="M80" s="10" t="n">
        <x:v>9832</x:v>
      </x:c>
      <x:c r="N80" s="8" t="str">
        <x:v>i</x:v>
      </x:c>
      <x:c r="O80" s="8" t="n">
        <x:v>0</x:v>
      </x:c>
      <x:c r="P80" s="11" t="n">
        <x:f>MIN(X80,MAX(0,SUMIFS('Current inventory'!$D$2:$D$127,'Current inventory'!$A$2:$A$127,A80,'Current inventory'!$B$2:$B$127,B80)-SUMIFS($X$2:X79,$A$2:A79,A80,$B$2:B79,B80)))</x:f>
        <x:v>0</x:v>
      </x:c>
      <x:c r="Q80" s="1" t="str">
        <x:v>Received history</x:v>
      </x:c>
      <x:c r="R80" s="1" t="str">
        <x:v>Receipts data film c400 c800 plastic.csv</x:v>
      </x:c>
      <x:c r="S80" s="12" t="n">
        <x:f>IF(O80=1,I80*J80,0)</x:f>
        <x:v>0</x:v>
      </x:c>
      <x:c r="T80" s="13" t="n">
        <x:f>IF(L80&gt;0,K80/L80,"n.a.")</x:f>
        <x:v>0.11699999999999999</x:v>
      </x:c>
      <x:c r="U80" s="12" t="n">
        <x:f>IF(Q80="Old cost",S80,0)</x:f>
        <x:v>0</x:v>
      </x:c>
      <x:c r="V80" s="12" t="n">
        <x:f>IF(Q80="Higher cost",S80,0)</x:f>
        <x:v>0</x:v>
      </x:c>
      <x:c r="W80" s="12" t="n">
        <x:f>IF(Q80="Unclassified",S80,0)</x:f>
        <x:v>0</x:v>
      </x:c>
      <x:c r="X80" s="12" t="n">
        <x:f>IF(AND(ISNUMBER(F80),F80&gt;0,F80&lt;=Summary!$D$5,H80&gt;0),H80*J80,0)</x:f>
        <x:v>80000</x:v>
      </x:c>
    </x:row>
    <x:row r="81" ht="21" customHeight="1">
      <x:c r="A81" s="1" t="str">
        <x:v>60</x:v>
      </x:c>
      <x:c r="B81" s="1" t="str">
        <x:v>800BBLKASC</x:v>
      </x:c>
      <x:c r="C81" s="1" t="str">
        <x:v>6102895</x:v>
      </x:c>
      <x:c r="D81" s="1" t="str">
        <x:v>2</x:v>
      </x:c>
      <x:c r="E81" s="1"/>
      <x:c r="F81" s="7" t="n">
        <x:v>46106</x:v>
      </x:c>
      <x:c r="G81" s="7" t="n">
        <x:v>46136</x:v>
      </x:c>
      <x:c r="H81" s="8" t="n">
        <x:v>0</x:v>
      </x:c>
      <x:c r="I81" s="8"/>
      <x:c r="J81" s="8" t="n">
        <x:v>1</x:v>
      </x:c>
      <x:c r="K81" s="9" t="n">
        <x:v>11.7</x:v>
      </x:c>
      <x:c r="L81" s="8" t="n">
        <x:v>100</x:v>
      </x:c>
      <x:c r="M81" s="10" t="n">
        <x:v>0</x:v>
      </x:c>
      <x:c r="N81" s="8" t="str">
        <x:v>i</x:v>
      </x:c>
      <x:c r="O81" s="8" t="n">
        <x:v>0</x:v>
      </x:c>
      <x:c r="P81" s="11" t="n">
        <x:f>MIN(X81,MAX(0,SUMIFS('Current inventory'!$D$2:$D$127,'Current inventory'!$A$2:$A$127,A81,'Current inventory'!$B$2:$B$127,B81)-SUMIFS($X$2:X80,$A$2:A80,A81,$B$2:B80,B81)))</x:f>
        <x:v>0</x:v>
      </x:c>
      <x:c r="Q81" s="1" t="str">
        <x:v>Received history</x:v>
      </x:c>
      <x:c r="R81" s="1" t="str">
        <x:v>Receipts data film c400 c800 plastic.csv</x:v>
      </x:c>
      <x:c r="S81" s="12" t="n">
        <x:f>IF(O81=1,I81*J81,0)</x:f>
        <x:v>0</x:v>
      </x:c>
      <x:c r="T81" s="13" t="n">
        <x:f>IF(L81&gt;0,K81/L81,"n.a.")</x:f>
        <x:v>0.11699999999999999</x:v>
      </x:c>
      <x:c r="U81" s="12" t="n">
        <x:f>IF(Q81="Old cost",S81,0)</x:f>
        <x:v>0</x:v>
      </x:c>
      <x:c r="V81" s="12" t="n">
        <x:f>IF(Q81="Higher cost",S81,0)</x:f>
        <x:v>0</x:v>
      </x:c>
      <x:c r="W81" s="12" t="n">
        <x:f>IF(Q81="Unclassified",S81,0)</x:f>
        <x:v>0</x:v>
      </x:c>
      <x:c r="X81" s="12" t="n">
        <x:f>IF(AND(ISNUMBER(F81),F81&gt;0,F81&lt;=Summary!$D$5,H81&gt;0),H81*J81,0)</x:f>
        <x:v>0</x:v>
      </x:c>
    </x:row>
    <x:row r="82" ht="21" customHeight="1">
      <x:c r="A82" s="1" t="str">
        <x:v>60</x:v>
      </x:c>
      <x:c r="B82" s="1" t="str">
        <x:v>800BMARASC</x:v>
      </x:c>
      <x:c r="C82" s="1" t="str">
        <x:v>6102895</x:v>
      </x:c>
      <x:c r="D82" s="1" t="str">
        <x:v>2</x:v>
      </x:c>
      <x:c r="E82" s="1"/>
      <x:c r="F82" s="7" t="n">
        <x:v>46106</x:v>
      </x:c>
      <x:c r="G82" s="7" t="n">
        <x:v>46136</x:v>
      </x:c>
      <x:c r="H82" s="8" t="n">
        <x:v>20000</x:v>
      </x:c>
      <x:c r="I82" s="8"/>
      <x:c r="J82" s="8" t="n">
        <x:v>1</x:v>
      </x:c>
      <x:c r="K82" s="9" t="n">
        <x:v>15.22</x:v>
      </x:c>
      <x:c r="L82" s="8" t="n">
        <x:v>100</x:v>
      </x:c>
      <x:c r="M82" s="10" t="n">
        <x:v>3196</x:v>
      </x:c>
      <x:c r="N82" s="8" t="str">
        <x:v>i</x:v>
      </x:c>
      <x:c r="O82" s="8" t="n">
        <x:v>0</x:v>
      </x:c>
      <x:c r="P82" s="11" t="n">
        <x:f>MIN(X82,MAX(0,SUMIFS('Current inventory'!$D$2:$D$127,'Current inventory'!$A$2:$A$127,A82,'Current inventory'!$B$2:$B$127,B82)-SUMIFS($X$2:X81,$A$2:A81,A82,$B$2:B81,B82)))</x:f>
        <x:v>5700</x:v>
      </x:c>
      <x:c r="Q82" s="1" t="str">
        <x:v>Received history</x:v>
      </x:c>
      <x:c r="R82" s="1" t="str">
        <x:v>Receipts data film c400 c800 plastic.csv</x:v>
      </x:c>
      <x:c r="S82" s="12" t="n">
        <x:f>IF(O82=1,I82*J82,0)</x:f>
        <x:v>0</x:v>
      </x:c>
      <x:c r="T82" s="13" t="n">
        <x:f>IF(L82&gt;0,K82/L82,"n.a.")</x:f>
        <x:v>0.1522</x:v>
      </x:c>
      <x:c r="U82" s="12" t="n">
        <x:f>IF(Q82="Old cost",S82,0)</x:f>
        <x:v>0</x:v>
      </x:c>
      <x:c r="V82" s="12" t="n">
        <x:f>IF(Q82="Higher cost",S82,0)</x:f>
        <x:v>0</x:v>
      </x:c>
      <x:c r="W82" s="12" t="n">
        <x:f>IF(Q82="Unclassified",S82,0)</x:f>
        <x:v>0</x:v>
      </x:c>
      <x:c r="X82" s="12" t="n">
        <x:f>IF(AND(ISNUMBER(F82),F82&gt;0,F82&lt;=Summary!$D$5,H82&gt;0),H82*J82,0)</x:f>
        <x:v>20000</x:v>
      </x:c>
    </x:row>
    <x:row r="83" ht="21" customHeight="1">
      <x:c r="A83" s="1" t="str">
        <x:v>60</x:v>
      </x:c>
      <x:c r="B83" s="1" t="str">
        <x:v>800BNAVASC</x:v>
      </x:c>
      <x:c r="C83" s="1" t="str">
        <x:v>6102895</x:v>
      </x:c>
      <x:c r="D83" s="1" t="str">
        <x:v>2</x:v>
      </x:c>
      <x:c r="E83" s="1"/>
      <x:c r="F83" s="7" t="n">
        <x:v>46106</x:v>
      </x:c>
      <x:c r="G83" s="7" t="n">
        <x:v>46136</x:v>
      </x:c>
      <x:c r="H83" s="8" t="n">
        <x:v>0</x:v>
      </x:c>
      <x:c r="I83" s="8"/>
      <x:c r="J83" s="8" t="n">
        <x:v>1</x:v>
      </x:c>
      <x:c r="K83" s="9" t="n">
        <x:v>14.43</x:v>
      </x:c>
      <x:c r="L83" s="8" t="n">
        <x:v>100</x:v>
      </x:c>
      <x:c r="M83" s="10" t="n">
        <x:v>0</x:v>
      </x:c>
      <x:c r="N83" s="8" t="str">
        <x:v>i</x:v>
      </x:c>
      <x:c r="O83" s="8" t="n">
        <x:v>0</x:v>
      </x:c>
      <x:c r="P83" s="11" t="n">
        <x:f>MIN(X83,MAX(0,SUMIFS('Current inventory'!$D$2:$D$127,'Current inventory'!$A$2:$A$127,A83,'Current inventory'!$B$2:$B$127,B83)-SUMIFS($X$2:X82,$A$2:A82,A83,$B$2:B82,B83)))</x:f>
        <x:v>0</x:v>
      </x:c>
      <x:c r="Q83" s="1" t="str">
        <x:v>Received history</x:v>
      </x:c>
      <x:c r="R83" s="1" t="str">
        <x:v>Receipts data film c400 c800 plastic.csv</x:v>
      </x:c>
      <x:c r="S83" s="12" t="n">
        <x:f>IF(O83=1,I83*J83,0)</x:f>
        <x:v>0</x:v>
      </x:c>
      <x:c r="T83" s="13" t="n">
        <x:f>IF(L83&gt;0,K83/L83,"n.a.")</x:f>
        <x:v>0.14429999999999998</x:v>
      </x:c>
      <x:c r="U83" s="12" t="n">
        <x:f>IF(Q83="Old cost",S83,0)</x:f>
        <x:v>0</x:v>
      </x:c>
      <x:c r="V83" s="12" t="n">
        <x:f>IF(Q83="Higher cost",S83,0)</x:f>
        <x:v>0</x:v>
      </x:c>
      <x:c r="W83" s="12" t="n">
        <x:f>IF(Q83="Unclassified",S83,0)</x:f>
        <x:v>0</x:v>
      </x:c>
      <x:c r="X83" s="12" t="n">
        <x:f>IF(AND(ISNUMBER(F83),F83&gt;0,F83&lt;=Summary!$D$5,H83&gt;0),H83*J83,0)</x:f>
        <x:v>0</x:v>
      </x:c>
    </x:row>
    <x:row r="84" ht="21" customHeight="1">
      <x:c r="A84" s="1" t="str">
        <x:v>60</x:v>
      </x:c>
      <x:c r="B84" s="1" t="str">
        <x:v>800BBLKASC</x:v>
      </x:c>
      <x:c r="C84" s="1" t="str">
        <x:v>6102880</x:v>
      </x:c>
      <x:c r="D84" s="1" t="str">
        <x:v>3</x:v>
      </x:c>
      <x:c r="E84" s="1"/>
      <x:c r="F84" s="7" t="n">
        <x:v>46100</x:v>
      </x:c>
      <x:c r="G84" s="7" t="n">
        <x:v>46115</x:v>
      </x:c>
      <x:c r="H84" s="8" t="n">
        <x:v>160000</x:v>
      </x:c>
      <x:c r="I84" s="8"/>
      <x:c r="J84" s="8" t="n">
        <x:v>1</x:v>
      </x:c>
      <x:c r="K84" s="9" t="n">
        <x:v>11.7</x:v>
      </x:c>
      <x:c r="L84" s="8" t="n">
        <x:v>100</x:v>
      </x:c>
      <x:c r="M84" s="10" t="n">
        <x:v>19664</x:v>
      </x:c>
      <x:c r="N84" s="8" t="str">
        <x:v>i</x:v>
      </x:c>
      <x:c r="O84" s="8" t="n">
        <x:v>0</x:v>
      </x:c>
      <x:c r="P84" s="11" t="n">
        <x:f>MIN(X84,MAX(0,SUMIFS('Current inventory'!$D$2:$D$127,'Current inventory'!$A$2:$A$127,A84,'Current inventory'!$B$2:$B$127,B84)-SUMIFS($X$2:X83,$A$2:A83,A84,$B$2:B83,B84)))</x:f>
        <x:v>0</x:v>
      </x:c>
      <x:c r="Q84" s="1" t="str">
        <x:v>Received history</x:v>
      </x:c>
      <x:c r="R84" s="1" t="str">
        <x:v>Receipts data film c400 c800 plastic.csv</x:v>
      </x:c>
      <x:c r="S84" s="12" t="n">
        <x:f>IF(O84=1,I84*J84,0)</x:f>
        <x:v>0</x:v>
      </x:c>
      <x:c r="T84" s="13" t="n">
        <x:f>IF(L84&gt;0,K84/L84,"n.a.")</x:f>
        <x:v>0.11699999999999999</x:v>
      </x:c>
      <x:c r="U84" s="12" t="n">
        <x:f>IF(Q84="Old cost",S84,0)</x:f>
        <x:v>0</x:v>
      </x:c>
      <x:c r="V84" s="12" t="n">
        <x:f>IF(Q84="Higher cost",S84,0)</x:f>
        <x:v>0</x:v>
      </x:c>
      <x:c r="W84" s="12" t="n">
        <x:f>IF(Q84="Unclassified",S84,0)</x:f>
        <x:v>0</x:v>
      </x:c>
      <x:c r="X84" s="12" t="n">
        <x:f>IF(AND(ISNUMBER(F84),F84&gt;0,F84&lt;=Summary!$D$5,H84&gt;0),H84*J84,0)</x:f>
        <x:v>160000</x:v>
      </x:c>
    </x:row>
    <x:row r="85" ht="21" customHeight="1">
      <x:c r="A85" s="1" t="str">
        <x:v>60</x:v>
      </x:c>
      <x:c r="B85" s="1" t="str">
        <x:v>800NAVE</x:v>
      </x:c>
      <x:c r="C85" s="1" t="str">
        <x:v>6102880</x:v>
      </x:c>
      <x:c r="D85" s="1" t="str">
        <x:v>3</x:v>
      </x:c>
      <x:c r="E85" s="1"/>
      <x:c r="F85" s="7" t="n">
        <x:v>46100</x:v>
      </x:c>
      <x:c r="G85" s="7" t="n">
        <x:v>46115</x:v>
      </x:c>
      <x:c r="H85" s="8" t="n">
        <x:v>0</x:v>
      </x:c>
      <x:c r="I85" s="8"/>
      <x:c r="J85" s="8" t="n">
        <x:v>1</x:v>
      </x:c>
      <x:c r="K85" s="9" t="n">
        <x:v>993.6</x:v>
      </x:c>
      <x:c r="L85" s="8" t="n">
        <x:v>1000</x:v>
      </x:c>
      <x:c r="M85" s="10" t="n">
        <x:v>0</x:v>
      </x:c>
      <x:c r="N85" s="8" t="str">
        <x:v>i</x:v>
      </x:c>
      <x:c r="O85" s="8" t="n">
        <x:v>0</x:v>
      </x:c>
      <x:c r="P85" s="11" t="n">
        <x:f>MIN(X85,MAX(0,SUMIFS('Current inventory'!$D$2:$D$127,'Current inventory'!$A$2:$A$127,A85,'Current inventory'!$B$2:$B$127,B85)-SUMIFS($X$2:X84,$A$2:A84,A85,$B$2:B84,B85)))</x:f>
        <x:v>0</x:v>
      </x:c>
      <x:c r="Q85" s="1" t="str">
        <x:v>Received history</x:v>
      </x:c>
      <x:c r="R85" s="1" t="str">
        <x:v>Receipts data film c400 c800 plastic.csv</x:v>
      </x:c>
      <x:c r="S85" s="12" t="n">
        <x:f>IF(O85=1,I85*J85,0)</x:f>
        <x:v>0</x:v>
      </x:c>
      <x:c r="T85" s="13" t="n">
        <x:f>IF(L85&gt;0,K85/L85,"n.a.")</x:f>
        <x:v>0.9936</x:v>
      </x:c>
      <x:c r="U85" s="12" t="n">
        <x:f>IF(Q85="Old cost",S85,0)</x:f>
        <x:v>0</x:v>
      </x:c>
      <x:c r="V85" s="12" t="n">
        <x:f>IF(Q85="Higher cost",S85,0)</x:f>
        <x:v>0</x:v>
      </x:c>
      <x:c r="W85" s="12" t="n">
        <x:f>IF(Q85="Unclassified",S85,0)</x:f>
        <x:v>0</x:v>
      </x:c>
      <x:c r="X85" s="12" t="n">
        <x:f>IF(AND(ISNUMBER(F85),F85&gt;0,F85&lt;=Summary!$D$5,H85&gt;0),H85*J85,0)</x:f>
        <x:v>0</x:v>
      </x:c>
    </x:row>
    <x:row r="86" ht="21" customHeight="1">
      <x:c r="A86" s="1" t="str">
        <x:v>10</x:v>
      </x:c>
      <x:c r="B86" s="1" t="str">
        <x:v>800BBLKASC</x:v>
      </x:c>
      <x:c r="C86" s="1" t="str">
        <x:v>1059703</x:v>
      </x:c>
      <x:c r="D86" s="1" t="str">
        <x:v>4</x:v>
      </x:c>
      <x:c r="E86" s="1"/>
      <x:c r="F86" s="7" t="n">
        <x:v>46097</x:v>
      </x:c>
      <x:c r="G86" s="7" t="n">
        <x:v>46122</x:v>
      </x:c>
      <x:c r="H86" s="8" t="n">
        <x:v>120000</x:v>
      </x:c>
      <x:c r="I86" s="8"/>
      <x:c r="J86" s="8" t="n">
        <x:v>1</x:v>
      </x:c>
      <x:c r="K86" s="9" t="n">
        <x:v>11.7</x:v>
      </x:c>
      <x:c r="L86" s="8" t="n">
        <x:v>100</x:v>
      </x:c>
      <x:c r="M86" s="10" t="n">
        <x:v>14748</x:v>
      </x:c>
      <x:c r="N86" s="8" t="str">
        <x:v>i</x:v>
      </x:c>
      <x:c r="O86" s="8" t="n">
        <x:v>0</x:v>
      </x:c>
      <x:c r="P86" s="11" t="n">
        <x:f>MIN(X86,MAX(0,SUMIFS('Current inventory'!$D$2:$D$127,'Current inventory'!$A$2:$A$127,A86,'Current inventory'!$B$2:$B$127,B86)-SUMIFS($X$2:X85,$A$2:A85,A86,$B$2:B85,B86)))</x:f>
        <x:v>0</x:v>
      </x:c>
      <x:c r="Q86" s="1" t="str">
        <x:v>Received history</x:v>
      </x:c>
      <x:c r="R86" s="1" t="str">
        <x:v>Receipts data film c400 c800 plastic.csv</x:v>
      </x:c>
      <x:c r="S86" s="12" t="n">
        <x:f>IF(O86=1,I86*J86,0)</x:f>
        <x:v>0</x:v>
      </x:c>
      <x:c r="T86" s="13" t="n">
        <x:f>IF(L86&gt;0,K86/L86,"n.a.")</x:f>
        <x:v>0.11699999999999999</x:v>
      </x:c>
      <x:c r="U86" s="12" t="n">
        <x:f>IF(Q86="Old cost",S86,0)</x:f>
        <x:v>0</x:v>
      </x:c>
      <x:c r="V86" s="12" t="n">
        <x:f>IF(Q86="Higher cost",S86,0)</x:f>
        <x:v>0</x:v>
      </x:c>
      <x:c r="W86" s="12" t="n">
        <x:f>IF(Q86="Unclassified",S86,0)</x:f>
        <x:v>0</x:v>
      </x:c>
      <x:c r="X86" s="12" t="n">
        <x:f>IF(AND(ISNUMBER(F86),F86&gt;0,F86&lt;=Summary!$D$5,H86&gt;0),H86*J86,0)</x:f>
        <x:v>120000</x:v>
      </x:c>
    </x:row>
    <x:row r="87" ht="21" customHeight="1">
      <x:c r="A87" s="1" t="str">
        <x:v>10</x:v>
      </x:c>
      <x:c r="B87" s="1" t="str">
        <x:v>800BBLKASC</x:v>
      </x:c>
      <x:c r="C87" s="1" t="str">
        <x:v>1059703</x:v>
      </x:c>
      <x:c r="D87" s="1" t="str">
        <x:v>3</x:v>
      </x:c>
      <x:c r="E87" s="1"/>
      <x:c r="F87" s="7" t="n">
        <x:v>46094</x:v>
      </x:c>
      <x:c r="G87" s="7" t="n">
        <x:v>46122</x:v>
      </x:c>
      <x:c r="H87" s="8" t="n">
        <x:v>80000</x:v>
      </x:c>
      <x:c r="I87" s="8"/>
      <x:c r="J87" s="8" t="n">
        <x:v>1</x:v>
      </x:c>
      <x:c r="K87" s="9" t="n">
        <x:v>11.7</x:v>
      </x:c>
      <x:c r="L87" s="8" t="n">
        <x:v>100</x:v>
      </x:c>
      <x:c r="M87" s="10" t="n">
        <x:v>9832</x:v>
      </x:c>
      <x:c r="N87" s="8" t="str">
        <x:v>i</x:v>
      </x:c>
      <x:c r="O87" s="8" t="n">
        <x:v>0</x:v>
      </x:c>
      <x:c r="P87" s="11" t="n">
        <x:f>MIN(X87,MAX(0,SUMIFS('Current inventory'!$D$2:$D$127,'Current inventory'!$A$2:$A$127,A87,'Current inventory'!$B$2:$B$127,B87)-SUMIFS($X$2:X86,$A$2:A86,A87,$B$2:B86,B87)))</x:f>
        <x:v>0</x:v>
      </x:c>
      <x:c r="Q87" s="1" t="str">
        <x:v>Received history</x:v>
      </x:c>
      <x:c r="R87" s="1" t="str">
        <x:v>Receipts data film c400 c800 plastic.csv</x:v>
      </x:c>
      <x:c r="S87" s="12" t="n">
        <x:f>IF(O87=1,I87*J87,0)</x:f>
        <x:v>0</x:v>
      </x:c>
      <x:c r="T87" s="13" t="n">
        <x:f>IF(L87&gt;0,K87/L87,"n.a.")</x:f>
        <x:v>0.11699999999999999</x:v>
      </x:c>
      <x:c r="U87" s="12" t="n">
        <x:f>IF(Q87="Old cost",S87,0)</x:f>
        <x:v>0</x:v>
      </x:c>
      <x:c r="V87" s="12" t="n">
        <x:f>IF(Q87="Higher cost",S87,0)</x:f>
        <x:v>0</x:v>
      </x:c>
      <x:c r="W87" s="12" t="n">
        <x:f>IF(Q87="Unclassified",S87,0)</x:f>
        <x:v>0</x:v>
      </x:c>
      <x:c r="X87" s="12" t="n">
        <x:f>IF(AND(ISNUMBER(F87),F87&gt;0,F87&lt;=Summary!$D$5,H87&gt;0),H87*J87,0)</x:f>
        <x:v>80000</x:v>
      </x:c>
    </x:row>
    <x:row r="88" ht="21" customHeight="1">
      <x:c r="A88" s="1" t="str">
        <x:v>60</x:v>
      </x:c>
      <x:c r="B88" s="1" t="str">
        <x:v>800BBLKASC</x:v>
      </x:c>
      <x:c r="C88" s="1" t="str">
        <x:v>6102880</x:v>
      </x:c>
      <x:c r="D88" s="1" t="str">
        <x:v>2</x:v>
      </x:c>
      <x:c r="E88" s="1"/>
      <x:c r="F88" s="7" t="n">
        <x:v>46092</x:v>
      </x:c>
      <x:c r="G88" s="7" t="n">
        <x:v>46115</x:v>
      </x:c>
      <x:c r="H88" s="8" t="n">
        <x:v>120000</x:v>
      </x:c>
      <x:c r="I88" s="8"/>
      <x:c r="J88" s="8" t="n">
        <x:v>1</x:v>
      </x:c>
      <x:c r="K88" s="9" t="n">
        <x:v>11.7</x:v>
      </x:c>
      <x:c r="L88" s="8" t="n">
        <x:v>100</x:v>
      </x:c>
      <x:c r="M88" s="10" t="n">
        <x:v>14748</x:v>
      </x:c>
      <x:c r="N88" s="8" t="str">
        <x:v>i</x:v>
      </x:c>
      <x:c r="O88" s="8" t="n">
        <x:v>0</x:v>
      </x:c>
      <x:c r="P88" s="11" t="n">
        <x:f>MIN(X88,MAX(0,SUMIFS('Current inventory'!$D$2:$D$127,'Current inventory'!$A$2:$A$127,A88,'Current inventory'!$B$2:$B$127,B88)-SUMIFS($X$2:X87,$A$2:A87,A88,$B$2:B87,B88)))</x:f>
        <x:v>0</x:v>
      </x:c>
      <x:c r="Q88" s="1" t="str">
        <x:v>Received history</x:v>
      </x:c>
      <x:c r="R88" s="1" t="str">
        <x:v>Receipts data film c400 c800 plastic.csv</x:v>
      </x:c>
      <x:c r="S88" s="12" t="n">
        <x:f>IF(O88=1,I88*J88,0)</x:f>
        <x:v>0</x:v>
      </x:c>
      <x:c r="T88" s="13" t="n">
        <x:f>IF(L88&gt;0,K88/L88,"n.a.")</x:f>
        <x:v>0.11699999999999999</x:v>
      </x:c>
      <x:c r="U88" s="12" t="n">
        <x:f>IF(Q88="Old cost",S88,0)</x:f>
        <x:v>0</x:v>
      </x:c>
      <x:c r="V88" s="12" t="n">
        <x:f>IF(Q88="Higher cost",S88,0)</x:f>
        <x:v>0</x:v>
      </x:c>
      <x:c r="W88" s="12" t="n">
        <x:f>IF(Q88="Unclassified",S88,0)</x:f>
        <x:v>0</x:v>
      </x:c>
      <x:c r="X88" s="12" t="n">
        <x:f>IF(AND(ISNUMBER(F88),F88&gt;0,F88&lt;=Summary!$D$5,H88&gt;0),H88*J88,0)</x:f>
        <x:v>120000</x:v>
      </x:c>
    </x:row>
    <x:row r="89" ht="21" customHeight="1">
      <x:c r="A89" s="1" t="str">
        <x:v>60</x:v>
      </x:c>
      <x:c r="B89" s="1" t="str">
        <x:v>800NAVE</x:v>
      </x:c>
      <x:c r="C89" s="1" t="str">
        <x:v>6102880</x:v>
      </x:c>
      <x:c r="D89" s="1" t="str">
        <x:v>2</x:v>
      </x:c>
      <x:c r="E89" s="1"/>
      <x:c r="F89" s="7" t="n">
        <x:v>46092</x:v>
      </x:c>
      <x:c r="G89" s="7" t="n">
        <x:v>46115</x:v>
      </x:c>
      <x:c r="H89" s="8" t="n">
        <x:v>0</x:v>
      </x:c>
      <x:c r="I89" s="8"/>
      <x:c r="J89" s="8" t="n">
        <x:v>1</x:v>
      </x:c>
      <x:c r="K89" s="9" t="n">
        <x:v>993.6</x:v>
      </x:c>
      <x:c r="L89" s="8" t="n">
        <x:v>1000</x:v>
      </x:c>
      <x:c r="M89" s="10" t="n">
        <x:v>0</x:v>
      </x:c>
      <x:c r="N89" s="8" t="str">
        <x:v>i</x:v>
      </x:c>
      <x:c r="O89" s="8" t="n">
        <x:v>0</x:v>
      </x:c>
      <x:c r="P89" s="11" t="n">
        <x:f>MIN(X89,MAX(0,SUMIFS('Current inventory'!$D$2:$D$127,'Current inventory'!$A$2:$A$127,A89,'Current inventory'!$B$2:$B$127,B89)-SUMIFS($X$2:X88,$A$2:A88,A89,$B$2:B88,B89)))</x:f>
        <x:v>0</x:v>
      </x:c>
      <x:c r="Q89" s="1" t="str">
        <x:v>Received history</x:v>
      </x:c>
      <x:c r="R89" s="1" t="str">
        <x:v>Receipts data film c400 c800 plastic.csv</x:v>
      </x:c>
      <x:c r="S89" s="12" t="n">
        <x:f>IF(O89=1,I89*J89,0)</x:f>
        <x:v>0</x:v>
      </x:c>
      <x:c r="T89" s="13" t="n">
        <x:f>IF(L89&gt;0,K89/L89,"n.a.")</x:f>
        <x:v>0.9936</x:v>
      </x:c>
      <x:c r="U89" s="12" t="n">
        <x:f>IF(Q89="Old cost",S89,0)</x:f>
        <x:v>0</x:v>
      </x:c>
      <x:c r="V89" s="12" t="n">
        <x:f>IF(Q89="Higher cost",S89,0)</x:f>
        <x:v>0</x:v>
      </x:c>
      <x:c r="W89" s="12" t="n">
        <x:f>IF(Q89="Unclassified",S89,0)</x:f>
        <x:v>0</x:v>
      </x:c>
      <x:c r="X89" s="12" t="n">
        <x:f>IF(AND(ISNUMBER(F89),F89&gt;0,F89&lt;=Summary!$D$5,H89&gt;0),H89*J89,0)</x:f>
        <x:v>0</x:v>
      </x:c>
    </x:row>
    <x:row r="90" ht="21" customHeight="1">
      <x:c r="A90" s="1" t="str">
        <x:v>10</x:v>
      </x:c>
      <x:c r="B90" s="1" t="str">
        <x:v>800BBLKASC</x:v>
      </x:c>
      <x:c r="C90" s="1" t="str">
        <x:v>1059703</x:v>
      </x:c>
      <x:c r="D90" s="1" t="str">
        <x:v>2</x:v>
      </x:c>
      <x:c r="E90" s="1"/>
      <x:c r="F90" s="7" t="n">
        <x:v>46091</x:v>
      </x:c>
      <x:c r="G90" s="7" t="n">
        <x:v>46108</x:v>
      </x:c>
      <x:c r="H90" s="8" t="n">
        <x:v>80000</x:v>
      </x:c>
      <x:c r="I90" s="8"/>
      <x:c r="J90" s="8" t="n">
        <x:v>1</x:v>
      </x:c>
      <x:c r="K90" s="9" t="n">
        <x:v>11.7</x:v>
      </x:c>
      <x:c r="L90" s="8" t="n">
        <x:v>100</x:v>
      </x:c>
      <x:c r="M90" s="10" t="n">
        <x:v>9832</x:v>
      </x:c>
      <x:c r="N90" s="8" t="str">
        <x:v>i</x:v>
      </x:c>
      <x:c r="O90" s="8" t="n">
        <x:v>0</x:v>
      </x:c>
      <x:c r="P90" s="11" t="n">
        <x:f>MIN(X90,MAX(0,SUMIFS('Current inventory'!$D$2:$D$127,'Current inventory'!$A$2:$A$127,A90,'Current inventory'!$B$2:$B$127,B90)-SUMIFS($X$2:X89,$A$2:A89,A90,$B$2:B89,B90)))</x:f>
        <x:v>0</x:v>
      </x:c>
      <x:c r="Q90" s="1" t="str">
        <x:v>Received history</x:v>
      </x:c>
      <x:c r="R90" s="1" t="str">
        <x:v>Receipts data film c400 c800 plastic.csv</x:v>
      </x:c>
      <x:c r="S90" s="12" t="n">
        <x:f>IF(O90=1,I90*J90,0)</x:f>
        <x:v>0</x:v>
      </x:c>
      <x:c r="T90" s="13" t="n">
        <x:f>IF(L90&gt;0,K90/L90,"n.a.")</x:f>
        <x:v>0.11699999999999999</x:v>
      </x:c>
      <x:c r="U90" s="12" t="n">
        <x:f>IF(Q90="Old cost",S90,0)</x:f>
        <x:v>0</x:v>
      </x:c>
      <x:c r="V90" s="12" t="n">
        <x:f>IF(Q90="Higher cost",S90,0)</x:f>
        <x:v>0</x:v>
      </x:c>
      <x:c r="W90" s="12" t="n">
        <x:f>IF(Q90="Unclassified",S90,0)</x:f>
        <x:v>0</x:v>
      </x:c>
      <x:c r="X90" s="12" t="n">
        <x:f>IF(AND(ISNUMBER(F90),F90&gt;0,F90&lt;=Summary!$D$5,H90&gt;0),H90*J90,0)</x:f>
        <x:v>80000</x:v>
      </x:c>
    </x:row>
    <x:row r="91" ht="21" customHeight="1">
      <x:c r="A91" s="1" t="str">
        <x:v>60</x:v>
      </x:c>
      <x:c r="B91" s="1" t="str">
        <x:v>800BBLKASC</x:v>
      </x:c>
      <x:c r="C91" s="1" t="str">
        <x:v>6102880</x:v>
      </x:c>
      <x:c r="D91" s="1" t="str">
        <x:v>1</x:v>
      </x:c>
      <x:c r="E91" s="1"/>
      <x:c r="F91" s="7" t="n">
        <x:v>46086</x:v>
      </x:c>
      <x:c r="G91" s="7" t="n">
        <x:v>46115</x:v>
      </x:c>
      <x:c r="H91" s="8" t="n">
        <x:v>40000</x:v>
      </x:c>
      <x:c r="I91" s="8"/>
      <x:c r="J91" s="8" t="n">
        <x:v>1</x:v>
      </x:c>
      <x:c r="K91" s="9" t="n">
        <x:v>11.7</x:v>
      </x:c>
      <x:c r="L91" s="8" t="n">
        <x:v>100</x:v>
      </x:c>
      <x:c r="M91" s="10" t="n">
        <x:v>4916</x:v>
      </x:c>
      <x:c r="N91" s="8" t="str">
        <x:v>i</x:v>
      </x:c>
      <x:c r="O91" s="8" t="n">
        <x:v>0</x:v>
      </x:c>
      <x:c r="P91" s="11" t="n">
        <x:f>MIN(X91,MAX(0,SUMIFS('Current inventory'!$D$2:$D$127,'Current inventory'!$A$2:$A$127,A91,'Current inventory'!$B$2:$B$127,B91)-SUMIFS($X$2:X90,$A$2:A90,A91,$B$2:B90,B91)))</x:f>
        <x:v>0</x:v>
      </x:c>
      <x:c r="Q91" s="1" t="str">
        <x:v>Received history</x:v>
      </x:c>
      <x:c r="R91" s="1" t="str">
        <x:v>Receipts data film c400 c800 plastic.csv</x:v>
      </x:c>
      <x:c r="S91" s="12" t="n">
        <x:f>IF(O91=1,I91*J91,0)</x:f>
        <x:v>0</x:v>
      </x:c>
      <x:c r="T91" s="13" t="n">
        <x:f>IF(L91&gt;0,K91/L91,"n.a.")</x:f>
        <x:v>0.11699999999999999</x:v>
      </x:c>
      <x:c r="U91" s="12" t="n">
        <x:f>IF(Q91="Old cost",S91,0)</x:f>
        <x:v>0</x:v>
      </x:c>
      <x:c r="V91" s="12" t="n">
        <x:f>IF(Q91="Higher cost",S91,0)</x:f>
        <x:v>0</x:v>
      </x:c>
      <x:c r="W91" s="12" t="n">
        <x:f>IF(Q91="Unclassified",S91,0)</x:f>
        <x:v>0</x:v>
      </x:c>
      <x:c r="X91" s="12" t="n">
        <x:f>IF(AND(ISNUMBER(F91),F91&gt;0,F91&lt;=Summary!$D$5,H91&gt;0),H91*J91,0)</x:f>
        <x:v>40000</x:v>
      </x:c>
    </x:row>
    <x:row r="92" ht="21" customHeight="1">
      <x:c r="A92" s="1" t="str">
        <x:v>60</x:v>
      </x:c>
      <x:c r="B92" s="1" t="str">
        <x:v>800NAVE</x:v>
      </x:c>
      <x:c r="C92" s="1" t="str">
        <x:v>6102880</x:v>
      </x:c>
      <x:c r="D92" s="1" t="str">
        <x:v>1</x:v>
      </x:c>
      <x:c r="E92" s="1"/>
      <x:c r="F92" s="7" t="n">
        <x:v>46086</x:v>
      </x:c>
      <x:c r="G92" s="7" t="n">
        <x:v>46115</x:v>
      </x:c>
      <x:c r="H92" s="8" t="n">
        <x:v>0</x:v>
      </x:c>
      <x:c r="I92" s="8"/>
      <x:c r="J92" s="8" t="n">
        <x:v>1</x:v>
      </x:c>
      <x:c r="K92" s="9" t="n">
        <x:v>993.6</x:v>
      </x:c>
      <x:c r="L92" s="8" t="n">
        <x:v>1000</x:v>
      </x:c>
      <x:c r="M92" s="10" t="n">
        <x:v>0</x:v>
      </x:c>
      <x:c r="N92" s="8" t="str">
        <x:v>i</x:v>
      </x:c>
      <x:c r="O92" s="8" t="n">
        <x:v>0</x:v>
      </x:c>
      <x:c r="P92" s="11" t="n">
        <x:f>MIN(X92,MAX(0,SUMIFS('Current inventory'!$D$2:$D$127,'Current inventory'!$A$2:$A$127,A92,'Current inventory'!$B$2:$B$127,B92)-SUMIFS($X$2:X91,$A$2:A91,A92,$B$2:B91,B92)))</x:f>
        <x:v>0</x:v>
      </x:c>
      <x:c r="Q92" s="1" t="str">
        <x:v>Received history</x:v>
      </x:c>
      <x:c r="R92" s="1" t="str">
        <x:v>Receipts data film c400 c800 plastic.csv</x:v>
      </x:c>
      <x:c r="S92" s="12" t="n">
        <x:f>IF(O92=1,I92*J92,0)</x:f>
        <x:v>0</x:v>
      </x:c>
      <x:c r="T92" s="13" t="n">
        <x:f>IF(L92&gt;0,K92/L92,"n.a.")</x:f>
        <x:v>0.9936</x:v>
      </x:c>
      <x:c r="U92" s="12" t="n">
        <x:f>IF(Q92="Old cost",S92,0)</x:f>
        <x:v>0</x:v>
      </x:c>
      <x:c r="V92" s="12" t="n">
        <x:f>IF(Q92="Higher cost",S92,0)</x:f>
        <x:v>0</x:v>
      </x:c>
      <x:c r="W92" s="12" t="n">
        <x:f>IF(Q92="Unclassified",S92,0)</x:f>
        <x:v>0</x:v>
      </x:c>
      <x:c r="X92" s="12" t="n">
        <x:f>IF(AND(ISNUMBER(F92),F92&gt;0,F92&lt;=Summary!$D$5,H92&gt;0),H92*J92,0)</x:f>
        <x:v>0</x:v>
      </x:c>
    </x:row>
    <x:row r="93" ht="21" customHeight="1">
      <x:c r="A93" s="1" t="str">
        <x:v>60</x:v>
      </x:c>
      <x:c r="B93" s="1" t="str">
        <x:v>800BBLKASC</x:v>
      </x:c>
      <x:c r="C93" s="1" t="str">
        <x:v>6102895</x:v>
      </x:c>
      <x:c r="D93" s="1" t="str">
        <x:v>1</x:v>
      </x:c>
      <x:c r="E93" s="1"/>
      <x:c r="F93" s="7" t="n">
        <x:v>46077</x:v>
      </x:c>
      <x:c r="G93" s="7" t="n">
        <x:v>46122</x:v>
      </x:c>
      <x:c r="H93" s="8" t="n">
        <x:v>0</x:v>
      </x:c>
      <x:c r="I93" s="8"/>
      <x:c r="J93" s="8" t="n">
        <x:v>1</x:v>
      </x:c>
      <x:c r="K93" s="9" t="n">
        <x:v>11.7</x:v>
      </x:c>
      <x:c r="L93" s="8" t="n">
        <x:v>100</x:v>
      </x:c>
      <x:c r="M93" s="10" t="n">
        <x:v>0</x:v>
      </x:c>
      <x:c r="N93" s="8" t="str">
        <x:v>i</x:v>
      </x:c>
      <x:c r="O93" s="8" t="n">
        <x:v>0</x:v>
      </x:c>
      <x:c r="P93" s="11" t="n">
        <x:f>MIN(X93,MAX(0,SUMIFS('Current inventory'!$D$2:$D$127,'Current inventory'!$A$2:$A$127,A93,'Current inventory'!$B$2:$B$127,B93)-SUMIFS($X$2:X92,$A$2:A92,A93,$B$2:B92,B93)))</x:f>
        <x:v>0</x:v>
      </x:c>
      <x:c r="Q93" s="1" t="str">
        <x:v>Received history</x:v>
      </x:c>
      <x:c r="R93" s="1" t="str">
        <x:v>Receipts data film c400 c800 plastic.csv</x:v>
      </x:c>
      <x:c r="S93" s="12" t="n">
        <x:f>IF(O93=1,I93*J93,0)</x:f>
        <x:v>0</x:v>
      </x:c>
      <x:c r="T93" s="13" t="n">
        <x:f>IF(L93&gt;0,K93/L93,"n.a.")</x:f>
        <x:v>0.11699999999999999</x:v>
      </x:c>
      <x:c r="U93" s="12" t="n">
        <x:f>IF(Q93="Old cost",S93,0)</x:f>
        <x:v>0</x:v>
      </x:c>
      <x:c r="V93" s="12" t="n">
        <x:f>IF(Q93="Higher cost",S93,0)</x:f>
        <x:v>0</x:v>
      </x:c>
      <x:c r="W93" s="12" t="n">
        <x:f>IF(Q93="Unclassified",S93,0)</x:f>
        <x:v>0</x:v>
      </x:c>
      <x:c r="X93" s="12" t="n">
        <x:f>IF(AND(ISNUMBER(F93),F93&gt;0,F93&lt;=Summary!$D$5,H93&gt;0),H93*J93,0)</x:f>
        <x:v>0</x:v>
      </x:c>
    </x:row>
    <x:row r="94" ht="21" customHeight="1">
      <x:c r="A94" s="1" t="str">
        <x:v>60</x:v>
      </x:c>
      <x:c r="B94" s="1" t="str">
        <x:v>800BBLKISC</x:v>
      </x:c>
      <x:c r="C94" s="1" t="str">
        <x:v>6102895</x:v>
      </x:c>
      <x:c r="D94" s="1" t="str">
        <x:v>1</x:v>
      </x:c>
      <x:c r="E94" s="1"/>
      <x:c r="F94" s="7" t="n">
        <x:v>46077</x:v>
      </x:c>
      <x:c r="G94" s="7" t="n">
        <x:v>46122</x:v>
      </x:c>
      <x:c r="H94" s="8" t="n">
        <x:v>60000</x:v>
      </x:c>
      <x:c r="I94" s="8"/>
      <x:c r="J94" s="8" t="n">
        <x:v>1</x:v>
      </x:c>
      <x:c r="K94" s="9" t="n">
        <x:v>15.35</x:v>
      </x:c>
      <x:c r="L94" s="8" t="n">
        <x:v>100</x:v>
      </x:c>
      <x:c r="M94" s="10" t="n">
        <x:v>9672</x:v>
      </x:c>
      <x:c r="N94" s="8" t="str">
        <x:v>i</x:v>
      </x:c>
      <x:c r="O94" s="8" t="n">
        <x:v>0</x:v>
      </x:c>
      <x:c r="P94" s="11" t="n">
        <x:f>MIN(X94,MAX(0,SUMIFS('Current inventory'!$D$2:$D$127,'Current inventory'!$A$2:$A$127,A94,'Current inventory'!$B$2:$B$127,B94)-SUMIFS($X$2:X93,$A$2:A93,A94,$B$2:B93,B94)))</x:f>
        <x:v>60000</x:v>
      </x:c>
      <x:c r="Q94" s="1" t="str">
        <x:v>Received history</x:v>
      </x:c>
      <x:c r="R94" s="1" t="str">
        <x:v>Receipts data film c400 c800 plastic.csv</x:v>
      </x:c>
      <x:c r="S94" s="12" t="n">
        <x:f>IF(O94=1,I94*J94,0)</x:f>
        <x:v>0</x:v>
      </x:c>
      <x:c r="T94" s="13" t="n">
        <x:f>IF(L94&gt;0,K94/L94,"n.a.")</x:f>
        <x:v>0.1535</x:v>
      </x:c>
      <x:c r="U94" s="12" t="n">
        <x:f>IF(Q94="Old cost",S94,0)</x:f>
        <x:v>0</x:v>
      </x:c>
      <x:c r="V94" s="12" t="n">
        <x:f>IF(Q94="Higher cost",S94,0)</x:f>
        <x:v>0</x:v>
      </x:c>
      <x:c r="W94" s="12" t="n">
        <x:f>IF(Q94="Unclassified",S94,0)</x:f>
        <x:v>0</x:v>
      </x:c>
      <x:c r="X94" s="12" t="n">
        <x:f>IF(AND(ISNUMBER(F94),F94&gt;0,F94&lt;=Summary!$D$5,H94&gt;0),H94*J94,0)</x:f>
        <x:v>60000</x:v>
      </x:c>
    </x:row>
    <x:row r="95" ht="21" customHeight="1">
      <x:c r="A95" s="1" t="str">
        <x:v>60</x:v>
      </x:c>
      <x:c r="B95" s="1" t="str">
        <x:v>800BMARASC</x:v>
      </x:c>
      <x:c r="C95" s="1" t="str">
        <x:v>6102895</x:v>
      </x:c>
      <x:c r="D95" s="1" t="str">
        <x:v>1</x:v>
      </x:c>
      <x:c r="E95" s="1"/>
      <x:c r="F95" s="7" t="n">
        <x:v>46077</x:v>
      </x:c>
      <x:c r="G95" s="7" t="n">
        <x:v>46122</x:v>
      </x:c>
      <x:c r="H95" s="8" t="n">
        <x:v>0</x:v>
      </x:c>
      <x:c r="I95" s="8"/>
      <x:c r="J95" s="8" t="n">
        <x:v>1</x:v>
      </x:c>
      <x:c r="K95" s="9" t="n">
        <x:v>15.22</x:v>
      </x:c>
      <x:c r="L95" s="8" t="n">
        <x:v>100</x:v>
      </x:c>
      <x:c r="M95" s="10" t="n">
        <x:v>0</x:v>
      </x:c>
      <x:c r="N95" s="8" t="str">
        <x:v>i</x:v>
      </x:c>
      <x:c r="O95" s="8" t="n">
        <x:v>0</x:v>
      </x:c>
      <x:c r="P95" s="11" t="n">
        <x:f>MIN(X95,MAX(0,SUMIFS('Current inventory'!$D$2:$D$127,'Current inventory'!$A$2:$A$127,A95,'Current inventory'!$B$2:$B$127,B95)-SUMIFS($X$2:X94,$A$2:A94,A95,$B$2:B94,B95)))</x:f>
        <x:v>0</x:v>
      </x:c>
      <x:c r="Q95" s="1" t="str">
        <x:v>Received history</x:v>
      </x:c>
      <x:c r="R95" s="1" t="str">
        <x:v>Receipts data film c400 c800 plastic.csv</x:v>
      </x:c>
      <x:c r="S95" s="12" t="n">
        <x:f>IF(O95=1,I95*J95,0)</x:f>
        <x:v>0</x:v>
      </x:c>
      <x:c r="T95" s="13" t="n">
        <x:f>IF(L95&gt;0,K95/L95,"n.a.")</x:f>
        <x:v>0.1522</x:v>
      </x:c>
      <x:c r="U95" s="12" t="n">
        <x:f>IF(Q95="Old cost",S95,0)</x:f>
        <x:v>0</x:v>
      </x:c>
      <x:c r="V95" s="12" t="n">
        <x:f>IF(Q95="Higher cost",S95,0)</x:f>
        <x:v>0</x:v>
      </x:c>
      <x:c r="W95" s="12" t="n">
        <x:f>IF(Q95="Unclassified",S95,0)</x:f>
        <x:v>0</x:v>
      </x:c>
      <x:c r="X95" s="12" t="n">
        <x:f>IF(AND(ISNUMBER(F95),F95&gt;0,F95&lt;=Summary!$D$5,H95&gt;0),H95*J95,0)</x:f>
        <x:v>0</x:v>
      </x:c>
    </x:row>
    <x:row r="96" ht="21" customHeight="1">
      <x:c r="A96" s="1" t="str">
        <x:v>60</x:v>
      </x:c>
      <x:c r="B96" s="1" t="str">
        <x:v>800BNAVASC</x:v>
      </x:c>
      <x:c r="C96" s="1" t="str">
        <x:v>6102895</x:v>
      </x:c>
      <x:c r="D96" s="1" t="str">
        <x:v>1</x:v>
      </x:c>
      <x:c r="E96" s="1"/>
      <x:c r="F96" s="7" t="n">
        <x:v>46077</x:v>
      </x:c>
      <x:c r="G96" s="7" t="n">
        <x:v>46122</x:v>
      </x:c>
      <x:c r="H96" s="8" t="n">
        <x:v>0</x:v>
      </x:c>
      <x:c r="I96" s="8"/>
      <x:c r="J96" s="8" t="n">
        <x:v>1</x:v>
      </x:c>
      <x:c r="K96" s="9" t="n">
        <x:v>14.43</x:v>
      </x:c>
      <x:c r="L96" s="8" t="n">
        <x:v>100</x:v>
      </x:c>
      <x:c r="M96" s="10" t="n">
        <x:v>0</x:v>
      </x:c>
      <x:c r="N96" s="8" t="str">
        <x:v>i</x:v>
      </x:c>
      <x:c r="O96" s="8" t="n">
        <x:v>0</x:v>
      </x:c>
      <x:c r="P96" s="11" t="n">
        <x:f>MIN(X96,MAX(0,SUMIFS('Current inventory'!$D$2:$D$127,'Current inventory'!$A$2:$A$127,A96,'Current inventory'!$B$2:$B$127,B96)-SUMIFS($X$2:X95,$A$2:A95,A96,$B$2:B95,B96)))</x:f>
        <x:v>0</x:v>
      </x:c>
      <x:c r="Q96" s="1" t="str">
        <x:v>Received history</x:v>
      </x:c>
      <x:c r="R96" s="1" t="str">
        <x:v>Receipts data film c400 c800 plastic.csv</x:v>
      </x:c>
      <x:c r="S96" s="12" t="n">
        <x:f>IF(O96=1,I96*J96,0)</x:f>
        <x:v>0</x:v>
      </x:c>
      <x:c r="T96" s="13" t="n">
        <x:f>IF(L96&gt;0,K96/L96,"n.a.")</x:f>
        <x:v>0.14429999999999998</x:v>
      </x:c>
      <x:c r="U96" s="12" t="n">
        <x:f>IF(Q96="Old cost",S96,0)</x:f>
        <x:v>0</x:v>
      </x:c>
      <x:c r="V96" s="12" t="n">
        <x:f>IF(Q96="Higher cost",S96,0)</x:f>
        <x:v>0</x:v>
      </x:c>
      <x:c r="W96" s="12" t="n">
        <x:f>IF(Q96="Unclassified",S96,0)</x:f>
        <x:v>0</x:v>
      </x:c>
      <x:c r="X96" s="12" t="n">
        <x:f>IF(AND(ISNUMBER(F96),F96&gt;0,F96&lt;=Summary!$D$5,H96&gt;0),H96*J96,0)</x:f>
        <x:v>0</x:v>
      </x:c>
    </x:row>
    <x:row r="97" ht="21" customHeight="1">
      <x:c r="A97" s="1" t="str">
        <x:v>60</x:v>
      </x:c>
      <x:c r="B97" s="1" t="str">
        <x:v>800BBLKASC</x:v>
      </x:c>
      <x:c r="C97" s="1" t="str">
        <x:v>6102895</x:v>
      </x:c>
      <x:c r="D97" s="1" t="str">
        <x:v>0</x:v>
      </x:c>
      <x:c r="E97" s="1"/>
      <x:c r="F97" s="7" t="n">
        <x:v>46072</x:v>
      </x:c>
      <x:c r="G97" s="7" t="n">
        <x:v>46101</x:v>
      </x:c>
      <x:c r="H97" s="8" t="n">
        <x:v>0</x:v>
      </x:c>
      <x:c r="I97" s="8"/>
      <x:c r="J97" s="8" t="n">
        <x:v>1</x:v>
      </x:c>
      <x:c r="K97" s="9" t="n">
        <x:v>11.7</x:v>
      </x:c>
      <x:c r="L97" s="8" t="n">
        <x:v>100</x:v>
      </x:c>
      <x:c r="M97" s="10" t="n">
        <x:v>0</x:v>
      </x:c>
      <x:c r="N97" s="8" t="str">
        <x:v>i</x:v>
      </x:c>
      <x:c r="O97" s="8" t="n">
        <x:v>0</x:v>
      </x:c>
      <x:c r="P97" s="11" t="n">
        <x:f>MIN(X97,MAX(0,SUMIFS('Current inventory'!$D$2:$D$127,'Current inventory'!$A$2:$A$127,A97,'Current inventory'!$B$2:$B$127,B97)-SUMIFS($X$2:X96,$A$2:A96,A97,$B$2:B96,B97)))</x:f>
        <x:v>0</x:v>
      </x:c>
      <x:c r="Q97" s="1" t="str">
        <x:v>Received history</x:v>
      </x:c>
      <x:c r="R97" s="1" t="str">
        <x:v>Receipts data film c400 c800 plastic.csv</x:v>
      </x:c>
      <x:c r="S97" s="12" t="n">
        <x:f>IF(O97=1,I97*J97,0)</x:f>
        <x:v>0</x:v>
      </x:c>
      <x:c r="T97" s="13" t="n">
        <x:f>IF(L97&gt;0,K97/L97,"n.a.")</x:f>
        <x:v>0.11699999999999999</x:v>
      </x:c>
      <x:c r="U97" s="12" t="n">
        <x:f>IF(Q97="Old cost",S97,0)</x:f>
        <x:v>0</x:v>
      </x:c>
      <x:c r="V97" s="12" t="n">
        <x:f>IF(Q97="Higher cost",S97,0)</x:f>
        <x:v>0</x:v>
      </x:c>
      <x:c r="W97" s="12" t="n">
        <x:f>IF(Q97="Unclassified",S97,0)</x:f>
        <x:v>0</x:v>
      </x:c>
      <x:c r="X97" s="12" t="n">
        <x:f>IF(AND(ISNUMBER(F97),F97&gt;0,F97&lt;=Summary!$D$5,H97&gt;0),H97*J97,0)</x:f>
        <x:v>0</x:v>
      </x:c>
    </x:row>
    <x:row r="98" ht="21" customHeight="1">
      <x:c r="A98" s="1" t="str">
        <x:v>60</x:v>
      </x:c>
      <x:c r="B98" s="1" t="str">
        <x:v>800BBLKISC</x:v>
      </x:c>
      <x:c r="C98" s="1" t="str">
        <x:v>6102895</x:v>
      </x:c>
      <x:c r="D98" s="1" t="str">
        <x:v>0</x:v>
      </x:c>
      <x:c r="E98" s="1"/>
      <x:c r="F98" s="7" t="n">
        <x:v>46072</x:v>
      </x:c>
      <x:c r="G98" s="7" t="n">
        <x:v>46101</x:v>
      </x:c>
      <x:c r="H98" s="8" t="n">
        <x:v>0</x:v>
      </x:c>
      <x:c r="I98" s="8"/>
      <x:c r="J98" s="8" t="n">
        <x:v>1</x:v>
      </x:c>
      <x:c r="K98" s="9" t="n">
        <x:v>15.35</x:v>
      </x:c>
      <x:c r="L98" s="8" t="n">
        <x:v>100</x:v>
      </x:c>
      <x:c r="M98" s="10" t="n">
        <x:v>0</x:v>
      </x:c>
      <x:c r="N98" s="8" t="str">
        <x:v>i</x:v>
      </x:c>
      <x:c r="O98" s="8" t="n">
        <x:v>0</x:v>
      </x:c>
      <x:c r="P98" s="11" t="n">
        <x:f>MIN(X98,MAX(0,SUMIFS('Current inventory'!$D$2:$D$127,'Current inventory'!$A$2:$A$127,A98,'Current inventory'!$B$2:$B$127,B98)-SUMIFS($X$2:X97,$A$2:A97,A98,$B$2:B97,B98)))</x:f>
        <x:v>0</x:v>
      </x:c>
      <x:c r="Q98" s="1" t="str">
        <x:v>Received history</x:v>
      </x:c>
      <x:c r="R98" s="1" t="str">
        <x:v>Receipts data film c400 c800 plastic.csv</x:v>
      </x:c>
      <x:c r="S98" s="12" t="n">
        <x:f>IF(O98=1,I98*J98,0)</x:f>
        <x:v>0</x:v>
      </x:c>
      <x:c r="T98" s="13" t="n">
        <x:f>IF(L98&gt;0,K98/L98,"n.a.")</x:f>
        <x:v>0.1535</x:v>
      </x:c>
      <x:c r="U98" s="12" t="n">
        <x:f>IF(Q98="Old cost",S98,0)</x:f>
        <x:v>0</x:v>
      </x:c>
      <x:c r="V98" s="12" t="n">
        <x:f>IF(Q98="Higher cost",S98,0)</x:f>
        <x:v>0</x:v>
      </x:c>
      <x:c r="W98" s="12" t="n">
        <x:f>IF(Q98="Unclassified",S98,0)</x:f>
        <x:v>0</x:v>
      </x:c>
      <x:c r="X98" s="12" t="n">
        <x:f>IF(AND(ISNUMBER(F98),F98&gt;0,F98&lt;=Summary!$D$5,H98&gt;0),H98*J98,0)</x:f>
        <x:v>0</x:v>
      </x:c>
    </x:row>
    <x:row r="99" ht="21" customHeight="1">
      <x:c r="A99" s="1" t="str">
        <x:v>60</x:v>
      </x:c>
      <x:c r="B99" s="1" t="str">
        <x:v>800BLKE</x:v>
      </x:c>
      <x:c r="C99" s="1" t="str">
        <x:v>6102895</x:v>
      </x:c>
      <x:c r="D99" s="1" t="str">
        <x:v>0</x:v>
      </x:c>
      <x:c r="E99" s="1"/>
      <x:c r="F99" s="7" t="n">
        <x:v>46072</x:v>
      </x:c>
      <x:c r="G99" s="7" t="n">
        <x:v>46077</x:v>
      </x:c>
      <x:c r="H99" s="8" t="n">
        <x:v>10000</x:v>
      </x:c>
      <x:c r="I99" s="8"/>
      <x:c r="J99" s="8" t="n">
        <x:v>1</x:v>
      </x:c>
      <x:c r="K99" s="9" t="n">
        <x:v>861.1</x:v>
      </x:c>
      <x:c r="L99" s="8" t="n">
        <x:v>1000</x:v>
      </x:c>
      <x:c r="M99" s="10" t="n">
        <x:v>9041.6</x:v>
      </x:c>
      <x:c r="N99" s="8" t="str">
        <x:v>i</x:v>
      </x:c>
      <x:c r="O99" s="8" t="n">
        <x:v>0</x:v>
      </x:c>
      <x:c r="P99" s="11" t="n">
        <x:f>MIN(X99,MAX(0,SUMIFS('Current inventory'!$D$2:$D$127,'Current inventory'!$A$2:$A$127,A99,'Current inventory'!$B$2:$B$127,B99)-SUMIFS($X$2:X98,$A$2:A98,A99,$B$2:B98,B99)))</x:f>
        <x:v>0</x:v>
      </x:c>
      <x:c r="Q99" s="1" t="str">
        <x:v>Received history</x:v>
      </x:c>
      <x:c r="R99" s="1" t="str">
        <x:v>Receipts data film c400 c800 plastic.csv</x:v>
      </x:c>
      <x:c r="S99" s="12" t="n">
        <x:f>IF(O99=1,I99*J99,0)</x:f>
        <x:v>0</x:v>
      </x:c>
      <x:c r="T99" s="13" t="n">
        <x:f>IF(L99&gt;0,K99/L99,"n.a.")</x:f>
        <x:v>0.8611</x:v>
      </x:c>
      <x:c r="U99" s="12" t="n">
        <x:f>IF(Q99="Old cost",S99,0)</x:f>
        <x:v>0</x:v>
      </x:c>
      <x:c r="V99" s="12" t="n">
        <x:f>IF(Q99="Higher cost",S99,0)</x:f>
        <x:v>0</x:v>
      </x:c>
      <x:c r="W99" s="12" t="n">
        <x:f>IF(Q99="Unclassified",S99,0)</x:f>
        <x:v>0</x:v>
      </x:c>
      <x:c r="X99" s="12" t="n">
        <x:f>IF(AND(ISNUMBER(F99),F99&gt;0,F99&lt;=Summary!$D$5,H99&gt;0),H99*J99,0)</x:f>
        <x:v>10000</x:v>
      </x:c>
    </x:row>
    <x:row r="100" ht="21" customHeight="1">
      <x:c r="A100" s="1" t="str">
        <x:v>60</x:v>
      </x:c>
      <x:c r="B100" s="1" t="str">
        <x:v>800BMARASC</x:v>
      </x:c>
      <x:c r="C100" s="1" t="str">
        <x:v>6102895</x:v>
      </x:c>
      <x:c r="D100" s="1" t="str">
        <x:v>0</x:v>
      </x:c>
      <x:c r="E100" s="1"/>
      <x:c r="F100" s="7" t="n">
        <x:v>46072</x:v>
      </x:c>
      <x:c r="G100" s="7" t="n">
        <x:v>46101</x:v>
      </x:c>
      <x:c r="H100" s="8" t="n">
        <x:v>0</x:v>
      </x:c>
      <x:c r="I100" s="8"/>
      <x:c r="J100" s="8" t="n">
        <x:v>1</x:v>
      </x:c>
      <x:c r="K100" s="9" t="n">
        <x:v>15.22</x:v>
      </x:c>
      <x:c r="L100" s="8" t="n">
        <x:v>100</x:v>
      </x:c>
      <x:c r="M100" s="10" t="n">
        <x:v>0</x:v>
      </x:c>
      <x:c r="N100" s="8" t="str">
        <x:v>i</x:v>
      </x:c>
      <x:c r="O100" s="8" t="n">
        <x:v>0</x:v>
      </x:c>
      <x:c r="P100" s="11" t="n">
        <x:f>MIN(X100,MAX(0,SUMIFS('Current inventory'!$D$2:$D$127,'Current inventory'!$A$2:$A$127,A100,'Current inventory'!$B$2:$B$127,B100)-SUMIFS($X$2:X99,$A$2:A99,A100,$B$2:B99,B100)))</x:f>
        <x:v>0</x:v>
      </x:c>
      <x:c r="Q100" s="1" t="str">
        <x:v>Received history</x:v>
      </x:c>
      <x:c r="R100" s="1" t="str">
        <x:v>Receipts data film c400 c800 plastic.csv</x:v>
      </x:c>
      <x:c r="S100" s="12" t="n">
        <x:f>IF(O100=1,I100*J100,0)</x:f>
        <x:v>0</x:v>
      </x:c>
      <x:c r="T100" s="13" t="n">
        <x:f>IF(L100&gt;0,K100/L100,"n.a.")</x:f>
        <x:v>0.1522</x:v>
      </x:c>
      <x:c r="U100" s="12" t="n">
        <x:f>IF(Q100="Old cost",S100,0)</x:f>
        <x:v>0</x:v>
      </x:c>
      <x:c r="V100" s="12" t="n">
        <x:f>IF(Q100="Higher cost",S100,0)</x:f>
        <x:v>0</x:v>
      </x:c>
      <x:c r="W100" s="12" t="n">
        <x:f>IF(Q100="Unclassified",S100,0)</x:f>
        <x:v>0</x:v>
      </x:c>
      <x:c r="X100" s="12" t="n">
        <x:f>IF(AND(ISNUMBER(F100),F100&gt;0,F100&lt;=Summary!$D$5,H100&gt;0),H100*J100,0)</x:f>
        <x:v>0</x:v>
      </x:c>
    </x:row>
    <x:row r="101" ht="21" customHeight="1">
      <x:c r="A101" s="1" t="str">
        <x:v>60</x:v>
      </x:c>
      <x:c r="B101" s="1" t="str">
        <x:v>800BNAVASC</x:v>
      </x:c>
      <x:c r="C101" s="1" t="str">
        <x:v>6102895</x:v>
      </x:c>
      <x:c r="D101" s="1" t="str">
        <x:v>0</x:v>
      </x:c>
      <x:c r="E101" s="1"/>
      <x:c r="F101" s="7" t="n">
        <x:v>46072</x:v>
      </x:c>
      <x:c r="G101" s="7" t="n">
        <x:v>46101</x:v>
      </x:c>
      <x:c r="H101" s="8" t="n">
        <x:v>0</x:v>
      </x:c>
      <x:c r="I101" s="8"/>
      <x:c r="J101" s="8" t="n">
        <x:v>1</x:v>
      </x:c>
      <x:c r="K101" s="9" t="n">
        <x:v>14.43</x:v>
      </x:c>
      <x:c r="L101" s="8" t="n">
        <x:v>100</x:v>
      </x:c>
      <x:c r="M101" s="10" t="n">
        <x:v>0</x:v>
      </x:c>
      <x:c r="N101" s="8" t="str">
        <x:v>i</x:v>
      </x:c>
      <x:c r="O101" s="8" t="n">
        <x:v>0</x:v>
      </x:c>
      <x:c r="P101" s="11" t="n">
        <x:f>MIN(X101,MAX(0,SUMIFS('Current inventory'!$D$2:$D$127,'Current inventory'!$A$2:$A$127,A101,'Current inventory'!$B$2:$B$127,B101)-SUMIFS($X$2:X100,$A$2:A100,A101,$B$2:B100,B101)))</x:f>
        <x:v>0</x:v>
      </x:c>
      <x:c r="Q101" s="1" t="str">
        <x:v>Received history</x:v>
      </x:c>
      <x:c r="R101" s="1" t="str">
        <x:v>Receipts data film c400 c800 plastic.csv</x:v>
      </x:c>
      <x:c r="S101" s="12" t="n">
        <x:f>IF(O101=1,I101*J101,0)</x:f>
        <x:v>0</x:v>
      </x:c>
      <x:c r="T101" s="13" t="n">
        <x:f>IF(L101&gt;0,K101/L101,"n.a.")</x:f>
        <x:v>0.14429999999999998</x:v>
      </x:c>
      <x:c r="U101" s="12" t="n">
        <x:f>IF(Q101="Old cost",S101,0)</x:f>
        <x:v>0</x:v>
      </x:c>
      <x:c r="V101" s="12" t="n">
        <x:f>IF(Q101="Higher cost",S101,0)</x:f>
        <x:v>0</x:v>
      </x:c>
      <x:c r="W101" s="12" t="n">
        <x:f>IF(Q101="Unclassified",S101,0)</x:f>
        <x:v>0</x:v>
      </x:c>
      <x:c r="X101" s="12" t="n">
        <x:f>IF(AND(ISNUMBER(F101),F101&gt;0,F101&lt;=Summary!$D$5,H101&gt;0),H101*J101,0)</x:f>
        <x:v>0</x:v>
      </x:c>
    </x:row>
    <x:row r="102" ht="21" customHeight="1">
      <x:c r="A102" s="1" t="str">
        <x:v>60</x:v>
      </x:c>
      <x:c r="B102" s="1" t="str">
        <x:v>800BBLKASC</x:v>
      </x:c>
      <x:c r="C102" s="1" t="str">
        <x:v>6102880</x:v>
      </x:c>
      <x:c r="D102" s="1" t="str">
        <x:v>0</x:v>
      </x:c>
      <x:c r="E102" s="1"/>
      <x:c r="F102" s="7" t="n">
        <x:v>46072</x:v>
      </x:c>
      <x:c r="G102" s="7" t="n">
        <x:v>46085</x:v>
      </x:c>
      <x:c r="H102" s="8" t="n">
        <x:v>0</x:v>
      </x:c>
      <x:c r="I102" s="8"/>
      <x:c r="J102" s="8" t="n">
        <x:v>1</x:v>
      </x:c>
      <x:c r="K102" s="9" t="n">
        <x:v>11.7</x:v>
      </x:c>
      <x:c r="L102" s="8" t="n">
        <x:v>100</x:v>
      </x:c>
      <x:c r="M102" s="10" t="n">
        <x:v>0</x:v>
      </x:c>
      <x:c r="N102" s="8" t="str">
        <x:v>i</x:v>
      </x:c>
      <x:c r="O102" s="8" t="n">
        <x:v>0</x:v>
      </x:c>
      <x:c r="P102" s="11" t="n">
        <x:f>MIN(X102,MAX(0,SUMIFS('Current inventory'!$D$2:$D$127,'Current inventory'!$A$2:$A$127,A102,'Current inventory'!$B$2:$B$127,B102)-SUMIFS($X$2:X101,$A$2:A101,A102,$B$2:B101,B102)))</x:f>
        <x:v>0</x:v>
      </x:c>
      <x:c r="Q102" s="1" t="str">
        <x:v>Received history</x:v>
      </x:c>
      <x:c r="R102" s="1" t="str">
        <x:v>Receipts data film c400 c800 plastic.csv</x:v>
      </x:c>
      <x:c r="S102" s="12" t="n">
        <x:f>IF(O102=1,I102*J102,0)</x:f>
        <x:v>0</x:v>
      </x:c>
      <x:c r="T102" s="13" t="n">
        <x:f>IF(L102&gt;0,K102/L102,"n.a.")</x:f>
        <x:v>0.11699999999999999</x:v>
      </x:c>
      <x:c r="U102" s="12" t="n">
        <x:f>IF(Q102="Old cost",S102,0)</x:f>
        <x:v>0</x:v>
      </x:c>
      <x:c r="V102" s="12" t="n">
        <x:f>IF(Q102="Higher cost",S102,0)</x:f>
        <x:v>0</x:v>
      </x:c>
      <x:c r="W102" s="12" t="n">
        <x:f>IF(Q102="Unclassified",S102,0)</x:f>
        <x:v>0</x:v>
      </x:c>
      <x:c r="X102" s="12" t="n">
        <x:f>IF(AND(ISNUMBER(F102),F102&gt;0,F102&lt;=Summary!$D$5,H102&gt;0),H102*J102,0)</x:f>
        <x:v>0</x:v>
      </x:c>
    </x:row>
    <x:row r="103" ht="21" customHeight="1">
      <x:c r="A103" s="1" t="str">
        <x:v>60</x:v>
      </x:c>
      <x:c r="B103" s="1" t="str">
        <x:v>800BNAVASC</x:v>
      </x:c>
      <x:c r="C103" s="1" t="str">
        <x:v>6102880</x:v>
      </x:c>
      <x:c r="D103" s="1" t="str">
        <x:v>0</x:v>
      </x:c>
      <x:c r="E103" s="1"/>
      <x:c r="F103" s="7" t="n">
        <x:v>46072</x:v>
      </x:c>
      <x:c r="G103" s="7" t="n">
        <x:v>46069</x:v>
      </x:c>
      <x:c r="H103" s="8" t="n">
        <x:v>80000</x:v>
      </x:c>
      <x:c r="I103" s="8"/>
      <x:c r="J103" s="8" t="n">
        <x:v>1</x:v>
      </x:c>
      <x:c r="K103" s="9" t="n">
        <x:v>14.43</x:v>
      </x:c>
      <x:c r="L103" s="8" t="n">
        <x:v>100</x:v>
      </x:c>
      <x:c r="M103" s="10" t="n">
        <x:v>10880</x:v>
      </x:c>
      <x:c r="N103" s="8" t="str">
        <x:v>i</x:v>
      </x:c>
      <x:c r="O103" s="8" t="n">
        <x:v>0</x:v>
      </x:c>
      <x:c r="P103" s="11" t="n">
        <x:f>MIN(X103,MAX(0,SUMIFS('Current inventory'!$D$2:$D$127,'Current inventory'!$A$2:$A$127,A103,'Current inventory'!$B$2:$B$127,B103)-SUMIFS($X$2:X102,$A$2:A102,A103,$B$2:B102,B103)))</x:f>
        <x:v>0</x:v>
      </x:c>
      <x:c r="Q103" s="1" t="str">
        <x:v>Received history</x:v>
      </x:c>
      <x:c r="R103" s="1" t="str">
        <x:v>Receipts data film c400 c800 plastic.csv</x:v>
      </x:c>
      <x:c r="S103" s="12" t="n">
        <x:f>IF(O103=1,I103*J103,0)</x:f>
        <x:v>0</x:v>
      </x:c>
      <x:c r="T103" s="13" t="n">
        <x:f>IF(L103&gt;0,K103/L103,"n.a.")</x:f>
        <x:v>0.14429999999999998</x:v>
      </x:c>
      <x:c r="U103" s="12" t="n">
        <x:f>IF(Q103="Old cost",S103,0)</x:f>
        <x:v>0</x:v>
      </x:c>
      <x:c r="V103" s="12" t="n">
        <x:f>IF(Q103="Higher cost",S103,0)</x:f>
        <x:v>0</x:v>
      </x:c>
      <x:c r="W103" s="12" t="n">
        <x:f>IF(Q103="Unclassified",S103,0)</x:f>
        <x:v>0</x:v>
      </x:c>
      <x:c r="X103" s="12" t="n">
        <x:f>IF(AND(ISNUMBER(F103),F103&gt;0,F103&lt;=Summary!$D$5,H103&gt;0),H103*J103,0)</x:f>
        <x:v>80000</x:v>
      </x:c>
    </x:row>
    <x:row r="104" ht="21" customHeight="1">
      <x:c r="A104" s="1" t="str">
        <x:v>60</x:v>
      </x:c>
      <x:c r="B104" s="1" t="str">
        <x:v>800NAVE</x:v>
      </x:c>
      <x:c r="C104" s="1" t="str">
        <x:v>6102880</x:v>
      </x:c>
      <x:c r="D104" s="1" t="str">
        <x:v>0</x:v>
      </x:c>
      <x:c r="E104" s="1"/>
      <x:c r="F104" s="7" t="n">
        <x:v>46072</x:v>
      </x:c>
      <x:c r="G104" s="7" t="n">
        <x:v>46069</x:v>
      </x:c>
      <x:c r="H104" s="8" t="n">
        <x:v>6000</x:v>
      </x:c>
      <x:c r="I104" s="8"/>
      <x:c r="J104" s="8" t="n">
        <x:v>1</x:v>
      </x:c>
      <x:c r="K104" s="9" t="n">
        <x:v>993.6</x:v>
      </x:c>
      <x:c r="L104" s="8" t="n">
        <x:v>1000</x:v>
      </x:c>
      <x:c r="M104" s="10" t="n">
        <x:v>5619.6</x:v>
      </x:c>
      <x:c r="N104" s="8" t="str">
        <x:v>i</x:v>
      </x:c>
      <x:c r="O104" s="8" t="n">
        <x:v>0</x:v>
      </x:c>
      <x:c r="P104" s="11" t="n">
        <x:f>MIN(X104,MAX(0,SUMIFS('Current inventory'!$D$2:$D$127,'Current inventory'!$A$2:$A$127,A104,'Current inventory'!$B$2:$B$127,B104)-SUMIFS($X$2:X103,$A$2:A103,A104,$B$2:B103,B104)))</x:f>
        <x:v>0</x:v>
      </x:c>
      <x:c r="Q104" s="1" t="str">
        <x:v>Received history</x:v>
      </x:c>
      <x:c r="R104" s="1" t="str">
        <x:v>Receipts data film c400 c800 plastic.csv</x:v>
      </x:c>
      <x:c r="S104" s="12" t="n">
        <x:f>IF(O104=1,I104*J104,0)</x:f>
        <x:v>0</x:v>
      </x:c>
      <x:c r="T104" s="13" t="n">
        <x:f>IF(L104&gt;0,K104/L104,"n.a.")</x:f>
        <x:v>0.9936</x:v>
      </x:c>
      <x:c r="U104" s="12" t="n">
        <x:f>IF(Q104="Old cost",S104,0)</x:f>
        <x:v>0</x:v>
      </x:c>
      <x:c r="V104" s="12" t="n">
        <x:f>IF(Q104="Higher cost",S104,0)</x:f>
        <x:v>0</x:v>
      </x:c>
      <x:c r="W104" s="12" t="n">
        <x:f>IF(Q104="Unclassified",S104,0)</x:f>
        <x:v>0</x:v>
      </x:c>
      <x:c r="X104" s="12" t="n">
        <x:f>IF(AND(ISNUMBER(F104),F104&gt;0,F104&lt;=Summary!$D$5,H104&gt;0),H104*J104,0)</x:f>
        <x:v>6000</x:v>
      </x:c>
    </x:row>
    <x:row r="105" ht="21" customHeight="1">
      <x:c r="A105" s="1" t="str">
        <x:v>10</x:v>
      </x:c>
      <x:c r="B105" s="1" t="str">
        <x:v>800BLKE</x:v>
      </x:c>
      <x:c r="C105" s="1" t="str">
        <x:v>1059703</x:v>
      </x:c>
      <x:c r="D105" s="1" t="str">
        <x:v>1</x:v>
      </x:c>
      <x:c r="E105" s="1"/>
      <x:c r="F105" s="7" t="n">
        <x:v>46072</x:v>
      </x:c>
      <x:c r="G105" s="7" t="n">
        <x:v>46066</x:v>
      </x:c>
      <x:c r="H105" s="8" t="n">
        <x:v>130</x:v>
      </x:c>
      <x:c r="I105" s="8"/>
      <x:c r="J105" s="8" t="n">
        <x:v>1</x:v>
      </x:c>
      <x:c r="K105" s="9" t="n">
        <x:v>861.1</x:v>
      </x:c>
      <x:c r="L105" s="8" t="n">
        <x:v>1000</x:v>
      </x:c>
      <x:c r="M105" s="10" t="n">
        <x:v>117.54</x:v>
      </x:c>
      <x:c r="N105" s="8" t="str">
        <x:v>i</x:v>
      </x:c>
      <x:c r="O105" s="8" t="n">
        <x:v>0</x:v>
      </x:c>
      <x:c r="P105" s="11" t="n">
        <x:f>MIN(X105,MAX(0,SUMIFS('Current inventory'!$D$2:$D$127,'Current inventory'!$A$2:$A$127,A105,'Current inventory'!$B$2:$B$127,B105)-SUMIFS($X$2:X104,$A$2:A104,A105,$B$2:B104,B105)))</x:f>
        <x:v>0</x:v>
      </x:c>
      <x:c r="Q105" s="1" t="str">
        <x:v>Received history</x:v>
      </x:c>
      <x:c r="R105" s="1" t="str">
        <x:v>Receipts data film c400 c800 plastic.csv</x:v>
      </x:c>
      <x:c r="S105" s="12" t="n">
        <x:f>IF(O105=1,I105*J105,0)</x:f>
        <x:v>0</x:v>
      </x:c>
      <x:c r="T105" s="13" t="n">
        <x:f>IF(L105&gt;0,K105/L105,"n.a.")</x:f>
        <x:v>0.8611</x:v>
      </x:c>
      <x:c r="U105" s="12" t="n">
        <x:f>IF(Q105="Old cost",S105,0)</x:f>
        <x:v>0</x:v>
      </x:c>
      <x:c r="V105" s="12" t="n">
        <x:f>IF(Q105="Higher cost",S105,0)</x:f>
        <x:v>0</x:v>
      </x:c>
      <x:c r="W105" s="12" t="n">
        <x:f>IF(Q105="Unclassified",S105,0)</x:f>
        <x:v>0</x:v>
      </x:c>
      <x:c r="X105" s="12" t="n">
        <x:f>IF(AND(ISNUMBER(F105),F105&gt;0,F105&lt;=Summary!$D$5,H105&gt;0),H105*J105,0)</x:f>
        <x:v>130</x:v>
      </x:c>
    </x:row>
    <x:row r="106" ht="21" customHeight="1">
      <x:c r="A106" s="1" t="str">
        <x:v>10</x:v>
      </x:c>
      <x:c r="B106" s="1" t="str">
        <x:v>800BBLKASC</x:v>
      </x:c>
      <x:c r="C106" s="1" t="str">
        <x:v>1059703</x:v>
      </x:c>
      <x:c r="D106" s="1" t="str">
        <x:v>0</x:v>
      </x:c>
      <x:c r="E106" s="1"/>
      <x:c r="F106" s="7" t="n">
        <x:v>46070</x:v>
      </x:c>
      <x:c r="G106" s="7" t="n">
        <x:v>46078</x:v>
      </x:c>
      <x:c r="H106" s="8" t="n">
        <x:v>0</x:v>
      </x:c>
      <x:c r="I106" s="8"/>
      <x:c r="J106" s="8" t="n">
        <x:v>1</x:v>
      </x:c>
      <x:c r="K106" s="9" t="n">
        <x:v>11.7</x:v>
      </x:c>
      <x:c r="L106" s="8" t="n">
        <x:v>100</x:v>
      </x:c>
      <x:c r="M106" s="10" t="n">
        <x:v>0</x:v>
      </x:c>
      <x:c r="N106" s="8" t="str">
        <x:v>i</x:v>
      </x:c>
      <x:c r="O106" s="8" t="n">
        <x:v>0</x:v>
      </x:c>
      <x:c r="P106" s="11" t="n">
        <x:f>MIN(X106,MAX(0,SUMIFS('Current inventory'!$D$2:$D$127,'Current inventory'!$A$2:$A$127,A106,'Current inventory'!$B$2:$B$127,B106)-SUMIFS($X$2:X105,$A$2:A105,A106,$B$2:B105,B106)))</x:f>
        <x:v>0</x:v>
      </x:c>
      <x:c r="Q106" s="1" t="str">
        <x:v>Received history</x:v>
      </x:c>
      <x:c r="R106" s="1" t="str">
        <x:v>Receipts data film c400 c800 plastic.csv</x:v>
      </x:c>
      <x:c r="S106" s="12" t="n">
        <x:f>IF(O106=1,I106*J106,0)</x:f>
        <x:v>0</x:v>
      </x:c>
      <x:c r="T106" s="13" t="n">
        <x:f>IF(L106&gt;0,K106/L106,"n.a.")</x:f>
        <x:v>0.11699999999999999</x:v>
      </x:c>
      <x:c r="U106" s="12" t="n">
        <x:f>IF(Q106="Old cost",S106,0)</x:f>
        <x:v>0</x:v>
      </x:c>
      <x:c r="V106" s="12" t="n">
        <x:f>IF(Q106="Higher cost",S106,0)</x:f>
        <x:v>0</x:v>
      </x:c>
      <x:c r="W106" s="12" t="n">
        <x:f>IF(Q106="Unclassified",S106,0)</x:f>
        <x:v>0</x:v>
      </x:c>
      <x:c r="X106" s="12" t="n">
        <x:f>IF(AND(ISNUMBER(F106),F106&gt;0,F106&lt;=Summary!$D$5,H106&gt;0),H106*J106,0)</x:f>
        <x:v>0</x:v>
      </x:c>
    </x:row>
    <x:row r="107" ht="21" customHeight="1">
      <x:c r="A107" s="1" t="str">
        <x:v>10</x:v>
      </x:c>
      <x:c r="B107" s="1" t="str">
        <x:v>800BLKE</x:v>
      </x:c>
      <x:c r="C107" s="1" t="str">
        <x:v>1059703</x:v>
      </x:c>
      <x:c r="D107" s="1" t="str">
        <x:v>0</x:v>
      </x:c>
      <x:c r="E107" s="1"/>
      <x:c r="F107" s="7" t="n">
        <x:v>46070</x:v>
      </x:c>
      <x:c r="G107" s="7" t="n">
        <x:v>46066</x:v>
      </x:c>
      <x:c r="H107" s="8" t="n">
        <x:v>10000</x:v>
      </x:c>
      <x:c r="I107" s="8"/>
      <x:c r="J107" s="8" t="n">
        <x:v>1</x:v>
      </x:c>
      <x:c r="K107" s="9" t="n">
        <x:v>861.1</x:v>
      </x:c>
      <x:c r="L107" s="8" t="n">
        <x:v>1000</x:v>
      </x:c>
      <x:c r="M107" s="10" t="n">
        <x:v>9041.6</x:v>
      </x:c>
      <x:c r="N107" s="8" t="str">
        <x:v>i</x:v>
      </x:c>
      <x:c r="O107" s="8" t="n">
        <x:v>0</x:v>
      </x:c>
      <x:c r="P107" s="11" t="n">
        <x:f>MIN(X107,MAX(0,SUMIFS('Current inventory'!$D$2:$D$127,'Current inventory'!$A$2:$A$127,A107,'Current inventory'!$B$2:$B$127,B107)-SUMIFS($X$2:X106,$A$2:A106,A107,$B$2:B106,B107)))</x:f>
        <x:v>0</x:v>
      </x:c>
      <x:c r="Q107" s="1" t="str">
        <x:v>Received history</x:v>
      </x:c>
      <x:c r="R107" s="1" t="str">
        <x:v>Receipts data film c400 c800 plastic.csv</x:v>
      </x:c>
      <x:c r="S107" s="12" t="n">
        <x:f>IF(O107=1,I107*J107,0)</x:f>
        <x:v>0</x:v>
      </x:c>
      <x:c r="T107" s="13" t="n">
        <x:f>IF(L107&gt;0,K107/L107,"n.a.")</x:f>
        <x:v>0.8611</x:v>
      </x:c>
      <x:c r="U107" s="12" t="n">
        <x:f>IF(Q107="Old cost",S107,0)</x:f>
        <x:v>0</x:v>
      </x:c>
      <x:c r="V107" s="12" t="n">
        <x:f>IF(Q107="Higher cost",S107,0)</x:f>
        <x:v>0</x:v>
      </x:c>
      <x:c r="W107" s="12" t="n">
        <x:f>IF(Q107="Unclassified",S107,0)</x:f>
        <x:v>0</x:v>
      </x:c>
      <x:c r="X107" s="12" t="n">
        <x:f>IF(AND(ISNUMBER(F107),F107&gt;0,F107&lt;=Summary!$D$5,H107&gt;0),H107*J107,0)</x:f>
        <x:v>10000</x:v>
      </x:c>
    </x:row>
    <x:row r="108" ht="21" customHeight="1">
      <x:c r="A108" s="1" t="str">
        <x:v>10</x:v>
      </x:c>
      <x:c r="B108" s="1" t="str">
        <x:v>800BNAVASC</x:v>
      </x:c>
      <x:c r="C108" s="1" t="str">
        <x:v>1059703</x:v>
      </x:c>
      <x:c r="D108" s="1" t="str">
        <x:v>0</x:v>
      </x:c>
      <x:c r="E108" s="1"/>
      <x:c r="F108" s="7" t="n">
        <x:v>46070</x:v>
      </x:c>
      <x:c r="G108" s="7" t="n">
        <x:v>46069</x:v>
      </x:c>
      <x:c r="H108" s="8" t="n">
        <x:v>40000</x:v>
      </x:c>
      <x:c r="I108" s="8"/>
      <x:c r="J108" s="8" t="n">
        <x:v>1</x:v>
      </x:c>
      <x:c r="K108" s="9" t="n">
        <x:v>14.43</x:v>
      </x:c>
      <x:c r="L108" s="8" t="n">
        <x:v>100</x:v>
      </x:c>
      <x:c r="M108" s="10" t="n">
        <x:v>5440</x:v>
      </x:c>
      <x:c r="N108" s="8" t="str">
        <x:v>i</x:v>
      </x:c>
      <x:c r="O108" s="8" t="n">
        <x:v>0</x:v>
      </x:c>
      <x:c r="P108" s="11" t="n">
        <x:f>MIN(X108,MAX(0,SUMIFS('Current inventory'!$D$2:$D$127,'Current inventory'!$A$2:$A$127,A108,'Current inventory'!$B$2:$B$127,B108)-SUMIFS($X$2:X107,$A$2:A107,A108,$B$2:B107,B108)))</x:f>
        <x:v>0</x:v>
      </x:c>
      <x:c r="Q108" s="1" t="str">
        <x:v>Received history</x:v>
      </x:c>
      <x:c r="R108" s="1" t="str">
        <x:v>Receipts data film c400 c800 plastic.csv</x:v>
      </x:c>
      <x:c r="S108" s="12" t="n">
        <x:f>IF(O108=1,I108*J108,0)</x:f>
        <x:v>0</x:v>
      </x:c>
      <x:c r="T108" s="13" t="n">
        <x:f>IF(L108&gt;0,K108/L108,"n.a.")</x:f>
        <x:v>0.14429999999999998</x:v>
      </x:c>
      <x:c r="U108" s="12" t="n">
        <x:f>IF(Q108="Old cost",S108,0)</x:f>
        <x:v>0</x:v>
      </x:c>
      <x:c r="V108" s="12" t="n">
        <x:f>IF(Q108="Higher cost",S108,0)</x:f>
        <x:v>0</x:v>
      </x:c>
      <x:c r="W108" s="12" t="n">
        <x:f>IF(Q108="Unclassified",S108,0)</x:f>
        <x:v>0</x:v>
      </x:c>
      <x:c r="X108" s="12" t="n">
        <x:f>IF(AND(ISNUMBER(F108),F108&gt;0,F108&lt;=Summary!$D$5,H108&gt;0),H108*J108,0)</x:f>
        <x:v>40000</x:v>
      </x:c>
    </x:row>
    <x:row r="109" ht="21" customHeight="1">
      <x:c r="A109" s="1" t="str">
        <x:v>30</x:v>
      </x:c>
      <x:c r="B109" s="1" t="str">
        <x:v>800BBLKDSC</x:v>
      </x:c>
      <x:c r="C109" s="1" t="str">
        <x:v>3003912</x:v>
      </x:c>
      <x:c r="D109" s="1" t="str">
        <x:v>0</x:v>
      </x:c>
      <x:c r="E109" s="1"/>
      <x:c r="F109" s="7" t="n">
        <x:v>46056</x:v>
      </x:c>
      <x:c r="G109" s="7" t="n">
        <x:v>46052</x:v>
      </x:c>
      <x:c r="H109" s="8" t="n">
        <x:v>40000</x:v>
      </x:c>
      <x:c r="I109" s="8"/>
      <x:c r="J109" s="8" t="n">
        <x:v>1</x:v>
      </x:c>
      <x:c r="K109" s="9" t="n">
        <x:v>31.73</x:v>
      </x:c>
      <x:c r="L109" s="8" t="n">
        <x:v>100</x:v>
      </x:c>
      <x:c r="M109" s="10" t="n">
        <x:v>13328</x:v>
      </x:c>
      <x:c r="N109" s="8" t="str">
        <x:v>i</x:v>
      </x:c>
      <x:c r="O109" s="8" t="n">
        <x:v>0</x:v>
      </x:c>
      <x:c r="P109" s="11" t="n">
        <x:f>MIN(X109,MAX(0,SUMIFS('Current inventory'!$D$2:$D$127,'Current inventory'!$A$2:$A$127,A109,'Current inventory'!$B$2:$B$127,B109)-SUMIFS($X$2:X108,$A$2:A108,A109,$B$2:B108,B109)))</x:f>
        <x:v>0</x:v>
      </x:c>
      <x:c r="Q109" s="1" t="str">
        <x:v>Received history</x:v>
      </x:c>
      <x:c r="R109" s="1" t="str">
        <x:v>Receipts data film c400 c800 plastic.csv</x:v>
      </x:c>
      <x:c r="S109" s="12" t="n">
        <x:f>IF(O109=1,I109*J109,0)</x:f>
        <x:v>0</x:v>
      </x:c>
      <x:c r="T109" s="13" t="n">
        <x:f>IF(L109&gt;0,K109/L109,"n.a.")</x:f>
        <x:v>0.3173</x:v>
      </x:c>
      <x:c r="U109" s="12" t="n">
        <x:f>IF(Q109="Old cost",S109,0)</x:f>
        <x:v>0</x:v>
      </x:c>
      <x:c r="V109" s="12" t="n">
        <x:f>IF(Q109="Higher cost",S109,0)</x:f>
        <x:v>0</x:v>
      </x:c>
      <x:c r="W109" s="12" t="n">
        <x:f>IF(Q109="Unclassified",S109,0)</x:f>
        <x:v>0</x:v>
      </x:c>
      <x:c r="X109" s="12" t="n">
        <x:f>IF(AND(ISNUMBER(F109),F109&gt;0,F109&lt;=Summary!$D$5,H109&gt;0),H109*J109,0)</x:f>
        <x:v>40000</x:v>
      </x:c>
    </x:row>
    <x:row r="110" ht="21" customHeight="1">
      <x:c r="A110" s="1" t="str">
        <x:v>30</x:v>
      </x:c>
      <x:c r="B110" s="1" t="str">
        <x:v>800BBLKISC</x:v>
      </x:c>
      <x:c r="C110" s="1" t="str">
        <x:v>3003912</x:v>
      </x:c>
      <x:c r="D110" s="1" t="str">
        <x:v>0</x:v>
      </x:c>
      <x:c r="E110" s="1"/>
      <x:c r="F110" s="7" t="n">
        <x:v>46056</x:v>
      </x:c>
      <x:c r="G110" s="7" t="n">
        <x:v>46052</x:v>
      </x:c>
      <x:c r="H110" s="8" t="n">
        <x:v>40200</x:v>
      </x:c>
      <x:c r="I110" s="8"/>
      <x:c r="J110" s="8" t="n">
        <x:v>1</x:v>
      </x:c>
      <x:c r="K110" s="9" t="n">
        <x:v>15.35</x:v>
      </x:c>
      <x:c r="L110" s="8" t="n">
        <x:v>100</x:v>
      </x:c>
      <x:c r="M110" s="10" t="n">
        <x:v>6480.24</x:v>
      </x:c>
      <x:c r="N110" s="8" t="str">
        <x:v>i</x:v>
      </x:c>
      <x:c r="O110" s="8" t="n">
        <x:v>0</x:v>
      </x:c>
      <x:c r="P110" s="11" t="n">
        <x:f>MIN(X110,MAX(0,SUMIFS('Current inventory'!$D$2:$D$127,'Current inventory'!$A$2:$A$127,A110,'Current inventory'!$B$2:$B$127,B110)-SUMIFS($X$2:X109,$A$2:A109,A110,$B$2:B109,B110)))</x:f>
        <x:v>21400</x:v>
      </x:c>
      <x:c r="Q110" s="1" t="str">
        <x:v>Received history</x:v>
      </x:c>
      <x:c r="R110" s="1" t="str">
        <x:v>Receipts data film c400 c800 plastic.csv</x:v>
      </x:c>
      <x:c r="S110" s="12" t="n">
        <x:f>IF(O110=1,I110*J110,0)</x:f>
        <x:v>0</x:v>
      </x:c>
      <x:c r="T110" s="13" t="n">
        <x:f>IF(L110&gt;0,K110/L110,"n.a.")</x:f>
        <x:v>0.1535</x:v>
      </x:c>
      <x:c r="U110" s="12" t="n">
        <x:f>IF(Q110="Old cost",S110,0)</x:f>
        <x:v>0</x:v>
      </x:c>
      <x:c r="V110" s="12" t="n">
        <x:f>IF(Q110="Higher cost",S110,0)</x:f>
        <x:v>0</x:v>
      </x:c>
      <x:c r="W110" s="12" t="n">
        <x:f>IF(Q110="Unclassified",S110,0)</x:f>
        <x:v>0</x:v>
      </x:c>
      <x:c r="X110" s="12" t="n">
        <x:f>IF(AND(ISNUMBER(F110),F110&gt;0,F110&lt;=Summary!$D$5,H110&gt;0),H110*J110,0)</x:f>
        <x:v>40200</x:v>
      </x:c>
    </x:row>
    <x:row r="111" ht="21" customHeight="1">
      <x:c r="A111" s="1" t="str">
        <x:v>10</x:v>
      </x:c>
      <x:c r="B111" s="1" t="str">
        <x:v>800BBLKDSC</x:v>
      </x:c>
      <x:c r="C111" s="1" t="str">
        <x:v>1059589</x:v>
      </x:c>
      <x:c r="D111" s="1" t="str">
        <x:v>0</x:v>
      </x:c>
      <x:c r="E111" s="1"/>
      <x:c r="F111" s="7" t="n">
        <x:v>46050</x:v>
      </x:c>
      <x:c r="G111" s="7" t="n">
        <x:v>46051</x:v>
      </x:c>
      <x:c r="H111" s="8" t="n">
        <x:v>60000</x:v>
      </x:c>
      <x:c r="I111" s="8"/>
      <x:c r="J111" s="8" t="n">
        <x:v>1</x:v>
      </x:c>
      <x:c r="K111" s="9" t="n">
        <x:v>31.73</x:v>
      </x:c>
      <x:c r="L111" s="8" t="n">
        <x:v>100</x:v>
      </x:c>
      <x:c r="M111" s="10" t="n">
        <x:v>19992</x:v>
      </x:c>
      <x:c r="N111" s="8" t="str">
        <x:v>i</x:v>
      </x:c>
      <x:c r="O111" s="8" t="n">
        <x:v>0</x:v>
      </x:c>
      <x:c r="P111" s="11" t="n">
        <x:f>MIN(X111,MAX(0,SUMIFS('Current inventory'!$D$2:$D$127,'Current inventory'!$A$2:$A$127,A111,'Current inventory'!$B$2:$B$127,B111)-SUMIFS($X$2:X110,$A$2:A110,A111,$B$2:B110,B111)))</x:f>
        <x:v>0</x:v>
      </x:c>
      <x:c r="Q111" s="1" t="str">
        <x:v>Received history</x:v>
      </x:c>
      <x:c r="R111" s="1" t="str">
        <x:v>Receipts data film c400 c800 plastic.csv</x:v>
      </x:c>
      <x:c r="S111" s="12" t="n">
        <x:f>IF(O111=1,I111*J111,0)</x:f>
        <x:v>0</x:v>
      </x:c>
      <x:c r="T111" s="13" t="n">
        <x:f>IF(L111&gt;0,K111/L111,"n.a.")</x:f>
        <x:v>0.3173</x:v>
      </x:c>
      <x:c r="U111" s="12" t="n">
        <x:f>IF(Q111="Old cost",S111,0)</x:f>
        <x:v>0</x:v>
      </x:c>
      <x:c r="V111" s="12" t="n">
        <x:f>IF(Q111="Higher cost",S111,0)</x:f>
        <x:v>0</x:v>
      </x:c>
      <x:c r="W111" s="12" t="n">
        <x:f>IF(Q111="Unclassified",S111,0)</x:f>
        <x:v>0</x:v>
      </x:c>
      <x:c r="X111" s="12" t="n">
        <x:f>IF(AND(ISNUMBER(F111),F111&gt;0,F111&lt;=Summary!$D$5,H111&gt;0),H111*J111,0)</x:f>
        <x:v>60000</x:v>
      </x:c>
    </x:row>
    <x:row r="112" ht="21" customHeight="1">
      <x:c r="A112" s="1" t="str">
        <x:v>10</x:v>
      </x:c>
      <x:c r="B112" s="1" t="str">
        <x:v>800BBLKISC</x:v>
      </x:c>
      <x:c r="C112" s="1" t="str">
        <x:v>1059589</x:v>
      </x:c>
      <x:c r="D112" s="1" t="str">
        <x:v>0</x:v>
      </x:c>
      <x:c r="E112" s="1"/>
      <x:c r="F112" s="7" t="n">
        <x:v>46050</x:v>
      </x:c>
      <x:c r="G112" s="7" t="n">
        <x:v>46051</x:v>
      </x:c>
      <x:c r="H112" s="8" t="n">
        <x:v>60000</x:v>
      </x:c>
      <x:c r="I112" s="8"/>
      <x:c r="J112" s="8" t="n">
        <x:v>1</x:v>
      </x:c>
      <x:c r="K112" s="9" t="n">
        <x:v>15.35</x:v>
      </x:c>
      <x:c r="L112" s="8" t="n">
        <x:v>100</x:v>
      </x:c>
      <x:c r="M112" s="10" t="n">
        <x:v>9672</x:v>
      </x:c>
      <x:c r="N112" s="8" t="str">
        <x:v>i</x:v>
      </x:c>
      <x:c r="O112" s="8" t="n">
        <x:v>0</x:v>
      </x:c>
      <x:c r="P112" s="11" t="n">
        <x:f>MIN(X112,MAX(0,SUMIFS('Current inventory'!$D$2:$D$127,'Current inventory'!$A$2:$A$127,A112,'Current inventory'!$B$2:$B$127,B112)-SUMIFS($X$2:X111,$A$2:A111,A112,$B$2:B111,B112)))</x:f>
        <x:v>0</x:v>
      </x:c>
      <x:c r="Q112" s="1" t="str">
        <x:v>Received history</x:v>
      </x:c>
      <x:c r="R112" s="1" t="str">
        <x:v>Receipts data film c400 c800 plastic.csv</x:v>
      </x:c>
      <x:c r="S112" s="12" t="n">
        <x:f>IF(O112=1,I112*J112,0)</x:f>
        <x:v>0</x:v>
      </x:c>
      <x:c r="T112" s="13" t="n">
        <x:f>IF(L112&gt;0,K112/L112,"n.a.")</x:f>
        <x:v>0.1535</x:v>
      </x:c>
      <x:c r="U112" s="12" t="n">
        <x:f>IF(Q112="Old cost",S112,0)</x:f>
        <x:v>0</x:v>
      </x:c>
      <x:c r="V112" s="12" t="n">
        <x:f>IF(Q112="Higher cost",S112,0)</x:f>
        <x:v>0</x:v>
      </x:c>
      <x:c r="W112" s="12" t="n">
        <x:f>IF(Q112="Unclassified",S112,0)</x:f>
        <x:v>0</x:v>
      </x:c>
      <x:c r="X112" s="12" t="n">
        <x:f>IF(AND(ISNUMBER(F112),F112&gt;0,F112&lt;=Summary!$D$5,H112&gt;0),H112*J112,0)</x:f>
        <x:v>60000</x:v>
      </x:c>
    </x:row>
    <x:row r="113" ht="21" customHeight="1">
      <x:c r="A113" s="1" t="str">
        <x:v>60</x:v>
      </x:c>
      <x:c r="B113" s="1" t="str">
        <x:v>800BBLKDSC</x:v>
      </x:c>
      <x:c r="C113" s="1" t="str">
        <x:v>6102873</x:v>
      </x:c>
      <x:c r="D113" s="1" t="str">
        <x:v>0</x:v>
      </x:c>
      <x:c r="E113" s="1"/>
      <x:c r="F113" s="7" t="n">
        <x:v>46045</x:v>
      </x:c>
      <x:c r="G113" s="7" t="n">
        <x:v>46048</x:v>
      </x:c>
      <x:c r="H113" s="8" t="n">
        <x:v>60000</x:v>
      </x:c>
      <x:c r="I113" s="8"/>
      <x:c r="J113" s="8" t="n">
        <x:v>1</x:v>
      </x:c>
      <x:c r="K113" s="9" t="n">
        <x:v>31.73</x:v>
      </x:c>
      <x:c r="L113" s="8" t="n">
        <x:v>100</x:v>
      </x:c>
      <x:c r="M113" s="10" t="n">
        <x:v>19992</x:v>
      </x:c>
      <x:c r="N113" s="8" t="str">
        <x:v>i</x:v>
      </x:c>
      <x:c r="O113" s="8" t="n">
        <x:v>0</x:v>
      </x:c>
      <x:c r="P113" s="11" t="n">
        <x:f>MIN(X113,MAX(0,SUMIFS('Current inventory'!$D$2:$D$127,'Current inventory'!$A$2:$A$127,A113,'Current inventory'!$B$2:$B$127,B113)-SUMIFS($X$2:X112,$A$2:A112,A113,$B$2:B112,B113)))</x:f>
        <x:v>0</x:v>
      </x:c>
      <x:c r="Q113" s="1" t="str">
        <x:v>Received history</x:v>
      </x:c>
      <x:c r="R113" s="1" t="str">
        <x:v>Receipts data film c400 c800 plastic.csv</x:v>
      </x:c>
      <x:c r="S113" s="12" t="n">
        <x:f>IF(O113=1,I113*J113,0)</x:f>
        <x:v>0</x:v>
      </x:c>
      <x:c r="T113" s="13" t="n">
        <x:f>IF(L113&gt;0,K113/L113,"n.a.")</x:f>
        <x:v>0.3173</x:v>
      </x:c>
      <x:c r="U113" s="12" t="n">
        <x:f>IF(Q113="Old cost",S113,0)</x:f>
        <x:v>0</x:v>
      </x:c>
      <x:c r="V113" s="12" t="n">
        <x:f>IF(Q113="Higher cost",S113,0)</x:f>
        <x:v>0</x:v>
      </x:c>
      <x:c r="W113" s="12" t="n">
        <x:f>IF(Q113="Unclassified",S113,0)</x:f>
        <x:v>0</x:v>
      </x:c>
      <x:c r="X113" s="12" t="n">
        <x:f>IF(AND(ISNUMBER(F113),F113&gt;0,F113&lt;=Summary!$D$5,H113&gt;0),H113*J113,0)</x:f>
        <x:v>60000</x:v>
      </x:c>
    </x:row>
    <x:row r="114" ht="21" customHeight="1">
      <x:c r="A114" s="1" t="str">
        <x:v>60</x:v>
      </x:c>
      <x:c r="B114" s="1" t="str">
        <x:v>800BBLKISC</x:v>
      </x:c>
      <x:c r="C114" s="1" t="str">
        <x:v>6102873</x:v>
      </x:c>
      <x:c r="D114" s="1" t="str">
        <x:v>0</x:v>
      </x:c>
      <x:c r="E114" s="1"/>
      <x:c r="F114" s="7" t="n">
        <x:v>46045</x:v>
      </x:c>
      <x:c r="G114" s="7" t="n">
        <x:v>46048</x:v>
      </x:c>
      <x:c r="H114" s="8" t="n">
        <x:v>60000</x:v>
      </x:c>
      <x:c r="I114" s="8"/>
      <x:c r="J114" s="8" t="n">
        <x:v>1</x:v>
      </x:c>
      <x:c r="K114" s="9" t="n">
        <x:v>15.35</x:v>
      </x:c>
      <x:c r="L114" s="8" t="n">
        <x:v>100</x:v>
      </x:c>
      <x:c r="M114" s="10" t="n">
        <x:v>9672</x:v>
      </x:c>
      <x:c r="N114" s="8" t="str">
        <x:v>i</x:v>
      </x:c>
      <x:c r="O114" s="8" t="n">
        <x:v>0</x:v>
      </x:c>
      <x:c r="P114" s="11" t="n">
        <x:f>MIN(X114,MAX(0,SUMIFS('Current inventory'!$D$2:$D$127,'Current inventory'!$A$2:$A$127,A114,'Current inventory'!$B$2:$B$127,B114)-SUMIFS($X$2:X113,$A$2:A113,A114,$B$2:B113,B114)))</x:f>
        <x:v>5200</x:v>
      </x:c>
      <x:c r="Q114" s="1" t="str">
        <x:v>Received history</x:v>
      </x:c>
      <x:c r="R114" s="1" t="str">
        <x:v>Receipts data film c400 c800 plastic.csv</x:v>
      </x:c>
      <x:c r="S114" s="12" t="n">
        <x:f>IF(O114=1,I114*J114,0)</x:f>
        <x:v>0</x:v>
      </x:c>
      <x:c r="T114" s="13" t="n">
        <x:f>IF(L114&gt;0,K114/L114,"n.a.")</x:f>
        <x:v>0.1535</x:v>
      </x:c>
      <x:c r="U114" s="12" t="n">
        <x:f>IF(Q114="Old cost",S114,0)</x:f>
        <x:v>0</x:v>
      </x:c>
      <x:c r="V114" s="12" t="n">
        <x:f>IF(Q114="Higher cost",S114,0)</x:f>
        <x:v>0</x:v>
      </x:c>
      <x:c r="W114" s="12" t="n">
        <x:f>IF(Q114="Unclassified",S114,0)</x:f>
        <x:v>0</x:v>
      </x:c>
      <x:c r="X114" s="12" t="n">
        <x:f>IF(AND(ISNUMBER(F114),F114&gt;0,F114&lt;=Summary!$D$5,H114&gt;0),H114*J114,0)</x:f>
        <x:v>60000</x:v>
      </x:c>
    </x:row>
    <x:row r="115" ht="21" customHeight="1">
      <x:c r="A115" s="1" t="str">
        <x:v>30</x:v>
      </x:c>
      <x:c r="B115" s="1" t="str">
        <x:v>800BBLKASC</x:v>
      </x:c>
      <x:c r="C115" s="1" t="str">
        <x:v>3003906</x:v>
      </x:c>
      <x:c r="D115" s="1" t="str">
        <x:v>0</x:v>
      </x:c>
      <x:c r="E115" s="1"/>
      <x:c r="F115" s="7" t="n">
        <x:v>46034</x:v>
      </x:c>
      <x:c r="G115" s="7" t="n">
        <x:v>46034</x:v>
      </x:c>
      <x:c r="H115" s="8" t="n">
        <x:v>240000</x:v>
      </x:c>
      <x:c r="I115" s="8"/>
      <x:c r="J115" s="8" t="n">
        <x:v>1</x:v>
      </x:c>
      <x:c r="K115" s="9" t="n">
        <x:v>11.7</x:v>
      </x:c>
      <x:c r="L115" s="8" t="n">
        <x:v>100</x:v>
      </x:c>
      <x:c r="M115" s="10" t="n">
        <x:v>29496</x:v>
      </x:c>
      <x:c r="N115" s="8" t="str">
        <x:v>i</x:v>
      </x:c>
      <x:c r="O115" s="8" t="n">
        <x:v>0</x:v>
      </x:c>
      <x:c r="P115" s="11" t="n">
        <x:f>MIN(X115,MAX(0,SUMIFS('Current inventory'!$D$2:$D$127,'Current inventory'!$A$2:$A$127,A115,'Current inventory'!$B$2:$B$127,B115)-SUMIFS($X$2:X114,$A$2:A114,A115,$B$2:B114,B115)))</x:f>
        <x:v>0</x:v>
      </x:c>
      <x:c r="Q115" s="1" t="str">
        <x:v>Received history</x:v>
      </x:c>
      <x:c r="R115" s="1" t="str">
        <x:v>Receipts data film c400 c800 plastic.csv</x:v>
      </x:c>
      <x:c r="S115" s="12" t="n">
        <x:f>IF(O115=1,I115*J115,0)</x:f>
        <x:v>0</x:v>
      </x:c>
      <x:c r="T115" s="13" t="n">
        <x:f>IF(L115&gt;0,K115/L115,"n.a.")</x:f>
        <x:v>0.11699999999999999</x:v>
      </x:c>
      <x:c r="U115" s="12" t="n">
        <x:f>IF(Q115="Old cost",S115,0)</x:f>
        <x:v>0</x:v>
      </x:c>
      <x:c r="V115" s="12" t="n">
        <x:f>IF(Q115="Higher cost",S115,0)</x:f>
        <x:v>0</x:v>
      </x:c>
      <x:c r="W115" s="12" t="n">
        <x:f>IF(Q115="Unclassified",S115,0)</x:f>
        <x:v>0</x:v>
      </x:c>
      <x:c r="X115" s="12" t="n">
        <x:f>IF(AND(ISNUMBER(F115),F115&gt;0,F115&lt;=Summary!$D$5,H115&gt;0),H115*J115,0)</x:f>
        <x:v>240000</x:v>
      </x:c>
    </x:row>
    <x:row r="116" ht="21" customHeight="1">
      <x:c r="A116" s="1" t="str">
        <x:v>10</x:v>
      </x:c>
      <x:c r="B116" s="1" t="str">
        <x:v>800BBLKDSC</x:v>
      </x:c>
      <x:c r="C116" s="1" t="str">
        <x:v>1059863</x:v>
      </x:c>
      <x:c r="D116" s="1" t="str">
        <x:v>0</x:v>
      </x:c>
      <x:c r="E116" s="1"/>
      <x:c r="F116" s="7" t="n">
        <x:v>46034</x:v>
      </x:c>
      <x:c r="G116" s="7" t="n">
        <x:v>46014</x:v>
      </x:c>
      <x:c r="H116" s="8" t="n">
        <x:v>20000</x:v>
      </x:c>
      <x:c r="I116" s="8"/>
      <x:c r="J116" s="8" t="n">
        <x:v>1</x:v>
      </x:c>
      <x:c r="K116" s="9" t="n">
        <x:v>31.73</x:v>
      </x:c>
      <x:c r="L116" s="8" t="n">
        <x:v>100</x:v>
      </x:c>
      <x:c r="M116" s="10" t="n">
        <x:v>6346</x:v>
      </x:c>
      <x:c r="N116" s="8" t="str">
        <x:v>i</x:v>
      </x:c>
      <x:c r="O116" s="8" t="n">
        <x:v>0</x:v>
      </x:c>
      <x:c r="P116" s="11" t="n">
        <x:f>MIN(X116,MAX(0,SUMIFS('Current inventory'!$D$2:$D$127,'Current inventory'!$A$2:$A$127,A116,'Current inventory'!$B$2:$B$127,B116)-SUMIFS($X$2:X115,$A$2:A115,A116,$B$2:B115,B116)))</x:f>
        <x:v>0</x:v>
      </x:c>
      <x:c r="Q116" s="1" t="str">
        <x:v>Received history</x:v>
      </x:c>
      <x:c r="R116" s="1" t="str">
        <x:v>Receipts data film c400 c800 plastic.csv</x:v>
      </x:c>
      <x:c r="S116" s="12" t="n">
        <x:f>IF(O116=1,I116*J116,0)</x:f>
        <x:v>0</x:v>
      </x:c>
      <x:c r="T116" s="13" t="n">
        <x:f>IF(L116&gt;0,K116/L116,"n.a.")</x:f>
        <x:v>0.3173</x:v>
      </x:c>
      <x:c r="U116" s="12" t="n">
        <x:f>IF(Q116="Old cost",S116,0)</x:f>
        <x:v>0</x:v>
      </x:c>
      <x:c r="V116" s="12" t="n">
        <x:f>IF(Q116="Higher cost",S116,0)</x:f>
        <x:v>0</x:v>
      </x:c>
      <x:c r="W116" s="12" t="n">
        <x:f>IF(Q116="Unclassified",S116,0)</x:f>
        <x:v>0</x:v>
      </x:c>
      <x:c r="X116" s="12" t="n">
        <x:f>IF(AND(ISNUMBER(F116),F116&gt;0,F116&lt;=Summary!$D$5,H116&gt;0),H116*J116,0)</x:f>
        <x:v>20000</x:v>
      </x:c>
    </x:row>
    <x:row r="117" ht="21" customHeight="1">
      <x:c r="A117" s="1" t="str">
        <x:v>60</x:v>
      </x:c>
      <x:c r="B117" s="1" t="str">
        <x:v>800BBLKASC</x:v>
      </x:c>
      <x:c r="C117" s="1" t="str">
        <x:v>6102869</x:v>
      </x:c>
      <x:c r="D117" s="1" t="str">
        <x:v>2</x:v>
      </x:c>
      <x:c r="E117" s="1"/>
      <x:c r="F117" s="7" t="n">
        <x:v>46014</x:v>
      </x:c>
      <x:c r="G117" s="7" t="n">
        <x:v>46014</x:v>
      </x:c>
      <x:c r="H117" s="8" t="n">
        <x:v>240000</x:v>
      </x:c>
      <x:c r="I117" s="8"/>
      <x:c r="J117" s="8" t="n">
        <x:v>1</x:v>
      </x:c>
      <x:c r="K117" s="9" t="n">
        <x:v>11.7</x:v>
      </x:c>
      <x:c r="L117" s="8" t="n">
        <x:v>100</x:v>
      </x:c>
      <x:c r="M117" s="10" t="n">
        <x:v>29496</x:v>
      </x:c>
      <x:c r="N117" s="8" t="str">
        <x:v>i</x:v>
      </x:c>
      <x:c r="O117" s="8" t="n">
        <x:v>0</x:v>
      </x:c>
      <x:c r="P117" s="11" t="n">
        <x:f>MIN(X117,MAX(0,SUMIFS('Current inventory'!$D$2:$D$127,'Current inventory'!$A$2:$A$127,A117,'Current inventory'!$B$2:$B$127,B117)-SUMIFS($X$2:X116,$A$2:A116,A117,$B$2:B116,B117)))</x:f>
        <x:v>0</x:v>
      </x:c>
      <x:c r="Q117" s="1" t="str">
        <x:v>Received history</x:v>
      </x:c>
      <x:c r="R117" s="1" t="str">
        <x:v>Receipts data film c400 c800 plastic.csv</x:v>
      </x:c>
      <x:c r="S117" s="12" t="n">
        <x:f>IF(O117=1,I117*J117,0)</x:f>
        <x:v>0</x:v>
      </x:c>
      <x:c r="T117" s="13" t="n">
        <x:f>IF(L117&gt;0,K117/L117,"n.a.")</x:f>
        <x:v>0.11699999999999999</x:v>
      </x:c>
      <x:c r="U117" s="12" t="n">
        <x:f>IF(Q117="Old cost",S117,0)</x:f>
        <x:v>0</x:v>
      </x:c>
      <x:c r="V117" s="12" t="n">
        <x:f>IF(Q117="Higher cost",S117,0)</x:f>
        <x:v>0</x:v>
      </x:c>
      <x:c r="W117" s="12" t="n">
        <x:f>IF(Q117="Unclassified",S117,0)</x:f>
        <x:v>0</x:v>
      </x:c>
      <x:c r="X117" s="12" t="n">
        <x:f>IF(AND(ISNUMBER(F117),F117&gt;0,F117&lt;=Summary!$D$5,H117&gt;0),H117*J117,0)</x:f>
        <x:v>240000</x:v>
      </x:c>
    </x:row>
    <x:row r="118" ht="21" customHeight="1">
      <x:c r="A118" s="1" t="str">
        <x:v>10</x:v>
      </x:c>
      <x:c r="B118" s="1" t="str">
        <x:v>800BBLKASC</x:v>
      </x:c>
      <x:c r="C118" s="1" t="str">
        <x:v>1059455</x:v>
      </x:c>
      <x:c r="D118" s="1" t="str">
        <x:v>2</x:v>
      </x:c>
      <x:c r="E118" s="1"/>
      <x:c r="F118" s="7" t="n">
        <x:v>46010</x:v>
      </x:c>
      <x:c r="G118" s="7" t="n">
        <x:v>46010</x:v>
      </x:c>
      <x:c r="H118" s="8" t="n">
        <x:v>400000</x:v>
      </x:c>
      <x:c r="I118" s="8"/>
      <x:c r="J118" s="8" t="n">
        <x:v>1</x:v>
      </x:c>
      <x:c r="K118" s="9" t="n">
        <x:v>11.7</x:v>
      </x:c>
      <x:c r="L118" s="8" t="n">
        <x:v>100</x:v>
      </x:c>
      <x:c r="M118" s="10" t="n">
        <x:v>49160</x:v>
      </x:c>
      <x:c r="N118" s="8" t="str">
        <x:v>i</x:v>
      </x:c>
      <x:c r="O118" s="8" t="n">
        <x:v>0</x:v>
      </x:c>
      <x:c r="P118" s="11" t="n">
        <x:f>MIN(X118,MAX(0,SUMIFS('Current inventory'!$D$2:$D$127,'Current inventory'!$A$2:$A$127,A118,'Current inventory'!$B$2:$B$127,B118)-SUMIFS($X$2:X117,$A$2:A117,A118,$B$2:B117,B118)))</x:f>
        <x:v>0</x:v>
      </x:c>
      <x:c r="Q118" s="1" t="str">
        <x:v>Received history</x:v>
      </x:c>
      <x:c r="R118" s="1" t="str">
        <x:v>Receipts data film c400 c800 plastic.csv</x:v>
      </x:c>
      <x:c r="S118" s="12" t="n">
        <x:f>IF(O118=1,I118*J118,0)</x:f>
        <x:v>0</x:v>
      </x:c>
      <x:c r="T118" s="13" t="n">
        <x:f>IF(L118&gt;0,K118/L118,"n.a.")</x:f>
        <x:v>0.11699999999999999</x:v>
      </x:c>
      <x:c r="U118" s="12" t="n">
        <x:f>IF(Q118="Old cost",S118,0)</x:f>
        <x:v>0</x:v>
      </x:c>
      <x:c r="V118" s="12" t="n">
        <x:f>IF(Q118="Higher cost",S118,0)</x:f>
        <x:v>0</x:v>
      </x:c>
      <x:c r="W118" s="12" t="n">
        <x:f>IF(Q118="Unclassified",S118,0)</x:f>
        <x:v>0</x:v>
      </x:c>
      <x:c r="X118" s="12" t="n">
        <x:f>IF(AND(ISNUMBER(F118),F118&gt;0,F118&lt;=Summary!$D$5,H118&gt;0),H118*J118,0)</x:f>
        <x:v>400000</x:v>
      </x:c>
    </x:row>
    <x:row r="119" ht="21" customHeight="1">
      <x:c r="A119" s="1" t="str">
        <x:v>60</x:v>
      </x:c>
      <x:c r="B119" s="1" t="str">
        <x:v>800BBLKASC</x:v>
      </x:c>
      <x:c r="C119" s="1" t="str">
        <x:v>6102869</x:v>
      </x:c>
      <x:c r="D119" s="1" t="str">
        <x:v>1</x:v>
      </x:c>
      <x:c r="E119" s="1"/>
      <x:c r="F119" s="7" t="n">
        <x:v>46008</x:v>
      </x:c>
      <x:c r="G119" s="7" t="n">
        <x:v>46007</x:v>
      </x:c>
      <x:c r="H119" s="8" t="n">
        <x:v>120000</x:v>
      </x:c>
      <x:c r="I119" s="8"/>
      <x:c r="J119" s="8" t="n">
        <x:v>1</x:v>
      </x:c>
      <x:c r="K119" s="9" t="n">
        <x:v>11.7</x:v>
      </x:c>
      <x:c r="L119" s="8" t="n">
        <x:v>100</x:v>
      </x:c>
      <x:c r="M119" s="10" t="n">
        <x:v>14748</x:v>
      </x:c>
      <x:c r="N119" s="8" t="str">
        <x:v>i</x:v>
      </x:c>
      <x:c r="O119" s="8" t="n">
        <x:v>0</x:v>
      </x:c>
      <x:c r="P119" s="11" t="n">
        <x:f>MIN(X119,MAX(0,SUMIFS('Current inventory'!$D$2:$D$127,'Current inventory'!$A$2:$A$127,A119,'Current inventory'!$B$2:$B$127,B119)-SUMIFS($X$2:X118,$A$2:A118,A119,$B$2:B118,B119)))</x:f>
        <x:v>0</x:v>
      </x:c>
      <x:c r="Q119" s="1" t="str">
        <x:v>Received history</x:v>
      </x:c>
      <x:c r="R119" s="1" t="str">
        <x:v>Receipts data film c400 c800 plastic.csv</x:v>
      </x:c>
      <x:c r="S119" s="12" t="n">
        <x:f>IF(O119=1,I119*J119,0)</x:f>
        <x:v>0</x:v>
      </x:c>
      <x:c r="T119" s="13" t="n">
        <x:f>IF(L119&gt;0,K119/L119,"n.a.")</x:f>
        <x:v>0.11699999999999999</x:v>
      </x:c>
      <x:c r="U119" s="12" t="n">
        <x:f>IF(Q119="Old cost",S119,0)</x:f>
        <x:v>0</x:v>
      </x:c>
      <x:c r="V119" s="12" t="n">
        <x:f>IF(Q119="Higher cost",S119,0)</x:f>
        <x:v>0</x:v>
      </x:c>
      <x:c r="W119" s="12" t="n">
        <x:f>IF(Q119="Unclassified",S119,0)</x:f>
        <x:v>0</x:v>
      </x:c>
      <x:c r="X119" s="12" t="n">
        <x:f>IF(AND(ISNUMBER(F119),F119&gt;0,F119&lt;=Summary!$D$5,H119&gt;0),H119*J119,0)</x:f>
        <x:v>120000</x:v>
      </x:c>
    </x:row>
    <x:row r="120" ht="21" customHeight="1">
      <x:c r="A120" s="1" t="str">
        <x:v>60</x:v>
      </x:c>
      <x:c r="B120" s="1" t="str">
        <x:v>800BLKE</x:v>
      </x:c>
      <x:c r="C120" s="1" t="str">
        <x:v>6102869</x:v>
      </x:c>
      <x:c r="D120" s="1" t="str">
        <x:v>1</x:v>
      </x:c>
      <x:c r="E120" s="1"/>
      <x:c r="F120" s="7" t="n">
        <x:v>46008</x:v>
      </x:c>
      <x:c r="G120" s="7" t="n">
        <x:v>46007</x:v>
      </x:c>
      <x:c r="H120" s="8" t="n">
        <x:v>5376</x:v>
      </x:c>
      <x:c r="I120" s="8"/>
      <x:c r="J120" s="8" t="n">
        <x:v>1</x:v>
      </x:c>
      <x:c r="K120" s="9" t="n">
        <x:v>861.1</x:v>
      </x:c>
      <x:c r="L120" s="8" t="n">
        <x:v>1000</x:v>
      </x:c>
      <x:c r="M120" s="10" t="n">
        <x:v>4860.76</x:v>
      </x:c>
      <x:c r="N120" s="8" t="str">
        <x:v>i</x:v>
      </x:c>
      <x:c r="O120" s="8" t="n">
        <x:v>0</x:v>
      </x:c>
      <x:c r="P120" s="11" t="n">
        <x:f>MIN(X120,MAX(0,SUMIFS('Current inventory'!$D$2:$D$127,'Current inventory'!$A$2:$A$127,A120,'Current inventory'!$B$2:$B$127,B120)-SUMIFS($X$2:X119,$A$2:A119,A120,$B$2:B119,B120)))</x:f>
        <x:v>0</x:v>
      </x:c>
      <x:c r="Q120" s="1" t="str">
        <x:v>Received history</x:v>
      </x:c>
      <x:c r="R120" s="1" t="str">
        <x:v>Receipts data film c400 c800 plastic.csv</x:v>
      </x:c>
      <x:c r="S120" s="12" t="n">
        <x:f>IF(O120=1,I120*J120,0)</x:f>
        <x:v>0</x:v>
      </x:c>
      <x:c r="T120" s="13" t="n">
        <x:f>IF(L120&gt;0,K120/L120,"n.a.")</x:f>
        <x:v>0.8611</x:v>
      </x:c>
      <x:c r="U120" s="12" t="n">
        <x:f>IF(Q120="Old cost",S120,0)</x:f>
        <x:v>0</x:v>
      </x:c>
      <x:c r="V120" s="12" t="n">
        <x:f>IF(Q120="Higher cost",S120,0)</x:f>
        <x:v>0</x:v>
      </x:c>
      <x:c r="W120" s="12" t="n">
        <x:f>IF(Q120="Unclassified",S120,0)</x:f>
        <x:v>0</x:v>
      </x:c>
      <x:c r="X120" s="12" t="n">
        <x:f>IF(AND(ISNUMBER(F120),F120&gt;0,F120&lt;=Summary!$D$5,H120&gt;0),H120*J120,0)</x:f>
        <x:v>5376</x:v>
      </x:c>
    </x:row>
    <x:row r="121" ht="21" customHeight="1">
      <x:c r="A121" s="1" t="str">
        <x:v>10</x:v>
      </x:c>
      <x:c r="B121" s="1" t="str">
        <x:v>800BBLKDSC</x:v>
      </x:c>
      <x:c r="C121" s="1" t="str">
        <x:v>1059735</x:v>
      </x:c>
      <x:c r="D121" s="1" t="str">
        <x:v>0</x:v>
      </x:c>
      <x:c r="E121" s="1"/>
      <x:c r="F121" s="7" t="n">
        <x:v>46006</x:v>
      </x:c>
      <x:c r="G121" s="7" t="n">
        <x:v>45993</x:v>
      </x:c>
      <x:c r="H121" s="8" t="n">
        <x:v>15500</x:v>
      </x:c>
      <x:c r="I121" s="8"/>
      <x:c r="J121" s="8" t="n">
        <x:v>1</x:v>
      </x:c>
      <x:c r="K121" s="9" t="n">
        <x:v>31.73</x:v>
      </x:c>
      <x:c r="L121" s="8" t="n">
        <x:v>100</x:v>
      </x:c>
      <x:c r="M121" s="10" t="n">
        <x:v>4918.15</x:v>
      </x:c>
      <x:c r="N121" s="8" t="str">
        <x:v>i</x:v>
      </x:c>
      <x:c r="O121" s="8" t="n">
        <x:v>0</x:v>
      </x:c>
      <x:c r="P121" s="11" t="n">
        <x:f>MIN(X121,MAX(0,SUMIFS('Current inventory'!$D$2:$D$127,'Current inventory'!$A$2:$A$127,A121,'Current inventory'!$B$2:$B$127,B121)-SUMIFS($X$2:X120,$A$2:A120,A121,$B$2:B120,B121)))</x:f>
        <x:v>0</x:v>
      </x:c>
      <x:c r="Q121" s="1" t="str">
        <x:v>Received history</x:v>
      </x:c>
      <x:c r="R121" s="1" t="str">
        <x:v>Receipts data film c400 c800 plastic.csv</x:v>
      </x:c>
      <x:c r="S121" s="12" t="n">
        <x:f>IF(O121=1,I121*J121,0)</x:f>
        <x:v>0</x:v>
      </x:c>
      <x:c r="T121" s="13" t="n">
        <x:f>IF(L121&gt;0,K121/L121,"n.a.")</x:f>
        <x:v>0.3173</x:v>
      </x:c>
      <x:c r="U121" s="12" t="n">
        <x:f>IF(Q121="Old cost",S121,0)</x:f>
        <x:v>0</x:v>
      </x:c>
      <x:c r="V121" s="12" t="n">
        <x:f>IF(Q121="Higher cost",S121,0)</x:f>
        <x:v>0</x:v>
      </x:c>
      <x:c r="W121" s="12" t="n">
        <x:f>IF(Q121="Unclassified",S121,0)</x:f>
        <x:v>0</x:v>
      </x:c>
      <x:c r="X121" s="12" t="n">
        <x:f>IF(AND(ISNUMBER(F121),F121&gt;0,F121&lt;=Summary!$D$5,H121&gt;0),H121*J121,0)</x:f>
        <x:v>15500</x:v>
      </x:c>
    </x:row>
    <x:row r="122" ht="21" customHeight="1">
      <x:c r="A122" s="1" t="str">
        <x:v>10</x:v>
      </x:c>
      <x:c r="B122" s="1" t="str">
        <x:v>800BBLKASC</x:v>
      </x:c>
      <x:c r="C122" s="1" t="str">
        <x:v>1059455</x:v>
      </x:c>
      <x:c r="D122" s="1" t="str">
        <x:v>1</x:v>
      </x:c>
      <x:c r="E122" s="1"/>
      <x:c r="F122" s="7" t="n">
        <x:v>45999</x:v>
      </x:c>
      <x:c r="G122" s="7" t="n">
        <x:v>45996</x:v>
      </x:c>
      <x:c r="H122" s="8" t="n">
        <x:v>400000</x:v>
      </x:c>
      <x:c r="I122" s="8"/>
      <x:c r="J122" s="8" t="n">
        <x:v>1</x:v>
      </x:c>
      <x:c r="K122" s="9" t="n">
        <x:v>11.7</x:v>
      </x:c>
      <x:c r="L122" s="8" t="n">
        <x:v>100</x:v>
      </x:c>
      <x:c r="M122" s="10" t="n">
        <x:v>49160</x:v>
      </x:c>
      <x:c r="N122" s="8" t="str">
        <x:v>i</x:v>
      </x:c>
      <x:c r="O122" s="8" t="n">
        <x:v>0</x:v>
      </x:c>
      <x:c r="P122" s="11" t="n">
        <x:f>MIN(X122,MAX(0,SUMIFS('Current inventory'!$D$2:$D$127,'Current inventory'!$A$2:$A$127,A122,'Current inventory'!$B$2:$B$127,B122)-SUMIFS($X$2:X121,$A$2:A121,A122,$B$2:B121,B122)))</x:f>
        <x:v>0</x:v>
      </x:c>
      <x:c r="Q122" s="1" t="str">
        <x:v>Received history</x:v>
      </x:c>
      <x:c r="R122" s="1" t="str">
        <x:v>Receipts data film c400 c800 plastic.csv</x:v>
      </x:c>
      <x:c r="S122" s="12" t="n">
        <x:f>IF(O122=1,I122*J122,0)</x:f>
        <x:v>0</x:v>
      </x:c>
      <x:c r="T122" s="13" t="n">
        <x:f>IF(L122&gt;0,K122/L122,"n.a.")</x:f>
        <x:v>0.11699999999999999</x:v>
      </x:c>
      <x:c r="U122" s="12" t="n">
        <x:f>IF(Q122="Old cost",S122,0)</x:f>
        <x:v>0</x:v>
      </x:c>
      <x:c r="V122" s="12" t="n">
        <x:f>IF(Q122="Higher cost",S122,0)</x:f>
        <x:v>0</x:v>
      </x:c>
      <x:c r="W122" s="12" t="n">
        <x:f>IF(Q122="Unclassified",S122,0)</x:f>
        <x:v>0</x:v>
      </x:c>
      <x:c r="X122" s="12" t="n">
        <x:f>IF(AND(ISNUMBER(F122),F122&gt;0,F122&lt;=Summary!$D$5,H122&gt;0),H122*J122,0)</x:f>
        <x:v>400000</x:v>
      </x:c>
    </x:row>
    <x:row r="123" ht="21" customHeight="1">
      <x:c r="A123" s="1" t="str">
        <x:v>10</x:v>
      </x:c>
      <x:c r="B123" s="1" t="str">
        <x:v>800BBLKASC</x:v>
      </x:c>
      <x:c r="C123" s="1" t="str">
        <x:v>1059455</x:v>
      </x:c>
      <x:c r="D123" s="1" t="str">
        <x:v>0</x:v>
      </x:c>
      <x:c r="E123" s="1"/>
      <x:c r="F123" s="7" t="n">
        <x:v>45996</x:v>
      </x:c>
      <x:c r="G123" s="7" t="n">
        <x:v>45996</x:v>
      </x:c>
      <x:c r="H123" s="8" t="n">
        <x:v>480000</x:v>
      </x:c>
      <x:c r="I123" s="8"/>
      <x:c r="J123" s="8" t="n">
        <x:v>1</x:v>
      </x:c>
      <x:c r="K123" s="9" t="n">
        <x:v>11.7</x:v>
      </x:c>
      <x:c r="L123" s="8" t="n">
        <x:v>100</x:v>
      </x:c>
      <x:c r="M123" s="10" t="n">
        <x:v>58992</x:v>
      </x:c>
      <x:c r="N123" s="8" t="str">
        <x:v>i</x:v>
      </x:c>
      <x:c r="O123" s="8" t="n">
        <x:v>0</x:v>
      </x:c>
      <x:c r="P123" s="11" t="n">
        <x:f>MIN(X123,MAX(0,SUMIFS('Current inventory'!$D$2:$D$127,'Current inventory'!$A$2:$A$127,A123,'Current inventory'!$B$2:$B$127,B123)-SUMIFS($X$2:X122,$A$2:A122,A123,$B$2:B122,B123)))</x:f>
        <x:v>0</x:v>
      </x:c>
      <x:c r="Q123" s="1" t="str">
        <x:v>Received history</x:v>
      </x:c>
      <x:c r="R123" s="1" t="str">
        <x:v>Receipts data film c400 c800 plastic.csv</x:v>
      </x:c>
      <x:c r="S123" s="12" t="n">
        <x:f>IF(O123=1,I123*J123,0)</x:f>
        <x:v>0</x:v>
      </x:c>
      <x:c r="T123" s="13" t="n">
        <x:f>IF(L123&gt;0,K123/L123,"n.a.")</x:f>
        <x:v>0.11699999999999999</x:v>
      </x:c>
      <x:c r="U123" s="12" t="n">
        <x:f>IF(Q123="Old cost",S123,0)</x:f>
        <x:v>0</x:v>
      </x:c>
      <x:c r="V123" s="12" t="n">
        <x:f>IF(Q123="Higher cost",S123,0)</x:f>
        <x:v>0</x:v>
      </x:c>
      <x:c r="W123" s="12" t="n">
        <x:f>IF(Q123="Unclassified",S123,0)</x:f>
        <x:v>0</x:v>
      </x:c>
      <x:c r="X123" s="12" t="n">
        <x:f>IF(AND(ISNUMBER(F123),F123&gt;0,F123&lt;=Summary!$D$5,H123&gt;0),H123*J123,0)</x:f>
        <x:v>480000</x:v>
      </x:c>
    </x:row>
    <x:row r="124" ht="21" customHeight="1">
      <x:c r="A124" s="1" t="str">
        <x:v>60</x:v>
      </x:c>
      <x:c r="B124" s="1" t="str">
        <x:v>800BBLKASC</x:v>
      </x:c>
      <x:c r="C124" s="1" t="str">
        <x:v>6102869</x:v>
      </x:c>
      <x:c r="D124" s="1" t="str">
        <x:v>0</x:v>
      </x:c>
      <x:c r="E124" s="1"/>
      <x:c r="F124" s="7" t="n">
        <x:v>45995</x:v>
      </x:c>
      <x:c r="G124" s="7" t="n">
        <x:v>45996</x:v>
      </x:c>
      <x:c r="H124" s="8" t="n">
        <x:v>120000</x:v>
      </x:c>
      <x:c r="I124" s="8"/>
      <x:c r="J124" s="8" t="n">
        <x:v>1</x:v>
      </x:c>
      <x:c r="K124" s="9" t="n">
        <x:v>11.7</x:v>
      </x:c>
      <x:c r="L124" s="8" t="n">
        <x:v>100</x:v>
      </x:c>
      <x:c r="M124" s="10" t="n">
        <x:v>14748</x:v>
      </x:c>
      <x:c r="N124" s="8" t="str">
        <x:v>i</x:v>
      </x:c>
      <x:c r="O124" s="8" t="n">
        <x:v>0</x:v>
      </x:c>
      <x:c r="P124" s="11" t="n">
        <x:f>MIN(X124,MAX(0,SUMIFS('Current inventory'!$D$2:$D$127,'Current inventory'!$A$2:$A$127,A124,'Current inventory'!$B$2:$B$127,B124)-SUMIFS($X$2:X123,$A$2:A123,A124,$B$2:B123,B124)))</x:f>
        <x:v>0</x:v>
      </x:c>
      <x:c r="Q124" s="1" t="str">
        <x:v>Received history</x:v>
      </x:c>
      <x:c r="R124" s="1" t="str">
        <x:v>Receipts data film c400 c800 plastic.csv</x:v>
      </x:c>
      <x:c r="S124" s="12" t="n">
        <x:f>IF(O124=1,I124*J124,0)</x:f>
        <x:v>0</x:v>
      </x:c>
      <x:c r="T124" s="13" t="n">
        <x:f>IF(L124&gt;0,K124/L124,"n.a.")</x:f>
        <x:v>0.11699999999999999</x:v>
      </x:c>
      <x:c r="U124" s="12" t="n">
        <x:f>IF(Q124="Old cost",S124,0)</x:f>
        <x:v>0</x:v>
      </x:c>
      <x:c r="V124" s="12" t="n">
        <x:f>IF(Q124="Higher cost",S124,0)</x:f>
        <x:v>0</x:v>
      </x:c>
      <x:c r="W124" s="12" t="n">
        <x:f>IF(Q124="Unclassified",S124,0)</x:f>
        <x:v>0</x:v>
      </x:c>
      <x:c r="X124" s="12" t="n">
        <x:f>IF(AND(ISNUMBER(F124),F124&gt;0,F124&lt;=Summary!$D$5,H124&gt;0),H124*J124,0)</x:f>
        <x:v>120000</x:v>
      </x:c>
    </x:row>
    <x:row r="125" ht="21" customHeight="1">
      <x:c r="A125" s="1" t="str">
        <x:v>60</x:v>
      </x:c>
      <x:c r="B125" s="1" t="str">
        <x:v>800BLKE</x:v>
      </x:c>
      <x:c r="C125" s="1" t="str">
        <x:v>6102869</x:v>
      </x:c>
      <x:c r="D125" s="1" t="str">
        <x:v>0</x:v>
      </x:c>
      <x:c r="E125" s="1"/>
      <x:c r="F125" s="7" t="n">
        <x:v>45995</x:v>
      </x:c>
      <x:c r="G125" s="7" t="n">
        <x:v>45996</x:v>
      </x:c>
      <x:c r="H125" s="8" t="n">
        <x:v>4730</x:v>
      </x:c>
      <x:c r="I125" s="8"/>
      <x:c r="J125" s="8" t="n">
        <x:v>1</x:v>
      </x:c>
      <x:c r="K125" s="9" t="n">
        <x:v>861.1</x:v>
      </x:c>
      <x:c r="L125" s="8" t="n">
        <x:v>1000</x:v>
      </x:c>
      <x:c r="M125" s="10" t="n">
        <x:v>4276.68</x:v>
      </x:c>
      <x:c r="N125" s="8" t="str">
        <x:v>i</x:v>
      </x:c>
      <x:c r="O125" s="8" t="n">
        <x:v>0</x:v>
      </x:c>
      <x:c r="P125" s="11" t="n">
        <x:f>MIN(X125,MAX(0,SUMIFS('Current inventory'!$D$2:$D$127,'Current inventory'!$A$2:$A$127,A125,'Current inventory'!$B$2:$B$127,B125)-SUMIFS($X$2:X124,$A$2:A124,A125,$B$2:B124,B125)))</x:f>
        <x:v>0</x:v>
      </x:c>
      <x:c r="Q125" s="1" t="str">
        <x:v>Received history</x:v>
      </x:c>
      <x:c r="R125" s="1" t="str">
        <x:v>Receipts data film c400 c800 plastic.csv</x:v>
      </x:c>
      <x:c r="S125" s="12" t="n">
        <x:f>IF(O125=1,I125*J125,0)</x:f>
        <x:v>0</x:v>
      </x:c>
      <x:c r="T125" s="13" t="n">
        <x:f>IF(L125&gt;0,K125/L125,"n.a.")</x:f>
        <x:v>0.8611</x:v>
      </x:c>
      <x:c r="U125" s="12" t="n">
        <x:f>IF(Q125="Old cost",S125,0)</x:f>
        <x:v>0</x:v>
      </x:c>
      <x:c r="V125" s="12" t="n">
        <x:f>IF(Q125="Higher cost",S125,0)</x:f>
        <x:v>0</x:v>
      </x:c>
      <x:c r="W125" s="12" t="n">
        <x:f>IF(Q125="Unclassified",S125,0)</x:f>
        <x:v>0</x:v>
      </x:c>
      <x:c r="X125" s="12" t="n">
        <x:f>IF(AND(ISNUMBER(F125),F125&gt;0,F125&lt;=Summary!$D$5,H125&gt;0),H125*J125,0)</x:f>
        <x:v>4730</x:v>
      </x:c>
    </x:row>
    <x:row r="126" ht="21" customHeight="1">
      <x:c r="A126" s="1" t="str">
        <x:v>10</x:v>
      </x:c>
      <x:c r="B126" s="1" t="str">
        <x:v>800BNAVASC</x:v>
      </x:c>
      <x:c r="C126" s="1" t="str">
        <x:v>1059260</x:v>
      </x:c>
      <x:c r="D126" s="1" t="str">
        <x:v>1</x:v>
      </x:c>
      <x:c r="E126" s="1"/>
      <x:c r="F126" s="7" t="n">
        <x:v>45965</x:v>
      </x:c>
      <x:c r="G126" s="7" t="n">
        <x:v>45967</x:v>
      </x:c>
      <x:c r="H126" s="8" t="n">
        <x:v>40000</x:v>
      </x:c>
      <x:c r="I126" s="8"/>
      <x:c r="J126" s="8" t="n">
        <x:v>1</x:v>
      </x:c>
      <x:c r="K126" s="9" t="n">
        <x:v>14.43</x:v>
      </x:c>
      <x:c r="L126" s="8" t="n">
        <x:v>100</x:v>
      </x:c>
      <x:c r="M126" s="10" t="n">
        <x:v>5440</x:v>
      </x:c>
      <x:c r="N126" s="8" t="str">
        <x:v>i</x:v>
      </x:c>
      <x:c r="O126" s="8" t="n">
        <x:v>0</x:v>
      </x:c>
      <x:c r="P126" s="11" t="n">
        <x:f>MIN(X126,MAX(0,SUMIFS('Current inventory'!$D$2:$D$127,'Current inventory'!$A$2:$A$127,A126,'Current inventory'!$B$2:$B$127,B126)-SUMIFS($X$2:X125,$A$2:A125,A126,$B$2:B125,B126)))</x:f>
        <x:v>0</x:v>
      </x:c>
      <x:c r="Q126" s="1" t="str">
        <x:v>Received history</x:v>
      </x:c>
      <x:c r="R126" s="1" t="str">
        <x:v>Receipts data film c400 c800 plastic.csv</x:v>
      </x:c>
      <x:c r="S126" s="12" t="n">
        <x:f>IF(O126=1,I126*J126,0)</x:f>
        <x:v>0</x:v>
      </x:c>
      <x:c r="T126" s="13" t="n">
        <x:f>IF(L126&gt;0,K126/L126,"n.a.")</x:f>
        <x:v>0.14429999999999998</x:v>
      </x:c>
      <x:c r="U126" s="12" t="n">
        <x:f>IF(Q126="Old cost",S126,0)</x:f>
        <x:v>0</x:v>
      </x:c>
      <x:c r="V126" s="12" t="n">
        <x:f>IF(Q126="Higher cost",S126,0)</x:f>
        <x:v>0</x:v>
      </x:c>
      <x:c r="W126" s="12" t="n">
        <x:f>IF(Q126="Unclassified",S126,0)</x:f>
        <x:v>0</x:v>
      </x:c>
      <x:c r="X126" s="12" t="n">
        <x:f>IF(AND(ISNUMBER(F126),F126&gt;0,F126&lt;=Summary!$D$5,H126&gt;0),H126*J126,0)</x:f>
        <x:v>40000</x:v>
      </x:c>
    </x:row>
    <x:row r="127" ht="21" customHeight="1">
      <x:c r="A127" s="1" t="str">
        <x:v>10</x:v>
      </x:c>
      <x:c r="B127" s="1" t="str">
        <x:v>800NAVE</x:v>
      </x:c>
      <x:c r="C127" s="1" t="str">
        <x:v>1059260</x:v>
      </x:c>
      <x:c r="D127" s="1" t="str">
        <x:v>1</x:v>
      </x:c>
      <x:c r="E127" s="1"/>
      <x:c r="F127" s="7" t="n">
        <x:v>45965</x:v>
      </x:c>
      <x:c r="G127" s="7" t="n">
        <x:v>45967</x:v>
      </x:c>
      <x:c r="H127" s="8" t="n">
        <x:v>8250</x:v>
      </x:c>
      <x:c r="I127" s="8"/>
      <x:c r="J127" s="8" t="n">
        <x:v>1</x:v>
      </x:c>
      <x:c r="K127" s="9" t="n">
        <x:v>993.6</x:v>
      </x:c>
      <x:c r="L127" s="8" t="n">
        <x:v>1000</x:v>
      </x:c>
      <x:c r="M127" s="10" t="n">
        <x:v>7726.95</x:v>
      </x:c>
      <x:c r="N127" s="8" t="str">
        <x:v>i</x:v>
      </x:c>
      <x:c r="O127" s="8" t="n">
        <x:v>0</x:v>
      </x:c>
      <x:c r="P127" s="11" t="n">
        <x:f>MIN(X127,MAX(0,SUMIFS('Current inventory'!$D$2:$D$127,'Current inventory'!$A$2:$A$127,A127,'Current inventory'!$B$2:$B$127,B127)-SUMIFS($X$2:X126,$A$2:A126,A127,$B$2:B126,B127)))</x:f>
        <x:v>0</x:v>
      </x:c>
      <x:c r="Q127" s="1" t="str">
        <x:v>Received history</x:v>
      </x:c>
      <x:c r="R127" s="1" t="str">
        <x:v>Receipts data film c400 c800 plastic.csv</x:v>
      </x:c>
      <x:c r="S127" s="12" t="n">
        <x:f>IF(O127=1,I127*J127,0)</x:f>
        <x:v>0</x:v>
      </x:c>
      <x:c r="T127" s="13" t="n">
        <x:f>IF(L127&gt;0,K127/L127,"n.a.")</x:f>
        <x:v>0.9936</x:v>
      </x:c>
      <x:c r="U127" s="12" t="n">
        <x:f>IF(Q127="Old cost",S127,0)</x:f>
        <x:v>0</x:v>
      </x:c>
      <x:c r="V127" s="12" t="n">
        <x:f>IF(Q127="Higher cost",S127,0)</x:f>
        <x:v>0</x:v>
      </x:c>
      <x:c r="W127" s="12" t="n">
        <x:f>IF(Q127="Unclassified",S127,0)</x:f>
        <x:v>0</x:v>
      </x:c>
      <x:c r="X127" s="12" t="n">
        <x:f>IF(AND(ISNUMBER(F127),F127&gt;0,F127&lt;=Summary!$D$5,H127&gt;0),H127*J127,0)</x:f>
        <x:v>8250</x:v>
      </x:c>
    </x:row>
    <x:row r="128" ht="21" customHeight="1">
      <x:c r="A128" s="1" t="str">
        <x:v>60</x:v>
      </x:c>
      <x:c r="B128" s="1" t="str">
        <x:v>800BNAVASC</x:v>
      </x:c>
      <x:c r="C128" s="1" t="str">
        <x:v>6102859</x:v>
      </x:c>
      <x:c r="D128" s="1" t="str">
        <x:v>1</x:v>
      </x:c>
      <x:c r="E128" s="1"/>
      <x:c r="F128" s="7" t="n">
        <x:v>45964</x:v>
      </x:c>
      <x:c r="G128" s="7" t="n">
        <x:v>45966</x:v>
      </x:c>
      <x:c r="H128" s="8" t="n">
        <x:v>40000</x:v>
      </x:c>
      <x:c r="I128" s="8"/>
      <x:c r="J128" s="8" t="n">
        <x:v>1</x:v>
      </x:c>
      <x:c r="K128" s="9" t="n">
        <x:v>14.43</x:v>
      </x:c>
      <x:c r="L128" s="8" t="n">
        <x:v>100</x:v>
      </x:c>
      <x:c r="M128" s="10" t="n">
        <x:v>5440</x:v>
      </x:c>
      <x:c r="N128" s="8" t="str">
        <x:v>i</x:v>
      </x:c>
      <x:c r="O128" s="8" t="n">
        <x:v>0</x:v>
      </x:c>
      <x:c r="P128" s="11" t="n">
        <x:f>MIN(X128,MAX(0,SUMIFS('Current inventory'!$D$2:$D$127,'Current inventory'!$A$2:$A$127,A128,'Current inventory'!$B$2:$B$127,B128)-SUMIFS($X$2:X127,$A$2:A127,A128,$B$2:B127,B128)))</x:f>
        <x:v>0</x:v>
      </x:c>
      <x:c r="Q128" s="1" t="str">
        <x:v>Received history</x:v>
      </x:c>
      <x:c r="R128" s="1" t="str">
        <x:v>Receipts data film c400 c800 plastic.csv</x:v>
      </x:c>
      <x:c r="S128" s="12" t="n">
        <x:f>IF(O128=1,I128*J128,0)</x:f>
        <x:v>0</x:v>
      </x:c>
      <x:c r="T128" s="13" t="n">
        <x:f>IF(L128&gt;0,K128/L128,"n.a.")</x:f>
        <x:v>0.14429999999999998</x:v>
      </x:c>
      <x:c r="U128" s="12" t="n">
        <x:f>IF(Q128="Old cost",S128,0)</x:f>
        <x:v>0</x:v>
      </x:c>
      <x:c r="V128" s="12" t="n">
        <x:f>IF(Q128="Higher cost",S128,0)</x:f>
        <x:v>0</x:v>
      </x:c>
      <x:c r="W128" s="12" t="n">
        <x:f>IF(Q128="Unclassified",S128,0)</x:f>
        <x:v>0</x:v>
      </x:c>
      <x:c r="X128" s="12" t="n">
        <x:f>IF(AND(ISNUMBER(F128),F128&gt;0,F128&lt;=Summary!$D$5,H128&gt;0),H128*J128,0)</x:f>
        <x:v>40000</x:v>
      </x:c>
    </x:row>
    <x:row r="129" ht="21" customHeight="1">
      <x:c r="A129" s="1" t="str">
        <x:v>60</x:v>
      </x:c>
      <x:c r="B129" s="1" t="str">
        <x:v>800NAVE</x:v>
      </x:c>
      <x:c r="C129" s="1" t="str">
        <x:v>6102859</x:v>
      </x:c>
      <x:c r="D129" s="1" t="str">
        <x:v>1</x:v>
      </x:c>
      <x:c r="E129" s="1"/>
      <x:c r="F129" s="7" t="n">
        <x:v>45964</x:v>
      </x:c>
      <x:c r="G129" s="7" t="n">
        <x:v>45966</x:v>
      </x:c>
      <x:c r="H129" s="8" t="n">
        <x:v>2080</x:v>
      </x:c>
      <x:c r="I129" s="8"/>
      <x:c r="J129" s="8" t="n">
        <x:v>1</x:v>
      </x:c>
      <x:c r="K129" s="9" t="n">
        <x:v>993.6</x:v>
      </x:c>
      <x:c r="L129" s="8" t="n">
        <x:v>1000</x:v>
      </x:c>
      <x:c r="M129" s="10" t="n">
        <x:v>1948.13</x:v>
      </x:c>
      <x:c r="N129" s="8" t="str">
        <x:v>i</x:v>
      </x:c>
      <x:c r="O129" s="8" t="n">
        <x:v>0</x:v>
      </x:c>
      <x:c r="P129" s="11" t="n">
        <x:f>MIN(X129,MAX(0,SUMIFS('Current inventory'!$D$2:$D$127,'Current inventory'!$A$2:$A$127,A129,'Current inventory'!$B$2:$B$127,B129)-SUMIFS($X$2:X128,$A$2:A128,A129,$B$2:B128,B129)))</x:f>
        <x:v>0</x:v>
      </x:c>
      <x:c r="Q129" s="1" t="str">
        <x:v>Received history</x:v>
      </x:c>
      <x:c r="R129" s="1" t="str">
        <x:v>Receipts data film c400 c800 plastic.csv</x:v>
      </x:c>
      <x:c r="S129" s="12" t="n">
        <x:f>IF(O129=1,I129*J129,0)</x:f>
        <x:v>0</x:v>
      </x:c>
      <x:c r="T129" s="13" t="n">
        <x:f>IF(L129&gt;0,K129/L129,"n.a.")</x:f>
        <x:v>0.9936</x:v>
      </x:c>
      <x:c r="U129" s="12" t="n">
        <x:f>IF(Q129="Old cost",S129,0)</x:f>
        <x:v>0</x:v>
      </x:c>
      <x:c r="V129" s="12" t="n">
        <x:f>IF(Q129="Higher cost",S129,0)</x:f>
        <x:v>0</x:v>
      </x:c>
      <x:c r="W129" s="12" t="n">
        <x:f>IF(Q129="Unclassified",S129,0)</x:f>
        <x:v>0</x:v>
      </x:c>
      <x:c r="X129" s="12" t="n">
        <x:f>IF(AND(ISNUMBER(F129),F129&gt;0,F129&lt;=Summary!$D$5,H129&gt;0),H129*J129,0)</x:f>
        <x:v>2080</x:v>
      </x:c>
    </x:row>
    <x:row r="130" ht="21" customHeight="1">
      <x:c r="A130" s="1" t="str">
        <x:v>30</x:v>
      </x:c>
      <x:c r="B130" s="1" t="str">
        <x:v>800BBLKASC</x:v>
      </x:c>
      <x:c r="C130" s="1" t="str">
        <x:v>3003899</x:v>
      </x:c>
      <x:c r="D130" s="1" t="str">
        <x:v>1</x:v>
      </x:c>
      <x:c r="E130" s="1"/>
      <x:c r="F130" s="7" t="n">
        <x:v>45960</x:v>
      </x:c>
      <x:c r="G130" s="7" t="n">
        <x:v>45960</x:v>
      </x:c>
      <x:c r="H130" s="8" t="n">
        <x:v>40000</x:v>
      </x:c>
      <x:c r="I130" s="8"/>
      <x:c r="J130" s="8" t="n">
        <x:v>1</x:v>
      </x:c>
      <x:c r="K130" s="9" t="n">
        <x:v>11.7</x:v>
      </x:c>
      <x:c r="L130" s="8" t="n">
        <x:v>100</x:v>
      </x:c>
      <x:c r="M130" s="10" t="n">
        <x:v>4772</x:v>
      </x:c>
      <x:c r="N130" s="8" t="str">
        <x:v>i</x:v>
      </x:c>
      <x:c r="O130" s="8" t="n">
        <x:v>0</x:v>
      </x:c>
      <x:c r="P130" s="11" t="n">
        <x:f>MIN(X130,MAX(0,SUMIFS('Current inventory'!$D$2:$D$127,'Current inventory'!$A$2:$A$127,A130,'Current inventory'!$B$2:$B$127,B130)-SUMIFS($X$2:X129,$A$2:A129,A130,$B$2:B129,B130)))</x:f>
        <x:v>0</x:v>
      </x:c>
      <x:c r="Q130" s="1" t="str">
        <x:v>Received history</x:v>
      </x:c>
      <x:c r="R130" s="1" t="str">
        <x:v>Receipts data film c400 c800 plastic.csv</x:v>
      </x:c>
      <x:c r="S130" s="12" t="n">
        <x:f>IF(O130=1,I130*J130,0)</x:f>
        <x:v>0</x:v>
      </x:c>
      <x:c r="T130" s="13" t="n">
        <x:f>IF(L130&gt;0,K130/L130,"n.a.")</x:f>
        <x:v>0.11699999999999999</x:v>
      </x:c>
      <x:c r="U130" s="12" t="n">
        <x:f>IF(Q130="Old cost",S130,0)</x:f>
        <x:v>0</x:v>
      </x:c>
      <x:c r="V130" s="12" t="n">
        <x:f>IF(Q130="Higher cost",S130,0)</x:f>
        <x:v>0</x:v>
      </x:c>
      <x:c r="W130" s="12" t="n">
        <x:f>IF(Q130="Unclassified",S130,0)</x:f>
        <x:v>0</x:v>
      </x:c>
      <x:c r="X130" s="12" t="n">
        <x:f>IF(AND(ISNUMBER(F130),F130&gt;0,F130&lt;=Summary!$D$5,H130&gt;0),H130*J130,0)</x:f>
        <x:v>40000</x:v>
      </x:c>
    </x:row>
    <x:row r="131" ht="21" customHeight="1">
      <x:c r="A131" s="1" t="str">
        <x:v>30</x:v>
      </x:c>
      <x:c r="B131" s="1" t="str">
        <x:v>800BBLKASC</x:v>
      </x:c>
      <x:c r="C131" s="1" t="str">
        <x:v>3003899</x:v>
      </x:c>
      <x:c r="D131" s="1" t="str">
        <x:v>0</x:v>
      </x:c>
      <x:c r="E131" s="1"/>
      <x:c r="F131" s="7" t="n">
        <x:v>45960</x:v>
      </x:c>
      <x:c r="G131" s="7" t="n">
        <x:v>45960</x:v>
      </x:c>
      <x:c r="H131" s="8" t="n">
        <x:v>40000</x:v>
      </x:c>
      <x:c r="I131" s="8"/>
      <x:c r="J131" s="8" t="n">
        <x:v>1</x:v>
      </x:c>
      <x:c r="K131" s="9" t="n">
        <x:v>11.7</x:v>
      </x:c>
      <x:c r="L131" s="8" t="n">
        <x:v>100</x:v>
      </x:c>
      <x:c r="M131" s="10" t="n">
        <x:v>4772</x:v>
      </x:c>
      <x:c r="N131" s="8" t="str">
        <x:v>i</x:v>
      </x:c>
      <x:c r="O131" s="8" t="n">
        <x:v>0</x:v>
      </x:c>
      <x:c r="P131" s="11" t="n">
        <x:f>MIN(X131,MAX(0,SUMIFS('Current inventory'!$D$2:$D$127,'Current inventory'!$A$2:$A$127,A131,'Current inventory'!$B$2:$B$127,B131)-SUMIFS($X$2:X130,$A$2:A130,A131,$B$2:B130,B131)))</x:f>
        <x:v>0</x:v>
      </x:c>
      <x:c r="Q131" s="1" t="str">
        <x:v>Received history</x:v>
      </x:c>
      <x:c r="R131" s="1" t="str">
        <x:v>Receipts data film c400 c800 plastic.csv</x:v>
      </x:c>
      <x:c r="S131" s="12" t="n">
        <x:f>IF(O131=1,I131*J131,0)</x:f>
        <x:v>0</x:v>
      </x:c>
      <x:c r="T131" s="13" t="n">
        <x:f>IF(L131&gt;0,K131/L131,"n.a.")</x:f>
        <x:v>0.11699999999999999</x:v>
      </x:c>
      <x:c r="U131" s="12" t="n">
        <x:f>IF(Q131="Old cost",S131,0)</x:f>
        <x:v>0</x:v>
      </x:c>
      <x:c r="V131" s="12" t="n">
        <x:f>IF(Q131="Higher cost",S131,0)</x:f>
        <x:v>0</x:v>
      </x:c>
      <x:c r="W131" s="12" t="n">
        <x:f>IF(Q131="Unclassified",S131,0)</x:f>
        <x:v>0</x:v>
      </x:c>
      <x:c r="X131" s="12" t="n">
        <x:f>IF(AND(ISNUMBER(F131),F131&gt;0,F131&lt;=Summary!$D$5,H131&gt;0),H131*J131,0)</x:f>
        <x:v>40000</x:v>
      </x:c>
    </x:row>
    <x:row r="132" ht="21" customHeight="1">
      <x:c r="A132" s="1" t="str">
        <x:v>30</x:v>
      </x:c>
      <x:c r="B132" s="1" t="str">
        <x:v>800BBLKDSC</x:v>
      </x:c>
      <x:c r="C132" s="1" t="str">
        <x:v>3003899</x:v>
      </x:c>
      <x:c r="D132" s="1" t="str">
        <x:v>0</x:v>
      </x:c>
      <x:c r="E132" s="1"/>
      <x:c r="F132" s="7" t="n">
        <x:v>45960</x:v>
      </x:c>
      <x:c r="G132" s="7" t="n">
        <x:v>45960</x:v>
      </x:c>
      <x:c r="H132" s="8" t="n">
        <x:v>20000</x:v>
      </x:c>
      <x:c r="I132" s="8"/>
      <x:c r="J132" s="8" t="n">
        <x:v>1</x:v>
      </x:c>
      <x:c r="K132" s="9" t="n">
        <x:v>31.73</x:v>
      </x:c>
      <x:c r="L132" s="8" t="n">
        <x:v>100</x:v>
      </x:c>
      <x:c r="M132" s="10" t="n">
        <x:v>6120</x:v>
      </x:c>
      <x:c r="N132" s="8" t="str">
        <x:v>i</x:v>
      </x:c>
      <x:c r="O132" s="8" t="n">
        <x:v>0</x:v>
      </x:c>
      <x:c r="P132" s="11" t="n">
        <x:f>MIN(X132,MAX(0,SUMIFS('Current inventory'!$D$2:$D$127,'Current inventory'!$A$2:$A$127,A132,'Current inventory'!$B$2:$B$127,B132)-SUMIFS($X$2:X131,$A$2:A131,A132,$B$2:B131,B132)))</x:f>
        <x:v>0</x:v>
      </x:c>
      <x:c r="Q132" s="1" t="str">
        <x:v>Received history</x:v>
      </x:c>
      <x:c r="R132" s="1" t="str">
        <x:v>Receipts data film c400 c800 plastic.csv</x:v>
      </x:c>
      <x:c r="S132" s="12" t="n">
        <x:f>IF(O132=1,I132*J132,0)</x:f>
        <x:v>0</x:v>
      </x:c>
      <x:c r="T132" s="13" t="n">
        <x:f>IF(L132&gt;0,K132/L132,"n.a.")</x:f>
        <x:v>0.3173</x:v>
      </x:c>
      <x:c r="U132" s="12" t="n">
        <x:f>IF(Q132="Old cost",S132,0)</x:f>
        <x:v>0</x:v>
      </x:c>
      <x:c r="V132" s="12" t="n">
        <x:f>IF(Q132="Higher cost",S132,0)</x:f>
        <x:v>0</x:v>
      </x:c>
      <x:c r="W132" s="12" t="n">
        <x:f>IF(Q132="Unclassified",S132,0)</x:f>
        <x:v>0</x:v>
      </x:c>
      <x:c r="X132" s="12" t="n">
        <x:f>IF(AND(ISNUMBER(F132),F132&gt;0,F132&lt;=Summary!$D$5,H132&gt;0),H132*J132,0)</x:f>
        <x:v>20000</x:v>
      </x:c>
    </x:row>
    <x:row r="133" ht="21" customHeight="1">
      <x:c r="A133" s="1" t="str">
        <x:v>30</x:v>
      </x:c>
      <x:c r="B133" s="1" t="str">
        <x:v>800BBLKISC</x:v>
      </x:c>
      <x:c r="C133" s="1" t="str">
        <x:v>3003899</x:v>
      </x:c>
      <x:c r="D133" s="1" t="str">
        <x:v>0</x:v>
      </x:c>
      <x:c r="E133" s="1"/>
      <x:c r="F133" s="7" t="n">
        <x:v>45960</x:v>
      </x:c>
      <x:c r="G133" s="7" t="n">
        <x:v>45960</x:v>
      </x:c>
      <x:c r="H133" s="8" t="n">
        <x:v>10000</x:v>
      </x:c>
      <x:c r="I133" s="8"/>
      <x:c r="J133" s="8" t="n">
        <x:v>1</x:v>
      </x:c>
      <x:c r="K133" s="9" t="n">
        <x:v>15.35</x:v>
      </x:c>
      <x:c r="L133" s="8" t="n">
        <x:v>100</x:v>
      </x:c>
      <x:c r="M133" s="10" t="n">
        <x:v>1556</x:v>
      </x:c>
      <x:c r="N133" s="8" t="str">
        <x:v>i</x:v>
      </x:c>
      <x:c r="O133" s="8" t="n">
        <x:v>0</x:v>
      </x:c>
      <x:c r="P133" s="11" t="n">
        <x:f>MIN(X133,MAX(0,SUMIFS('Current inventory'!$D$2:$D$127,'Current inventory'!$A$2:$A$127,A133,'Current inventory'!$B$2:$B$127,B133)-SUMIFS($X$2:X132,$A$2:A132,A133,$B$2:B132,B133)))</x:f>
        <x:v>0</x:v>
      </x:c>
      <x:c r="Q133" s="1" t="str">
        <x:v>Received history</x:v>
      </x:c>
      <x:c r="R133" s="1" t="str">
        <x:v>Receipts data film c400 c800 plastic.csv</x:v>
      </x:c>
      <x:c r="S133" s="12" t="n">
        <x:f>IF(O133=1,I133*J133,0)</x:f>
        <x:v>0</x:v>
      </x:c>
      <x:c r="T133" s="13" t="n">
        <x:f>IF(L133&gt;0,K133/L133,"n.a.")</x:f>
        <x:v>0.1535</x:v>
      </x:c>
      <x:c r="U133" s="12" t="n">
        <x:f>IF(Q133="Old cost",S133,0)</x:f>
        <x:v>0</x:v>
      </x:c>
      <x:c r="V133" s="12" t="n">
        <x:f>IF(Q133="Higher cost",S133,0)</x:f>
        <x:v>0</x:v>
      </x:c>
      <x:c r="W133" s="12" t="n">
        <x:f>IF(Q133="Unclassified",S133,0)</x:f>
        <x:v>0</x:v>
      </x:c>
      <x:c r="X133" s="12" t="n">
        <x:f>IF(AND(ISNUMBER(F133),F133&gt;0,F133&lt;=Summary!$D$5,H133&gt;0),H133*J133,0)</x:f>
        <x:v>10000</x:v>
      </x:c>
    </x:row>
    <x:row r="134" ht="21" customHeight="1">
      <x:c r="A134" s="1" t="str">
        <x:v>10</x:v>
      </x:c>
      <x:c r="B134" s="1" t="str">
        <x:v>800BBLKASC</x:v>
      </x:c>
      <x:c r="C134" s="1" t="str">
        <x:v>1059260</x:v>
      </x:c>
      <x:c r="D134" s="1" t="str">
        <x:v>0</x:v>
      </x:c>
      <x:c r="E134" s="1"/>
      <x:c r="F134" s="7" t="n">
        <x:v>45958</x:v>
      </x:c>
      <x:c r="G134" s="7" t="n">
        <x:v>45958</x:v>
      </x:c>
      <x:c r="H134" s="8" t="n">
        <x:v>160000</x:v>
      </x:c>
      <x:c r="I134" s="8"/>
      <x:c r="J134" s="8" t="n">
        <x:v>1</x:v>
      </x:c>
      <x:c r="K134" s="9" t="n">
        <x:v>11.7</x:v>
      </x:c>
      <x:c r="L134" s="8" t="n">
        <x:v>100</x:v>
      </x:c>
      <x:c r="M134" s="10" t="n">
        <x:v>19088</x:v>
      </x:c>
      <x:c r="N134" s="8" t="str">
        <x:v>i</x:v>
      </x:c>
      <x:c r="O134" s="8" t="n">
        <x:v>0</x:v>
      </x:c>
      <x:c r="P134" s="11" t="n">
        <x:f>MIN(X134,MAX(0,SUMIFS('Current inventory'!$D$2:$D$127,'Current inventory'!$A$2:$A$127,A134,'Current inventory'!$B$2:$B$127,B134)-SUMIFS($X$2:X133,$A$2:A133,A134,$B$2:B133,B134)))</x:f>
        <x:v>0</x:v>
      </x:c>
      <x:c r="Q134" s="1" t="str">
        <x:v>Received history</x:v>
      </x:c>
      <x:c r="R134" s="1" t="str">
        <x:v>Receipts data film c400 c800 plastic.csv</x:v>
      </x:c>
      <x:c r="S134" s="12" t="n">
        <x:f>IF(O134=1,I134*J134,0)</x:f>
        <x:v>0</x:v>
      </x:c>
      <x:c r="T134" s="13" t="n">
        <x:f>IF(L134&gt;0,K134/L134,"n.a.")</x:f>
        <x:v>0.11699999999999999</x:v>
      </x:c>
      <x:c r="U134" s="12" t="n">
        <x:f>IF(Q134="Old cost",S134,0)</x:f>
        <x:v>0</x:v>
      </x:c>
      <x:c r="V134" s="12" t="n">
        <x:f>IF(Q134="Higher cost",S134,0)</x:f>
        <x:v>0</x:v>
      </x:c>
      <x:c r="W134" s="12" t="n">
        <x:f>IF(Q134="Unclassified",S134,0)</x:f>
        <x:v>0</x:v>
      </x:c>
      <x:c r="X134" s="12" t="n">
        <x:f>IF(AND(ISNUMBER(F134),F134&gt;0,F134&lt;=Summary!$D$5,H134&gt;0),H134*J134,0)</x:f>
        <x:v>160000</x:v>
      </x:c>
    </x:row>
    <x:row r="135" ht="21" customHeight="1">
      <x:c r="A135" s="1" t="str">
        <x:v>10</x:v>
      </x:c>
      <x:c r="B135" s="1" t="str">
        <x:v>800BBLKDSC</x:v>
      </x:c>
      <x:c r="C135" s="1" t="str">
        <x:v>1059260</x:v>
      </x:c>
      <x:c r="D135" s="1" t="str">
        <x:v>0</x:v>
      </x:c>
      <x:c r="E135" s="1"/>
      <x:c r="F135" s="7" t="n">
        <x:v>45958</x:v>
      </x:c>
      <x:c r="G135" s="7" t="n">
        <x:v>45958</x:v>
      </x:c>
      <x:c r="H135" s="8" t="n">
        <x:v>40000</x:v>
      </x:c>
      <x:c r="I135" s="8"/>
      <x:c r="J135" s="8" t="n">
        <x:v>1</x:v>
      </x:c>
      <x:c r="K135" s="9" t="n">
        <x:v>31.73</x:v>
      </x:c>
      <x:c r="L135" s="8" t="n">
        <x:v>100</x:v>
      </x:c>
      <x:c r="M135" s="10" t="n">
        <x:v>12240</x:v>
      </x:c>
      <x:c r="N135" s="8" t="str">
        <x:v>i</x:v>
      </x:c>
      <x:c r="O135" s="8" t="n">
        <x:v>0</x:v>
      </x:c>
      <x:c r="P135" s="11" t="n">
        <x:f>MIN(X135,MAX(0,SUMIFS('Current inventory'!$D$2:$D$127,'Current inventory'!$A$2:$A$127,A135,'Current inventory'!$B$2:$B$127,B135)-SUMIFS($X$2:X134,$A$2:A134,A135,$B$2:B134,B135)))</x:f>
        <x:v>0</x:v>
      </x:c>
      <x:c r="Q135" s="1" t="str">
        <x:v>Received history</x:v>
      </x:c>
      <x:c r="R135" s="1" t="str">
        <x:v>Receipts data film c400 c800 plastic.csv</x:v>
      </x:c>
      <x:c r="S135" s="12" t="n">
        <x:f>IF(O135=1,I135*J135,0)</x:f>
        <x:v>0</x:v>
      </x:c>
      <x:c r="T135" s="13" t="n">
        <x:f>IF(L135&gt;0,K135/L135,"n.a.")</x:f>
        <x:v>0.3173</x:v>
      </x:c>
      <x:c r="U135" s="12" t="n">
        <x:f>IF(Q135="Old cost",S135,0)</x:f>
        <x:v>0</x:v>
      </x:c>
      <x:c r="V135" s="12" t="n">
        <x:f>IF(Q135="Higher cost",S135,0)</x:f>
        <x:v>0</x:v>
      </x:c>
      <x:c r="W135" s="12" t="n">
        <x:f>IF(Q135="Unclassified",S135,0)</x:f>
        <x:v>0</x:v>
      </x:c>
      <x:c r="X135" s="12" t="n">
        <x:f>IF(AND(ISNUMBER(F135),F135&gt;0,F135&lt;=Summary!$D$5,H135&gt;0),H135*J135,0)</x:f>
        <x:v>40000</x:v>
      </x:c>
    </x:row>
    <x:row r="136" ht="21" customHeight="1">
      <x:c r="A136" s="1" t="str">
        <x:v>10</x:v>
      </x:c>
      <x:c r="B136" s="1" t="str">
        <x:v>800BBLKISC</x:v>
      </x:c>
      <x:c r="C136" s="1" t="str">
        <x:v>1059260</x:v>
      </x:c>
      <x:c r="D136" s="1" t="str">
        <x:v>0</x:v>
      </x:c>
      <x:c r="E136" s="1"/>
      <x:c r="F136" s="7" t="n">
        <x:v>45958</x:v>
      </x:c>
      <x:c r="G136" s="7" t="n">
        <x:v>45958</x:v>
      </x:c>
      <x:c r="H136" s="8" t="n">
        <x:v>50000</x:v>
      </x:c>
      <x:c r="I136" s="8"/>
      <x:c r="J136" s="8" t="n">
        <x:v>1</x:v>
      </x:c>
      <x:c r="K136" s="9" t="n">
        <x:v>15.35</x:v>
      </x:c>
      <x:c r="L136" s="8" t="n">
        <x:v>100</x:v>
      </x:c>
      <x:c r="M136" s="10" t="n">
        <x:v>7780</x:v>
      </x:c>
      <x:c r="N136" s="8" t="str">
        <x:v>i</x:v>
      </x:c>
      <x:c r="O136" s="8" t="n">
        <x:v>0</x:v>
      </x:c>
      <x:c r="P136" s="11" t="n">
        <x:f>MIN(X136,MAX(0,SUMIFS('Current inventory'!$D$2:$D$127,'Current inventory'!$A$2:$A$127,A136,'Current inventory'!$B$2:$B$127,B136)-SUMIFS($X$2:X135,$A$2:A135,A136,$B$2:B135,B136)))</x:f>
        <x:v>0</x:v>
      </x:c>
      <x:c r="Q136" s="1" t="str">
        <x:v>Received history</x:v>
      </x:c>
      <x:c r="R136" s="1" t="str">
        <x:v>Receipts data film c400 c800 plastic.csv</x:v>
      </x:c>
      <x:c r="S136" s="12" t="n">
        <x:f>IF(O136=1,I136*J136,0)</x:f>
        <x:v>0</x:v>
      </x:c>
      <x:c r="T136" s="13" t="n">
        <x:f>IF(L136&gt;0,K136/L136,"n.a.")</x:f>
        <x:v>0.1535</x:v>
      </x:c>
      <x:c r="U136" s="12" t="n">
        <x:f>IF(Q136="Old cost",S136,0)</x:f>
        <x:v>0</x:v>
      </x:c>
      <x:c r="V136" s="12" t="n">
        <x:f>IF(Q136="Higher cost",S136,0)</x:f>
        <x:v>0</x:v>
      </x:c>
      <x:c r="W136" s="12" t="n">
        <x:f>IF(Q136="Unclassified",S136,0)</x:f>
        <x:v>0</x:v>
      </x:c>
      <x:c r="X136" s="12" t="n">
        <x:f>IF(AND(ISNUMBER(F136),F136&gt;0,F136&lt;=Summary!$D$5,H136&gt;0),H136*J136,0)</x:f>
        <x:v>50000</x:v>
      </x:c>
    </x:row>
    <x:row r="137" ht="21" customHeight="1">
      <x:c r="A137" s="1" t="str">
        <x:v>10</x:v>
      </x:c>
      <x:c r="B137" s="1" t="str">
        <x:v>800BNAVASC</x:v>
      </x:c>
      <x:c r="C137" s="1" t="str">
        <x:v>1059260</x:v>
      </x:c>
      <x:c r="D137" s="1" t="str">
        <x:v>0</x:v>
      </x:c>
      <x:c r="E137" s="1"/>
      <x:c r="F137" s="7" t="n">
        <x:v>45958</x:v>
      </x:c>
      <x:c r="G137" s="7" t="n">
        <x:v>45974</x:v>
      </x:c>
      <x:c r="H137" s="8" t="n">
        <x:v>0</x:v>
      </x:c>
      <x:c r="I137" s="8"/>
      <x:c r="J137" s="8" t="n">
        <x:v>1</x:v>
      </x:c>
      <x:c r="K137" s="9" t="n">
        <x:v>14.43</x:v>
      </x:c>
      <x:c r="L137" s="8" t="n">
        <x:v>100</x:v>
      </x:c>
      <x:c r="M137" s="10" t="n">
        <x:v>0</x:v>
      </x:c>
      <x:c r="N137" s="8" t="str">
        <x:v>i</x:v>
      </x:c>
      <x:c r="O137" s="8" t="n">
        <x:v>0</x:v>
      </x:c>
      <x:c r="P137" s="11" t="n">
        <x:f>MIN(X137,MAX(0,SUMIFS('Current inventory'!$D$2:$D$127,'Current inventory'!$A$2:$A$127,A137,'Current inventory'!$B$2:$B$127,B137)-SUMIFS($X$2:X136,$A$2:A136,A137,$B$2:B136,B137)))</x:f>
        <x:v>0</x:v>
      </x:c>
      <x:c r="Q137" s="1" t="str">
        <x:v>Received history</x:v>
      </x:c>
      <x:c r="R137" s="1" t="str">
        <x:v>Receipts data film c400 c800 plastic.csv</x:v>
      </x:c>
      <x:c r="S137" s="12" t="n">
        <x:f>IF(O137=1,I137*J137,0)</x:f>
        <x:v>0</x:v>
      </x:c>
      <x:c r="T137" s="13" t="n">
        <x:f>IF(L137&gt;0,K137/L137,"n.a.")</x:f>
        <x:v>0.14429999999999998</x:v>
      </x:c>
      <x:c r="U137" s="12" t="n">
        <x:f>IF(Q137="Old cost",S137,0)</x:f>
        <x:v>0</x:v>
      </x:c>
      <x:c r="V137" s="12" t="n">
        <x:f>IF(Q137="Higher cost",S137,0)</x:f>
        <x:v>0</x:v>
      </x:c>
      <x:c r="W137" s="12" t="n">
        <x:f>IF(Q137="Unclassified",S137,0)</x:f>
        <x:v>0</x:v>
      </x:c>
      <x:c r="X137" s="12" t="n">
        <x:f>IF(AND(ISNUMBER(F137),F137&gt;0,F137&lt;=Summary!$D$5,H137&gt;0),H137*J137,0)</x:f>
        <x:v>0</x:v>
      </x:c>
    </x:row>
    <x:row r="138" ht="21" customHeight="1">
      <x:c r="A138" s="1" t="str">
        <x:v>10</x:v>
      </x:c>
      <x:c r="B138" s="1" t="str">
        <x:v>800NAVE</x:v>
      </x:c>
      <x:c r="C138" s="1" t="str">
        <x:v>1059260</x:v>
      </x:c>
      <x:c r="D138" s="1" t="str">
        <x:v>0</x:v>
      </x:c>
      <x:c r="E138" s="1"/>
      <x:c r="F138" s="7" t="n">
        <x:v>45958</x:v>
      </x:c>
      <x:c r="G138" s="7" t="n">
        <x:v>45974</x:v>
      </x:c>
      <x:c r="H138" s="8" t="n">
        <x:v>0</x:v>
      </x:c>
      <x:c r="I138" s="8"/>
      <x:c r="J138" s="8" t="n">
        <x:v>1</x:v>
      </x:c>
      <x:c r="K138" s="9" t="n">
        <x:v>993.6</x:v>
      </x:c>
      <x:c r="L138" s="8" t="n">
        <x:v>1000</x:v>
      </x:c>
      <x:c r="M138" s="10" t="n">
        <x:v>0</x:v>
      </x:c>
      <x:c r="N138" s="8" t="str">
        <x:v>i</x:v>
      </x:c>
      <x:c r="O138" s="8" t="n">
        <x:v>0</x:v>
      </x:c>
      <x:c r="P138" s="11" t="n">
        <x:f>MIN(X138,MAX(0,SUMIFS('Current inventory'!$D$2:$D$127,'Current inventory'!$A$2:$A$127,A138,'Current inventory'!$B$2:$B$127,B138)-SUMIFS($X$2:X137,$A$2:A137,A138,$B$2:B137,B138)))</x:f>
        <x:v>0</x:v>
      </x:c>
      <x:c r="Q138" s="1" t="str">
        <x:v>Received history</x:v>
      </x:c>
      <x:c r="R138" s="1" t="str">
        <x:v>Receipts data film c400 c800 plastic.csv</x:v>
      </x:c>
      <x:c r="S138" s="12" t="n">
        <x:f>IF(O138=1,I138*J138,0)</x:f>
        <x:v>0</x:v>
      </x:c>
      <x:c r="T138" s="13" t="n">
        <x:f>IF(L138&gt;0,K138/L138,"n.a.")</x:f>
        <x:v>0.9936</x:v>
      </x:c>
      <x:c r="U138" s="12" t="n">
        <x:f>IF(Q138="Old cost",S138,0)</x:f>
        <x:v>0</x:v>
      </x:c>
      <x:c r="V138" s="12" t="n">
        <x:f>IF(Q138="Higher cost",S138,0)</x:f>
        <x:v>0</x:v>
      </x:c>
      <x:c r="W138" s="12" t="n">
        <x:f>IF(Q138="Unclassified",S138,0)</x:f>
        <x:v>0</x:v>
      </x:c>
      <x:c r="X138" s="12" t="n">
        <x:f>IF(AND(ISNUMBER(F138),F138&gt;0,F138&lt;=Summary!$D$5,H138&gt;0),H138*J138,0)</x:f>
        <x:v>0</x:v>
      </x:c>
    </x:row>
    <x:row r="139" ht="21" customHeight="1">
      <x:c r="A139" s="1" t="str">
        <x:v>60</x:v>
      </x:c>
      <x:c r="B139" s="1" t="str">
        <x:v>800BBLKASC</x:v>
      </x:c>
      <x:c r="C139" s="1" t="str">
        <x:v>6102859</x:v>
      </x:c>
      <x:c r="D139" s="1" t="str">
        <x:v>0</x:v>
      </x:c>
      <x:c r="E139" s="1"/>
      <x:c r="F139" s="7" t="n">
        <x:v>45953</x:v>
      </x:c>
      <x:c r="G139" s="7" t="n">
        <x:v>45954</x:v>
      </x:c>
      <x:c r="H139" s="8" t="n">
        <x:v>160000</x:v>
      </x:c>
      <x:c r="I139" s="8"/>
      <x:c r="J139" s="8" t="n">
        <x:v>1</x:v>
      </x:c>
      <x:c r="K139" s="9" t="n">
        <x:v>11.7</x:v>
      </x:c>
      <x:c r="L139" s="8" t="n">
        <x:v>100</x:v>
      </x:c>
      <x:c r="M139" s="10" t="n">
        <x:v>19088</x:v>
      </x:c>
      <x:c r="N139" s="8" t="str">
        <x:v>i</x:v>
      </x:c>
      <x:c r="O139" s="8" t="n">
        <x:v>0</x:v>
      </x:c>
      <x:c r="P139" s="11" t="n">
        <x:f>MIN(X139,MAX(0,SUMIFS('Current inventory'!$D$2:$D$127,'Current inventory'!$A$2:$A$127,A139,'Current inventory'!$B$2:$B$127,B139)-SUMIFS($X$2:X138,$A$2:A138,A139,$B$2:B138,B139)))</x:f>
        <x:v>0</x:v>
      </x:c>
      <x:c r="Q139" s="1" t="str">
        <x:v>Received history</x:v>
      </x:c>
      <x:c r="R139" s="1" t="str">
        <x:v>Receipts data film c400 c800 plastic.csv</x:v>
      </x:c>
      <x:c r="S139" s="12" t="n">
        <x:f>IF(O139=1,I139*J139,0)</x:f>
        <x:v>0</x:v>
      </x:c>
      <x:c r="T139" s="13" t="n">
        <x:f>IF(L139&gt;0,K139/L139,"n.a.")</x:f>
        <x:v>0.11699999999999999</x:v>
      </x:c>
      <x:c r="U139" s="12" t="n">
        <x:f>IF(Q139="Old cost",S139,0)</x:f>
        <x:v>0</x:v>
      </x:c>
      <x:c r="V139" s="12" t="n">
        <x:f>IF(Q139="Higher cost",S139,0)</x:f>
        <x:v>0</x:v>
      </x:c>
      <x:c r="W139" s="12" t="n">
        <x:f>IF(Q139="Unclassified",S139,0)</x:f>
        <x:v>0</x:v>
      </x:c>
      <x:c r="X139" s="12" t="n">
        <x:f>IF(AND(ISNUMBER(F139),F139&gt;0,F139&lt;=Summary!$D$5,H139&gt;0),H139*J139,0)</x:f>
        <x:v>160000</x:v>
      </x:c>
    </x:row>
    <x:row r="140" ht="21" customHeight="1">
      <x:c r="A140" s="1" t="str">
        <x:v>60</x:v>
      </x:c>
      <x:c r="B140" s="1" t="str">
        <x:v>800BBLKDSC</x:v>
      </x:c>
      <x:c r="C140" s="1" t="str">
        <x:v>6102859</x:v>
      </x:c>
      <x:c r="D140" s="1" t="str">
        <x:v>0</x:v>
      </x:c>
      <x:c r="E140" s="1"/>
      <x:c r="F140" s="7" t="n">
        <x:v>45953</x:v>
      </x:c>
      <x:c r="G140" s="7" t="n">
        <x:v>45954</x:v>
      </x:c>
      <x:c r="H140" s="8" t="n">
        <x:v>20000</x:v>
      </x:c>
      <x:c r="I140" s="8"/>
      <x:c r="J140" s="8" t="n">
        <x:v>1</x:v>
      </x:c>
      <x:c r="K140" s="9" t="n">
        <x:v>31.73</x:v>
      </x:c>
      <x:c r="L140" s="8" t="n">
        <x:v>100</x:v>
      </x:c>
      <x:c r="M140" s="10" t="n">
        <x:v>6120</x:v>
      </x:c>
      <x:c r="N140" s="8" t="str">
        <x:v>i</x:v>
      </x:c>
      <x:c r="O140" s="8" t="n">
        <x:v>0</x:v>
      </x:c>
      <x:c r="P140" s="11" t="n">
        <x:f>MIN(X140,MAX(0,SUMIFS('Current inventory'!$D$2:$D$127,'Current inventory'!$A$2:$A$127,A140,'Current inventory'!$B$2:$B$127,B140)-SUMIFS($X$2:X139,$A$2:A139,A140,$B$2:B139,B140)))</x:f>
        <x:v>0</x:v>
      </x:c>
      <x:c r="Q140" s="1" t="str">
        <x:v>Received history</x:v>
      </x:c>
      <x:c r="R140" s="1" t="str">
        <x:v>Receipts data film c400 c800 plastic.csv</x:v>
      </x:c>
      <x:c r="S140" s="12" t="n">
        <x:f>IF(O140=1,I140*J140,0)</x:f>
        <x:v>0</x:v>
      </x:c>
      <x:c r="T140" s="13" t="n">
        <x:f>IF(L140&gt;0,K140/L140,"n.a.")</x:f>
        <x:v>0.3173</x:v>
      </x:c>
      <x:c r="U140" s="12" t="n">
        <x:f>IF(Q140="Old cost",S140,0)</x:f>
        <x:v>0</x:v>
      </x:c>
      <x:c r="V140" s="12" t="n">
        <x:f>IF(Q140="Higher cost",S140,0)</x:f>
        <x:v>0</x:v>
      </x:c>
      <x:c r="W140" s="12" t="n">
        <x:f>IF(Q140="Unclassified",S140,0)</x:f>
        <x:v>0</x:v>
      </x:c>
      <x:c r="X140" s="12" t="n">
        <x:f>IF(AND(ISNUMBER(F140),F140&gt;0,F140&lt;=Summary!$D$5,H140&gt;0),H140*J140,0)</x:f>
        <x:v>20000</x:v>
      </x:c>
    </x:row>
    <x:row r="141" ht="21" customHeight="1">
      <x:c r="A141" s="1" t="str">
        <x:v>60</x:v>
      </x:c>
      <x:c r="B141" s="1" t="str">
        <x:v>800BBLKISC</x:v>
      </x:c>
      <x:c r="C141" s="1" t="str">
        <x:v>6102859</x:v>
      </x:c>
      <x:c r="D141" s="1" t="str">
        <x:v>0</x:v>
      </x:c>
      <x:c r="E141" s="1"/>
      <x:c r="F141" s="7" t="n">
        <x:v>45953</x:v>
      </x:c>
      <x:c r="G141" s="7" t="n">
        <x:v>45954</x:v>
      </x:c>
      <x:c r="H141" s="8" t="n">
        <x:v>20800</x:v>
      </x:c>
      <x:c r="I141" s="8"/>
      <x:c r="J141" s="8" t="n">
        <x:v>1</x:v>
      </x:c>
      <x:c r="K141" s="9" t="n">
        <x:v>15.35</x:v>
      </x:c>
      <x:c r="L141" s="8" t="n">
        <x:v>100</x:v>
      </x:c>
      <x:c r="M141" s="10" t="n">
        <x:v>3236.48</x:v>
      </x:c>
      <x:c r="N141" s="8" t="str">
        <x:v>i</x:v>
      </x:c>
      <x:c r="O141" s="8" t="n">
        <x:v>0</x:v>
      </x:c>
      <x:c r="P141" s="11" t="n">
        <x:f>MIN(X141,MAX(0,SUMIFS('Current inventory'!$D$2:$D$127,'Current inventory'!$A$2:$A$127,A141,'Current inventory'!$B$2:$B$127,B141)-SUMIFS($X$2:X140,$A$2:A140,A141,$B$2:B140,B141)))</x:f>
        <x:v>0</x:v>
      </x:c>
      <x:c r="Q141" s="1" t="str">
        <x:v>Received history</x:v>
      </x:c>
      <x:c r="R141" s="1" t="str">
        <x:v>Receipts data film c400 c800 plastic.csv</x:v>
      </x:c>
      <x:c r="S141" s="12" t="n">
        <x:f>IF(O141=1,I141*J141,0)</x:f>
        <x:v>0</x:v>
      </x:c>
      <x:c r="T141" s="13" t="n">
        <x:f>IF(L141&gt;0,K141/L141,"n.a.")</x:f>
        <x:v>0.1535</x:v>
      </x:c>
      <x:c r="U141" s="12" t="n">
        <x:f>IF(Q141="Old cost",S141,0)</x:f>
        <x:v>0</x:v>
      </x:c>
      <x:c r="V141" s="12" t="n">
        <x:f>IF(Q141="Higher cost",S141,0)</x:f>
        <x:v>0</x:v>
      </x:c>
      <x:c r="W141" s="12" t="n">
        <x:f>IF(Q141="Unclassified",S141,0)</x:f>
        <x:v>0</x:v>
      </x:c>
      <x:c r="X141" s="12" t="n">
        <x:f>IF(AND(ISNUMBER(F141),F141&gt;0,F141&lt;=Summary!$D$5,H141&gt;0),H141*J141,0)</x:f>
        <x:v>20800</x:v>
      </x:c>
    </x:row>
    <x:row r="142" ht="21" customHeight="1">
      <x:c r="A142" s="1" t="str">
        <x:v>60</x:v>
      </x:c>
      <x:c r="B142" s="1" t="str">
        <x:v>800BNAVASC</x:v>
      </x:c>
      <x:c r="C142" s="1" t="str">
        <x:v>6102859</x:v>
      </x:c>
      <x:c r="D142" s="1" t="str">
        <x:v>0</x:v>
      </x:c>
      <x:c r="E142" s="1"/>
      <x:c r="F142" s="7" t="n">
        <x:v>45953</x:v>
      </x:c>
      <x:c r="G142" s="7" t="n">
        <x:v>45954</x:v>
      </x:c>
      <x:c r="H142" s="8" t="n">
        <x:v>0</x:v>
      </x:c>
      <x:c r="I142" s="8"/>
      <x:c r="J142" s="8" t="n">
        <x:v>1</x:v>
      </x:c>
      <x:c r="K142" s="9" t="n">
        <x:v>14.43</x:v>
      </x:c>
      <x:c r="L142" s="8" t="n">
        <x:v>100</x:v>
      </x:c>
      <x:c r="M142" s="10" t="n">
        <x:v>0</x:v>
      </x:c>
      <x:c r="N142" s="8" t="str">
        <x:v>i</x:v>
      </x:c>
      <x:c r="O142" s="8" t="n">
        <x:v>0</x:v>
      </x:c>
      <x:c r="P142" s="11" t="n">
        <x:f>MIN(X142,MAX(0,SUMIFS('Current inventory'!$D$2:$D$127,'Current inventory'!$A$2:$A$127,A142,'Current inventory'!$B$2:$B$127,B142)-SUMIFS($X$2:X141,$A$2:A141,A142,$B$2:B141,B142)))</x:f>
        <x:v>0</x:v>
      </x:c>
      <x:c r="Q142" s="1" t="str">
        <x:v>Received history</x:v>
      </x:c>
      <x:c r="R142" s="1" t="str">
        <x:v>Receipts data film c400 c800 plastic.csv</x:v>
      </x:c>
      <x:c r="S142" s="12" t="n">
        <x:f>IF(O142=1,I142*J142,0)</x:f>
        <x:v>0</x:v>
      </x:c>
      <x:c r="T142" s="13" t="n">
        <x:f>IF(L142&gt;0,K142/L142,"n.a.")</x:f>
        <x:v>0.14429999999999998</x:v>
      </x:c>
      <x:c r="U142" s="12" t="n">
        <x:f>IF(Q142="Old cost",S142,0)</x:f>
        <x:v>0</x:v>
      </x:c>
      <x:c r="V142" s="12" t="n">
        <x:f>IF(Q142="Higher cost",S142,0)</x:f>
        <x:v>0</x:v>
      </x:c>
      <x:c r="W142" s="12" t="n">
        <x:f>IF(Q142="Unclassified",S142,0)</x:f>
        <x:v>0</x:v>
      </x:c>
      <x:c r="X142" s="12" t="n">
        <x:f>IF(AND(ISNUMBER(F142),F142&gt;0,F142&lt;=Summary!$D$5,H142&gt;0),H142*J142,0)</x:f>
        <x:v>0</x:v>
      </x:c>
    </x:row>
    <x:row r="143" ht="21" customHeight="1">
      <x:c r="A143" s="1" t="str">
        <x:v>60</x:v>
      </x:c>
      <x:c r="B143" s="1" t="str">
        <x:v>800NAVE</x:v>
      </x:c>
      <x:c r="C143" s="1" t="str">
        <x:v>6102859</x:v>
      </x:c>
      <x:c r="D143" s="1" t="str">
        <x:v>0</x:v>
      </x:c>
      <x:c r="E143" s="1"/>
      <x:c r="F143" s="7" t="n">
        <x:v>45953</x:v>
      </x:c>
      <x:c r="G143" s="7" t="n">
        <x:v>45954</x:v>
      </x:c>
      <x:c r="H143" s="8" t="n">
        <x:v>0</x:v>
      </x:c>
      <x:c r="I143" s="8"/>
      <x:c r="J143" s="8" t="n">
        <x:v>1</x:v>
      </x:c>
      <x:c r="K143" s="9" t="n">
        <x:v>993.6</x:v>
      </x:c>
      <x:c r="L143" s="8" t="n">
        <x:v>1000</x:v>
      </x:c>
      <x:c r="M143" s="10" t="n">
        <x:v>0</x:v>
      </x:c>
      <x:c r="N143" s="8" t="str">
        <x:v>i</x:v>
      </x:c>
      <x:c r="O143" s="8" t="n">
        <x:v>0</x:v>
      </x:c>
      <x:c r="P143" s="11" t="n">
        <x:f>MIN(X143,MAX(0,SUMIFS('Current inventory'!$D$2:$D$127,'Current inventory'!$A$2:$A$127,A143,'Current inventory'!$B$2:$B$127,B143)-SUMIFS($X$2:X142,$A$2:A142,A143,$B$2:B142,B143)))</x:f>
        <x:v>0</x:v>
      </x:c>
      <x:c r="Q143" s="1" t="str">
        <x:v>Received history</x:v>
      </x:c>
      <x:c r="R143" s="1" t="str">
        <x:v>Receipts data film c400 c800 plastic.csv</x:v>
      </x:c>
      <x:c r="S143" s="12" t="n">
        <x:f>IF(O143=1,I143*J143,0)</x:f>
        <x:v>0</x:v>
      </x:c>
      <x:c r="T143" s="13" t="n">
        <x:f>IF(L143&gt;0,K143/L143,"n.a.")</x:f>
        <x:v>0.9936</x:v>
      </x:c>
      <x:c r="U143" s="12" t="n">
        <x:f>IF(Q143="Old cost",S143,0)</x:f>
        <x:v>0</x:v>
      </x:c>
      <x:c r="V143" s="12" t="n">
        <x:f>IF(Q143="Higher cost",S143,0)</x:f>
        <x:v>0</x:v>
      </x:c>
      <x:c r="W143" s="12" t="n">
        <x:f>IF(Q143="Unclassified",S143,0)</x:f>
        <x:v>0</x:v>
      </x:c>
      <x:c r="X143" s="12" t="n">
        <x:f>IF(AND(ISNUMBER(F143),F143&gt;0,F143&lt;=Summary!$D$5,H143&gt;0),H143*J143,0)</x:f>
        <x:v>0</x:v>
      </x:c>
    </x:row>
    <x:row r="144" ht="21" customHeight="1">
      <x:c r="A144" s="1" t="str">
        <x:v>10</x:v>
      </x:c>
      <x:c r="B144" s="1" t="str">
        <x:v>800BBLKASC</x:v>
      </x:c>
      <x:c r="C144" s="1" t="str">
        <x:v>1059004</x:v>
      </x:c>
      <x:c r="D144" s="1" t="str">
        <x:v>1</x:v>
      </x:c>
      <x:c r="E144" s="1"/>
      <x:c r="F144" s="7" t="n">
        <x:v>45926</x:v>
      </x:c>
      <x:c r="G144" s="7" t="n">
        <x:v>45926</x:v>
      </x:c>
      <x:c r="H144" s="8" t="n">
        <x:v>240000</x:v>
      </x:c>
      <x:c r="I144" s="8"/>
      <x:c r="J144" s="8" t="n">
        <x:v>1</x:v>
      </x:c>
      <x:c r="K144" s="9" t="n">
        <x:v>11.7</x:v>
      </x:c>
      <x:c r="L144" s="8" t="n">
        <x:v>100</x:v>
      </x:c>
      <x:c r="M144" s="10" t="n">
        <x:v>28632</x:v>
      </x:c>
      <x:c r="N144" s="8" t="str">
        <x:v>i</x:v>
      </x:c>
      <x:c r="O144" s="8" t="n">
        <x:v>0</x:v>
      </x:c>
      <x:c r="P144" s="11" t="n">
        <x:f>MIN(X144,MAX(0,SUMIFS('Current inventory'!$D$2:$D$127,'Current inventory'!$A$2:$A$127,A144,'Current inventory'!$B$2:$B$127,B144)-SUMIFS($X$2:X143,$A$2:A143,A144,$B$2:B143,B144)))</x:f>
        <x:v>0</x:v>
      </x:c>
      <x:c r="Q144" s="1" t="str">
        <x:v>Received history</x:v>
      </x:c>
      <x:c r="R144" s="1" t="str">
        <x:v>Receipts data film c400 c800 plastic.csv</x:v>
      </x:c>
      <x:c r="S144" s="12" t="n">
        <x:f>IF(O144=1,I144*J144,0)</x:f>
        <x:v>0</x:v>
      </x:c>
      <x:c r="T144" s="13" t="n">
        <x:f>IF(L144&gt;0,K144/L144,"n.a.")</x:f>
        <x:v>0.11699999999999999</x:v>
      </x:c>
      <x:c r="U144" s="12" t="n">
        <x:f>IF(Q144="Old cost",S144,0)</x:f>
        <x:v>0</x:v>
      </x:c>
      <x:c r="V144" s="12" t="n">
        <x:f>IF(Q144="Higher cost",S144,0)</x:f>
        <x:v>0</x:v>
      </x:c>
      <x:c r="W144" s="12" t="n">
        <x:f>IF(Q144="Unclassified",S144,0)</x:f>
        <x:v>0</x:v>
      </x:c>
      <x:c r="X144" s="12" t="n">
        <x:f>IF(AND(ISNUMBER(F144),F144&gt;0,F144&lt;=Summary!$D$5,H144&gt;0),H144*J144,0)</x:f>
        <x:v>240000</x:v>
      </x:c>
    </x:row>
    <x:row r="145" ht="21" customHeight="1">
      <x:c r="A145" s="1" t="str">
        <x:v>10</x:v>
      </x:c>
      <x:c r="B145" s="1" t="str">
        <x:v>800BLKE</x:v>
      </x:c>
      <x:c r="C145" s="1" t="str">
        <x:v>1059004</x:v>
      </x:c>
      <x:c r="D145" s="1" t="str">
        <x:v>1</x:v>
      </x:c>
      <x:c r="E145" s="1"/>
      <x:c r="F145" s="7" t="n">
        <x:v>45926</x:v>
      </x:c>
      <x:c r="G145" s="7" t="n">
        <x:v>45926</x:v>
      </x:c>
      <x:c r="H145" s="8" t="n">
        <x:v>10000</x:v>
      </x:c>
      <x:c r="I145" s="8"/>
      <x:c r="J145" s="8" t="n">
        <x:v>1</x:v>
      </x:c>
      <x:c r="K145" s="9" t="n">
        <x:v>861.1</x:v>
      </x:c>
      <x:c r="L145" s="8" t="n">
        <x:v>1000</x:v>
      </x:c>
      <x:c r="M145" s="10" t="n">
        <x:v>8116.5</x:v>
      </x:c>
      <x:c r="N145" s="8" t="str">
        <x:v>i</x:v>
      </x:c>
      <x:c r="O145" s="8" t="n">
        <x:v>0</x:v>
      </x:c>
      <x:c r="P145" s="11" t="n">
        <x:f>MIN(X145,MAX(0,SUMIFS('Current inventory'!$D$2:$D$127,'Current inventory'!$A$2:$A$127,A145,'Current inventory'!$B$2:$B$127,B145)-SUMIFS($X$2:X144,$A$2:A144,A145,$B$2:B144,B145)))</x:f>
        <x:v>0</x:v>
      </x:c>
      <x:c r="Q145" s="1" t="str">
        <x:v>Received history</x:v>
      </x:c>
      <x:c r="R145" s="1" t="str">
        <x:v>Receipts data film c400 c800 plastic.csv</x:v>
      </x:c>
      <x:c r="S145" s="12" t="n">
        <x:f>IF(O145=1,I145*J145,0)</x:f>
        <x:v>0</x:v>
      </x:c>
      <x:c r="T145" s="13" t="n">
        <x:f>IF(L145&gt;0,K145/L145,"n.a.")</x:f>
        <x:v>0.8611</x:v>
      </x:c>
      <x:c r="U145" s="12" t="n">
        <x:f>IF(Q145="Old cost",S145,0)</x:f>
        <x:v>0</x:v>
      </x:c>
      <x:c r="V145" s="12" t="n">
        <x:f>IF(Q145="Higher cost",S145,0)</x:f>
        <x:v>0</x:v>
      </x:c>
      <x:c r="W145" s="12" t="n">
        <x:f>IF(Q145="Unclassified",S145,0)</x:f>
        <x:v>0</x:v>
      </x:c>
      <x:c r="X145" s="12" t="n">
        <x:f>IF(AND(ISNUMBER(F145),F145&gt;0,F145&lt;=Summary!$D$5,H145&gt;0),H145*J145,0)</x:f>
        <x:v>10000</x:v>
      </x:c>
    </x:row>
    <x:row r="146" ht="21" customHeight="1">
      <x:c r="A146" s="1" t="str">
        <x:v>10</x:v>
      </x:c>
      <x:c r="B146" s="1" t="str">
        <x:v>800BBLKASC</x:v>
      </x:c>
      <x:c r="C146" s="1" t="str">
        <x:v>1059004</x:v>
      </x:c>
      <x:c r="D146" s="1" t="str">
        <x:v>0</x:v>
      </x:c>
      <x:c r="E146" s="1"/>
      <x:c r="F146" s="7" t="n">
        <x:v>45916</x:v>
      </x:c>
      <x:c r="G146" s="7" t="n">
        <x:v>45926</x:v>
      </x:c>
      <x:c r="H146" s="8" t="n">
        <x:v>240000</x:v>
      </x:c>
      <x:c r="I146" s="8"/>
      <x:c r="J146" s="8" t="n">
        <x:v>1</x:v>
      </x:c>
      <x:c r="K146" s="9" t="n">
        <x:v>11.7</x:v>
      </x:c>
      <x:c r="L146" s="8" t="n">
        <x:v>100</x:v>
      </x:c>
      <x:c r="M146" s="10" t="n">
        <x:v>28632</x:v>
      </x:c>
      <x:c r="N146" s="8" t="str">
        <x:v>i</x:v>
      </x:c>
      <x:c r="O146" s="8" t="n">
        <x:v>0</x:v>
      </x:c>
      <x:c r="P146" s="11" t="n">
        <x:f>MIN(X146,MAX(0,SUMIFS('Current inventory'!$D$2:$D$127,'Current inventory'!$A$2:$A$127,A146,'Current inventory'!$B$2:$B$127,B146)-SUMIFS($X$2:X145,$A$2:A145,A146,$B$2:B145,B146)))</x:f>
        <x:v>0</x:v>
      </x:c>
      <x:c r="Q146" s="1" t="str">
        <x:v>Received history</x:v>
      </x:c>
      <x:c r="R146" s="1" t="str">
        <x:v>Receipts data film c400 c800 plastic.csv</x:v>
      </x:c>
      <x:c r="S146" s="12" t="n">
        <x:f>IF(O146=1,I146*J146,0)</x:f>
        <x:v>0</x:v>
      </x:c>
      <x:c r="T146" s="13" t="n">
        <x:f>IF(L146&gt;0,K146/L146,"n.a.")</x:f>
        <x:v>0.11699999999999999</x:v>
      </x:c>
      <x:c r="U146" s="12" t="n">
        <x:f>IF(Q146="Old cost",S146,0)</x:f>
        <x:v>0</x:v>
      </x:c>
      <x:c r="V146" s="12" t="n">
        <x:f>IF(Q146="Higher cost",S146,0)</x:f>
        <x:v>0</x:v>
      </x:c>
      <x:c r="W146" s="12" t="n">
        <x:f>IF(Q146="Unclassified",S146,0)</x:f>
        <x:v>0</x:v>
      </x:c>
      <x:c r="X146" s="12" t="n">
        <x:f>IF(AND(ISNUMBER(F146),F146&gt;0,F146&lt;=Summary!$D$5,H146&gt;0),H146*J146,0)</x:f>
        <x:v>240000</x:v>
      </x:c>
    </x:row>
    <x:row r="147" ht="21" customHeight="1">
      <x:c r="A147" s="1" t="str">
        <x:v>10</x:v>
      </x:c>
      <x:c r="B147" s="1" t="str">
        <x:v>800BLKE</x:v>
      </x:c>
      <x:c r="C147" s="1" t="str">
        <x:v>1059004</x:v>
      </x:c>
      <x:c r="D147" s="1" t="str">
        <x:v>0</x:v>
      </x:c>
      <x:c r="E147" s="1"/>
      <x:c r="F147" s="7" t="n">
        <x:v>45916</x:v>
      </x:c>
      <x:c r="G147" s="7" t="n">
        <x:v>45926</x:v>
      </x:c>
      <x:c r="H147" s="8" t="n">
        <x:v>0</x:v>
      </x:c>
      <x:c r="I147" s="8"/>
      <x:c r="J147" s="8" t="n">
        <x:v>1</x:v>
      </x:c>
      <x:c r="K147" s="9" t="n">
        <x:v>861.1</x:v>
      </x:c>
      <x:c r="L147" s="8" t="n">
        <x:v>1000</x:v>
      </x:c>
      <x:c r="M147" s="10" t="n">
        <x:v>0</x:v>
      </x:c>
      <x:c r="N147" s="8" t="str">
        <x:v>i</x:v>
      </x:c>
      <x:c r="O147" s="8" t="n">
        <x:v>0</x:v>
      </x:c>
      <x:c r="P147" s="11" t="n">
        <x:f>MIN(X147,MAX(0,SUMIFS('Current inventory'!$D$2:$D$127,'Current inventory'!$A$2:$A$127,A147,'Current inventory'!$B$2:$B$127,B147)-SUMIFS($X$2:X146,$A$2:A146,A147,$B$2:B146,B147)))</x:f>
        <x:v>0</x:v>
      </x:c>
      <x:c r="Q147" s="1" t="str">
        <x:v>Received history</x:v>
      </x:c>
      <x:c r="R147" s="1" t="str">
        <x:v>Receipts data film c400 c800 plastic.csv</x:v>
      </x:c>
      <x:c r="S147" s="12" t="n">
        <x:f>IF(O147=1,I147*J147,0)</x:f>
        <x:v>0</x:v>
      </x:c>
      <x:c r="T147" s="13" t="n">
        <x:f>IF(L147&gt;0,K147/L147,"n.a.")</x:f>
        <x:v>0.8611</x:v>
      </x:c>
      <x:c r="U147" s="12" t="n">
        <x:f>IF(Q147="Old cost",S147,0)</x:f>
        <x:v>0</x:v>
      </x:c>
      <x:c r="V147" s="12" t="n">
        <x:f>IF(Q147="Higher cost",S147,0)</x:f>
        <x:v>0</x:v>
      </x:c>
      <x:c r="W147" s="12" t="n">
        <x:f>IF(Q147="Unclassified",S147,0)</x:f>
        <x:v>0</x:v>
      </x:c>
      <x:c r="X147" s="12" t="n">
        <x:f>IF(AND(ISNUMBER(F147),F147&gt;0,F147&lt;=Summary!$D$5,H147&gt;0),H147*J147,0)</x:f>
        <x:v>0</x:v>
      </x:c>
    </x:row>
    <x:row r="148" ht="21" customHeight="1">
      <x:c r="A148" s="1" t="str">
        <x:v>60</x:v>
      </x:c>
      <x:c r="B148" s="1" t="str">
        <x:v>800BBLKASC</x:v>
      </x:c>
      <x:c r="C148" s="1" t="str">
        <x:v>6102846</x:v>
      </x:c>
      <x:c r="D148" s="1" t="str">
        <x:v>0</x:v>
      </x:c>
      <x:c r="E148" s="1"/>
      <x:c r="F148" s="7" t="n">
        <x:v>45915</x:v>
      </x:c>
      <x:c r="G148" s="7" t="n">
        <x:v>45916</x:v>
      </x:c>
      <x:c r="H148" s="8" t="n">
        <x:v>240000</x:v>
      </x:c>
      <x:c r="I148" s="8"/>
      <x:c r="J148" s="8" t="n">
        <x:v>1</x:v>
      </x:c>
      <x:c r="K148" s="9" t="n">
        <x:v>11.7</x:v>
      </x:c>
      <x:c r="L148" s="8" t="n">
        <x:v>100</x:v>
      </x:c>
      <x:c r="M148" s="10" t="n">
        <x:v>28632</x:v>
      </x:c>
      <x:c r="N148" s="8" t="str">
        <x:v>i</x:v>
      </x:c>
      <x:c r="O148" s="8" t="n">
        <x:v>0</x:v>
      </x:c>
      <x:c r="P148" s="11" t="n">
        <x:f>MIN(X148,MAX(0,SUMIFS('Current inventory'!$D$2:$D$127,'Current inventory'!$A$2:$A$127,A148,'Current inventory'!$B$2:$B$127,B148)-SUMIFS($X$2:X147,$A$2:A147,A148,$B$2:B147,B148)))</x:f>
        <x:v>0</x:v>
      </x:c>
      <x:c r="Q148" s="1" t="str">
        <x:v>Received history</x:v>
      </x:c>
      <x:c r="R148" s="1" t="str">
        <x:v>Receipts data film c400 c800 plastic.csv</x:v>
      </x:c>
      <x:c r="S148" s="12" t="n">
        <x:f>IF(O148=1,I148*J148,0)</x:f>
        <x:v>0</x:v>
      </x:c>
      <x:c r="T148" s="13" t="n">
        <x:f>IF(L148&gt;0,K148/L148,"n.a.")</x:f>
        <x:v>0.11699999999999999</x:v>
      </x:c>
      <x:c r="U148" s="12" t="n">
        <x:f>IF(Q148="Old cost",S148,0)</x:f>
        <x:v>0</x:v>
      </x:c>
      <x:c r="V148" s="12" t="n">
        <x:f>IF(Q148="Higher cost",S148,0)</x:f>
        <x:v>0</x:v>
      </x:c>
      <x:c r="W148" s="12" t="n">
        <x:f>IF(Q148="Unclassified",S148,0)</x:f>
        <x:v>0</x:v>
      </x:c>
      <x:c r="X148" s="12" t="n">
        <x:f>IF(AND(ISNUMBER(F148),F148&gt;0,F148&lt;=Summary!$D$5,H148&gt;0),H148*J148,0)</x:f>
        <x:v>240000</x:v>
      </x:c>
    </x:row>
    <x:row r="149" ht="21" customHeight="1">
      <x:c r="A149" s="1" t="str">
        <x:v>10</x:v>
      </x:c>
      <x:c r="B149" s="1" t="str">
        <x:v>800BBLKASC</x:v>
      </x:c>
      <x:c r="C149" s="1" t="str">
        <x:v>1058612</x:v>
      </x:c>
      <x:c r="D149" s="1" t="str">
        <x:v>0</x:v>
      </x:c>
      <x:c r="E149" s="1"/>
      <x:c r="F149" s="7" t="n">
        <x:v>45810</x:v>
      </x:c>
      <x:c r="G149" s="7" t="n">
        <x:v>45811</x:v>
      </x:c>
      <x:c r="H149" s="8" t="n">
        <x:v>480000</x:v>
      </x:c>
      <x:c r="I149" s="8"/>
      <x:c r="J149" s="8" t="n">
        <x:v>1</x:v>
      </x:c>
      <x:c r="K149" s="9" t="n">
        <x:v>11.36</x:v>
      </x:c>
      <x:c r="L149" s="8" t="n">
        <x:v>100</x:v>
      </x:c>
      <x:c r="M149" s="10" t="n">
        <x:v>53280</x:v>
      </x:c>
      <x:c r="N149" s="8" t="str">
        <x:v>i</x:v>
      </x:c>
      <x:c r="O149" s="8" t="n">
        <x:v>0</x:v>
      </x:c>
      <x:c r="P149" s="11" t="n">
        <x:f>MIN(X149,MAX(0,SUMIFS('Current inventory'!$D$2:$D$127,'Current inventory'!$A$2:$A$127,A149,'Current inventory'!$B$2:$B$127,B149)-SUMIFS($X$2:X148,$A$2:A148,A149,$B$2:B148,B149)))</x:f>
        <x:v>0</x:v>
      </x:c>
      <x:c r="Q149" s="1" t="str">
        <x:v>Received history</x:v>
      </x:c>
      <x:c r="R149" s="1" t="str">
        <x:v>Receipts data film c400 c800 plastic.csv</x:v>
      </x:c>
      <x:c r="S149" s="12" t="n">
        <x:f>IF(O149=1,I149*J149,0)</x:f>
        <x:v>0</x:v>
      </x:c>
      <x:c r="T149" s="13" t="n">
        <x:f>IF(L149&gt;0,K149/L149,"n.a.")</x:f>
        <x:v>0.11359999999999999</x:v>
      </x:c>
      <x:c r="U149" s="12" t="n">
        <x:f>IF(Q149="Old cost",S149,0)</x:f>
        <x:v>0</x:v>
      </x:c>
      <x:c r="V149" s="12" t="n">
        <x:f>IF(Q149="Higher cost",S149,0)</x:f>
        <x:v>0</x:v>
      </x:c>
      <x:c r="W149" s="12" t="n">
        <x:f>IF(Q149="Unclassified",S149,0)</x:f>
        <x:v>0</x:v>
      </x:c>
      <x:c r="X149" s="12" t="n">
        <x:f>IF(AND(ISNUMBER(F149),F149&gt;0,F149&lt;=Summary!$D$5,H149&gt;0),H149*J149,0)</x:f>
        <x:v>480000</x:v>
      </x:c>
    </x:row>
    <x:row r="150" ht="21" customHeight="1">
      <x:c r="A150" s="1" t="str">
        <x:v>10</x:v>
      </x:c>
      <x:c r="B150" s="1" t="str">
        <x:v>800MARE</x:v>
      </x:c>
      <x:c r="C150" s="1" t="str">
        <x:v>1058612</x:v>
      </x:c>
      <x:c r="D150" s="1" t="str">
        <x:v>0</x:v>
      </x:c>
      <x:c r="E150" s="1"/>
      <x:c r="F150" s="7" t="n">
        <x:v>45810</x:v>
      </x:c>
      <x:c r="G150" s="7" t="n">
        <x:v>45811</x:v>
      </x:c>
      <x:c r="H150" s="8" t="n">
        <x:v>2500</x:v>
      </x:c>
      <x:c r="I150" s="8"/>
      <x:c r="J150" s="8" t="n">
        <x:v>1</x:v>
      </x:c>
      <x:c r="K150" s="9" t="n">
        <x:v>1194</x:v>
      </x:c>
      <x:c r="L150" s="8" t="n">
        <x:v>1000</x:v>
      </x:c>
      <x:c r="M150" s="10" t="n">
        <x:v>2610</x:v>
      </x:c>
      <x:c r="N150" s="8" t="str">
        <x:v>i</x:v>
      </x:c>
      <x:c r="O150" s="8" t="n">
        <x:v>0</x:v>
      </x:c>
      <x:c r="P150" s="11" t="n">
        <x:f>MIN(X150,MAX(0,SUMIFS('Current inventory'!$D$2:$D$127,'Current inventory'!$A$2:$A$127,A150,'Current inventory'!$B$2:$B$127,B150)-SUMIFS($X$2:X149,$A$2:A149,A150,$B$2:B149,B150)))</x:f>
        <x:v>1166</x:v>
      </x:c>
      <x:c r="Q150" s="1" t="str">
        <x:v>Received history</x:v>
      </x:c>
      <x:c r="R150" s="1" t="str">
        <x:v>Receipts data film c400 c800 plastic.csv</x:v>
      </x:c>
      <x:c r="S150" s="12" t="n">
        <x:f>IF(O150=1,I150*J150,0)</x:f>
        <x:v>0</x:v>
      </x:c>
      <x:c r="T150" s="13" t="n">
        <x:f>IF(L150&gt;0,K150/L150,"n.a.")</x:f>
        <x:v>1.194</x:v>
      </x:c>
      <x:c r="U150" s="12" t="n">
        <x:f>IF(Q150="Old cost",S150,0)</x:f>
        <x:v>0</x:v>
      </x:c>
      <x:c r="V150" s="12" t="n">
        <x:f>IF(Q150="Higher cost",S150,0)</x:f>
        <x:v>0</x:v>
      </x:c>
      <x:c r="W150" s="12" t="n">
        <x:f>IF(Q150="Unclassified",S150,0)</x:f>
        <x:v>0</x:v>
      </x:c>
      <x:c r="X150" s="12" t="n">
        <x:f>IF(AND(ISNUMBER(F150),F150&gt;0,F150&lt;=Summary!$D$5,H150&gt;0),H150*J150,0)</x:f>
        <x:v>2500</x:v>
      </x:c>
    </x:row>
    <x:row r="151" ht="21" customHeight="1">
      <x:c r="A151" s="1" t="str">
        <x:v>60</x:v>
      </x:c>
      <x:c r="B151" s="1" t="str">
        <x:v>800BBLKASC</x:v>
      </x:c>
      <x:c r="C151" s="1" t="str">
        <x:v>6102826</x:v>
      </x:c>
      <x:c r="D151" s="1" t="str">
        <x:v>0</x:v>
      </x:c>
      <x:c r="E151" s="1"/>
      <x:c r="F151" s="7" t="n">
        <x:v>45807</x:v>
      </x:c>
      <x:c r="G151" s="7" t="n">
        <x:v>45810</x:v>
      </x:c>
      <x:c r="H151" s="8" t="n">
        <x:v>120000</x:v>
      </x:c>
      <x:c r="I151" s="8"/>
      <x:c r="J151" s="8" t="n">
        <x:v>1</x:v>
      </x:c>
      <x:c r="K151" s="9" t="n">
        <x:v>11.36</x:v>
      </x:c>
      <x:c r="L151" s="8" t="n">
        <x:v>100</x:v>
      </x:c>
      <x:c r="M151" s="10" t="n">
        <x:v>13320</x:v>
      </x:c>
      <x:c r="N151" s="8" t="str">
        <x:v>i</x:v>
      </x:c>
      <x:c r="O151" s="8" t="n">
        <x:v>0</x:v>
      </x:c>
      <x:c r="P151" s="11" t="n">
        <x:f>MIN(X151,MAX(0,SUMIFS('Current inventory'!$D$2:$D$127,'Current inventory'!$A$2:$A$127,A151,'Current inventory'!$B$2:$B$127,B151)-SUMIFS($X$2:X150,$A$2:A150,A151,$B$2:B150,B151)))</x:f>
        <x:v>0</x:v>
      </x:c>
      <x:c r="Q151" s="1" t="str">
        <x:v>Received history</x:v>
      </x:c>
      <x:c r="R151" s="1" t="str">
        <x:v>Receipts data film c400 c800 plastic.csv</x:v>
      </x:c>
      <x:c r="S151" s="12" t="n">
        <x:f>IF(O151=1,I151*J151,0)</x:f>
        <x:v>0</x:v>
      </x:c>
      <x:c r="T151" s="13" t="n">
        <x:f>IF(L151&gt;0,K151/L151,"n.a.")</x:f>
        <x:v>0.11359999999999999</x:v>
      </x:c>
      <x:c r="U151" s="12" t="n">
        <x:f>IF(Q151="Old cost",S151,0)</x:f>
        <x:v>0</x:v>
      </x:c>
      <x:c r="V151" s="12" t="n">
        <x:f>IF(Q151="Higher cost",S151,0)</x:f>
        <x:v>0</x:v>
      </x:c>
      <x:c r="W151" s="12" t="n">
        <x:f>IF(Q151="Unclassified",S151,0)</x:f>
        <x:v>0</x:v>
      </x:c>
      <x:c r="X151" s="12" t="n">
        <x:f>IF(AND(ISNUMBER(F151),F151&gt;0,F151&lt;=Summary!$D$5,H151&gt;0),H151*J151,0)</x:f>
        <x:v>120000</x:v>
      </x:c>
    </x:row>
    <x:row r="152" ht="21" customHeight="1">
      <x:c r="A152" s="1" t="str">
        <x:v>10</x:v>
      </x:c>
      <x:c r="B152" s="1" t="str">
        <x:v>800BBLKASC</x:v>
      </x:c>
      <x:c r="C152" s="1" t="str">
        <x:v>1058057</x:v>
      </x:c>
      <x:c r="D152" s="1" t="str">
        <x:v>1</x:v>
      </x:c>
      <x:c r="E152" s="1"/>
      <x:c r="F152" s="7" t="n">
        <x:v>45699</x:v>
      </x:c>
      <x:c r="G152" s="7" t="n">
        <x:v>45701</x:v>
      </x:c>
      <x:c r="H152" s="8" t="n">
        <x:v>48600</x:v>
      </x:c>
      <x:c r="I152" s="8"/>
      <x:c r="J152" s="8" t="n">
        <x:v>1</x:v>
      </x:c>
      <x:c r="K152" s="9" t="n">
        <x:v>10.82</x:v>
      </x:c>
      <x:c r="L152" s="8" t="n">
        <x:v>100</x:v>
      </x:c>
      <x:c r="M152" s="10" t="n">
        <x:v>5394.6</x:v>
      </x:c>
      <x:c r="N152" s="8" t="str">
        <x:v>i</x:v>
      </x:c>
      <x:c r="O152" s="8" t="n">
        <x:v>0</x:v>
      </x:c>
      <x:c r="P152" s="11" t="n">
        <x:f>MIN(X152,MAX(0,SUMIFS('Current inventory'!$D$2:$D$127,'Current inventory'!$A$2:$A$127,A152,'Current inventory'!$B$2:$B$127,B152)-SUMIFS($X$2:X151,$A$2:A151,A152,$B$2:B151,B152)))</x:f>
        <x:v>0</x:v>
      </x:c>
      <x:c r="Q152" s="1" t="str">
        <x:v>Received history</x:v>
      </x:c>
      <x:c r="R152" s="1" t="str">
        <x:v>Receipts data film c400 c800 plastic.csv</x:v>
      </x:c>
      <x:c r="S152" s="12" t="n">
        <x:f>IF(O152=1,I152*J152,0)</x:f>
        <x:v>0</x:v>
      </x:c>
      <x:c r="T152" s="13" t="n">
        <x:f>IF(L152&gt;0,K152/L152,"n.a.")</x:f>
        <x:v>0.1082</x:v>
      </x:c>
      <x:c r="U152" s="12" t="n">
        <x:f>IF(Q152="Old cost",S152,0)</x:f>
        <x:v>0</x:v>
      </x:c>
      <x:c r="V152" s="12" t="n">
        <x:f>IF(Q152="Higher cost",S152,0)</x:f>
        <x:v>0</x:v>
      </x:c>
      <x:c r="W152" s="12" t="n">
        <x:f>IF(Q152="Unclassified",S152,0)</x:f>
        <x:v>0</x:v>
      </x:c>
      <x:c r="X152" s="12" t="n">
        <x:f>IF(AND(ISNUMBER(F152),F152&gt;0,F152&lt;=Summary!$D$5,H152&gt;0),H152*J152,0)</x:f>
        <x:v>48600</x:v>
      </x:c>
    </x:row>
    <x:row r="153" ht="21" customHeight="1">
      <x:c r="A153" s="1" t="str">
        <x:v>10</x:v>
      </x:c>
      <x:c r="B153" s="1" t="str">
        <x:v>800BBLKASC</x:v>
      </x:c>
      <x:c r="C153" s="1" t="str">
        <x:v>1058057</x:v>
      </x:c>
      <x:c r="D153" s="1" t="str">
        <x:v>0</x:v>
      </x:c>
      <x:c r="E153" s="1"/>
      <x:c r="F153" s="7" t="n">
        <x:v>45666</x:v>
      </x:c>
      <x:c r="G153" s="7" t="n">
        <x:v>45667</x:v>
      </x:c>
      <x:c r="H153" s="8" t="n">
        <x:v>311400</x:v>
      </x:c>
      <x:c r="I153" s="8"/>
      <x:c r="J153" s="8" t="n">
        <x:v>1</x:v>
      </x:c>
      <x:c r="K153" s="9" t="n">
        <x:v>10.82</x:v>
      </x:c>
      <x:c r="L153" s="8" t="n">
        <x:v>100</x:v>
      </x:c>
      <x:c r="M153" s="10" t="n">
        <x:v>34565.4</x:v>
      </x:c>
      <x:c r="N153" s="8" t="str">
        <x:v>i</x:v>
      </x:c>
      <x:c r="O153" s="8" t="n">
        <x:v>0</x:v>
      </x:c>
      <x:c r="P153" s="11" t="n">
        <x:f>MIN(X153,MAX(0,SUMIFS('Current inventory'!$D$2:$D$127,'Current inventory'!$A$2:$A$127,A153,'Current inventory'!$B$2:$B$127,B153)-SUMIFS($X$2:X152,$A$2:A152,A153,$B$2:B152,B153)))</x:f>
        <x:v>0</x:v>
      </x:c>
      <x:c r="Q153" s="1" t="str">
        <x:v>Received history</x:v>
      </x:c>
      <x:c r="R153" s="1" t="str">
        <x:v>Receipts data film c400 c800 plastic.csv</x:v>
      </x:c>
      <x:c r="S153" s="12" t="n">
        <x:f>IF(O153=1,I153*J153,0)</x:f>
        <x:v>0</x:v>
      </x:c>
      <x:c r="T153" s="13" t="n">
        <x:f>IF(L153&gt;0,K153/L153,"n.a.")</x:f>
        <x:v>0.1082</x:v>
      </x:c>
      <x:c r="U153" s="12" t="n">
        <x:f>IF(Q153="Old cost",S153,0)</x:f>
        <x:v>0</x:v>
      </x:c>
      <x:c r="V153" s="12" t="n">
        <x:f>IF(Q153="Higher cost",S153,0)</x:f>
        <x:v>0</x:v>
      </x:c>
      <x:c r="W153" s="12" t="n">
        <x:f>IF(Q153="Unclassified",S153,0)</x:f>
        <x:v>0</x:v>
      </x:c>
      <x:c r="X153" s="12" t="n">
        <x:f>IF(AND(ISNUMBER(F153),F153&gt;0,F153&lt;=Summary!$D$5,H153&gt;0),H153*J153,0)</x:f>
        <x:v>311400</x:v>
      </x:c>
    </x:row>
    <x:row r="154" ht="21" customHeight="1">
      <x:c r="A154" s="1" t="str">
        <x:v>60</x:v>
      </x:c>
      <x:c r="B154" s="1" t="str">
        <x:v>800BBLKASC</x:v>
      </x:c>
      <x:c r="C154" s="1" t="str">
        <x:v>6102799</x:v>
      </x:c>
      <x:c r="D154" s="1" t="str">
        <x:v>0</x:v>
      </x:c>
      <x:c r="E154" s="1"/>
      <x:c r="F154" s="7" t="n">
        <x:v>45664</x:v>
      </x:c>
      <x:c r="G154" s="7" t="n">
        <x:v>45667</x:v>
      </x:c>
      <x:c r="H154" s="8" t="n">
        <x:v>360000</x:v>
      </x:c>
      <x:c r="I154" s="8"/>
      <x:c r="J154" s="8" t="n">
        <x:v>1</x:v>
      </x:c>
      <x:c r="K154" s="9" t="n">
        <x:v>10.82</x:v>
      </x:c>
      <x:c r="L154" s="8" t="n">
        <x:v>100</x:v>
      </x:c>
      <x:c r="M154" s="10" t="n">
        <x:v>39960</x:v>
      </x:c>
      <x:c r="N154" s="8" t="str">
        <x:v>i</x:v>
      </x:c>
      <x:c r="O154" s="8" t="n">
        <x:v>0</x:v>
      </x:c>
      <x:c r="P154" s="11" t="n">
        <x:f>MIN(X154,MAX(0,SUMIFS('Current inventory'!$D$2:$D$127,'Current inventory'!$A$2:$A$127,A154,'Current inventory'!$B$2:$B$127,B154)-SUMIFS($X$2:X153,$A$2:A153,A154,$B$2:B153,B154)))</x:f>
        <x:v>0</x:v>
      </x:c>
      <x:c r="Q154" s="1" t="str">
        <x:v>Received history</x:v>
      </x:c>
      <x:c r="R154" s="1" t="str">
        <x:v>Receipts data film c400 c800 plastic.csv</x:v>
      </x:c>
      <x:c r="S154" s="12" t="n">
        <x:f>IF(O154=1,I154*J154,0)</x:f>
        <x:v>0</x:v>
      </x:c>
      <x:c r="T154" s="13" t="n">
        <x:f>IF(L154&gt;0,K154/L154,"n.a.")</x:f>
        <x:v>0.1082</x:v>
      </x:c>
      <x:c r="U154" s="12" t="n">
        <x:f>IF(Q154="Old cost",S154,0)</x:f>
        <x:v>0</x:v>
      </x:c>
      <x:c r="V154" s="12" t="n">
        <x:f>IF(Q154="Higher cost",S154,0)</x:f>
        <x:v>0</x:v>
      </x:c>
      <x:c r="W154" s="12" t="n">
        <x:f>IF(Q154="Unclassified",S154,0)</x:f>
        <x:v>0</x:v>
      </x:c>
      <x:c r="X154" s="12" t="n">
        <x:f>IF(AND(ISNUMBER(F154),F154&gt;0,F154&lt;=Summary!$D$5,H154&gt;0),H154*J154,0)</x:f>
        <x:v>360000</x:v>
      </x:c>
    </x:row>
    <x:row r="155" ht="21" customHeight="1">
      <x:c r="A155" s="1" t="str">
        <x:v>60</x:v>
      </x:c>
      <x:c r="B155" s="1" t="str">
        <x:v>800BLKE</x:v>
      </x:c>
      <x:c r="C155" s="1" t="str">
        <x:v>6102753</x:v>
      </x:c>
      <x:c r="D155" s="1" t="str">
        <x:v>1</x:v>
      </x:c>
      <x:c r="E155" s="1"/>
      <x:c r="F155" s="7" t="n">
        <x:v>45401</x:v>
      </x:c>
      <x:c r="G155" s="7" t="n">
        <x:v>45401</x:v>
      </x:c>
      <x:c r="H155" s="8" t="n">
        <x:v>3120</x:v>
      </x:c>
      <x:c r="I155" s="8"/>
      <x:c r="J155" s="8" t="n">
        <x:v>1</x:v>
      </x:c>
      <x:c r="K155" s="9" t="n">
        <x:v>773</x:v>
      </x:c>
      <x:c r="L155" s="8" t="n">
        <x:v>1000</x:v>
      </x:c>
      <x:c r="M155" s="10" t="n">
        <x:v>2577.12</x:v>
      </x:c>
      <x:c r="N155" s="8" t="str">
        <x:v>i</x:v>
      </x:c>
      <x:c r="O155" s="8" t="n">
        <x:v>0</x:v>
      </x:c>
      <x:c r="P155" s="11" t="n">
        <x:f>MIN(X155,MAX(0,SUMIFS('Current inventory'!$D$2:$D$127,'Current inventory'!$A$2:$A$127,A155,'Current inventory'!$B$2:$B$127,B155)-SUMIFS($X$2:X154,$A$2:A154,A155,$B$2:B154,B155)))</x:f>
        <x:v>0</x:v>
      </x:c>
      <x:c r="Q155" s="1" t="str">
        <x:v>Received history</x:v>
      </x:c>
      <x:c r="R155" s="1" t="str">
        <x:v>Receipts data film c400 c800 plastic.csv</x:v>
      </x:c>
      <x:c r="S155" s="12" t="n">
        <x:f>IF(O155=1,I155*J155,0)</x:f>
        <x:v>0</x:v>
      </x:c>
      <x:c r="T155" s="13" t="n">
        <x:f>IF(L155&gt;0,K155/L155,"n.a.")</x:f>
        <x:v>0.773</x:v>
      </x:c>
      <x:c r="U155" s="12" t="n">
        <x:f>IF(Q155="Old cost",S155,0)</x:f>
        <x:v>0</x:v>
      </x:c>
      <x:c r="V155" s="12" t="n">
        <x:f>IF(Q155="Higher cost",S155,0)</x:f>
        <x:v>0</x:v>
      </x:c>
      <x:c r="W155" s="12" t="n">
        <x:f>IF(Q155="Unclassified",S155,0)</x:f>
        <x:v>0</x:v>
      </x:c>
      <x:c r="X155" s="12" t="n">
        <x:f>IF(AND(ISNUMBER(F155),F155&gt;0,F155&lt;=Summary!$D$5,H155&gt;0),H155*J155,0)</x:f>
        <x:v>3120</x:v>
      </x:c>
    </x:row>
    <x:row r="156" ht="21" customHeight="1">
      <x:c r="A156" s="1" t="str">
        <x:v>10</x:v>
      </x:c>
      <x:c r="B156" s="1" t="str">
        <x:v>800BBLKASC</x:v>
      </x:c>
      <x:c r="C156" s="1" t="str">
        <x:v>1057207</x:v>
      </x:c>
      <x:c r="D156" s="1" t="str">
        <x:v>0</x:v>
      </x:c>
      <x:c r="E156" s="1"/>
      <x:c r="F156" s="7" t="n">
        <x:v>45400</x:v>
      </x:c>
      <x:c r="G156" s="7" t="n">
        <x:v>45401</x:v>
      </x:c>
      <x:c r="H156" s="8" t="n">
        <x:v>320000</x:v>
      </x:c>
      <x:c r="I156" s="8"/>
      <x:c r="J156" s="8" t="n">
        <x:v>1</x:v>
      </x:c>
      <x:c r="K156" s="9" t="n">
        <x:v>10.5</x:v>
      </x:c>
      <x:c r="L156" s="8" t="n">
        <x:v>100</x:v>
      </x:c>
      <x:c r="M156" s="10" t="n">
        <x:v>35520</x:v>
      </x:c>
      <x:c r="N156" s="8" t="str">
        <x:v>i</x:v>
      </x:c>
      <x:c r="O156" s="8" t="n">
        <x:v>0</x:v>
      </x:c>
      <x:c r="P156" s="11" t="n">
        <x:f>MIN(X156,MAX(0,SUMIFS('Current inventory'!$D$2:$D$127,'Current inventory'!$A$2:$A$127,A156,'Current inventory'!$B$2:$B$127,B156)-SUMIFS($X$2:X155,$A$2:A155,A156,$B$2:B155,B156)))</x:f>
        <x:v>0</x:v>
      </x:c>
      <x:c r="Q156" s="1" t="str">
        <x:v>Received history</x:v>
      </x:c>
      <x:c r="R156" s="1" t="str">
        <x:v>Receipts data film c400 c800 plastic.csv</x:v>
      </x:c>
      <x:c r="S156" s="12" t="n">
        <x:f>IF(O156=1,I156*J156,0)</x:f>
        <x:v>0</x:v>
      </x:c>
      <x:c r="T156" s="13" t="n">
        <x:f>IF(L156&gt;0,K156/L156,"n.a.")</x:f>
        <x:v>0.105</x:v>
      </x:c>
      <x:c r="U156" s="12" t="n">
        <x:f>IF(Q156="Old cost",S156,0)</x:f>
        <x:v>0</x:v>
      </x:c>
      <x:c r="V156" s="12" t="n">
        <x:f>IF(Q156="Higher cost",S156,0)</x:f>
        <x:v>0</x:v>
      </x:c>
      <x:c r="W156" s="12" t="n">
        <x:f>IF(Q156="Unclassified",S156,0)</x:f>
        <x:v>0</x:v>
      </x:c>
      <x:c r="X156" s="12" t="n">
        <x:f>IF(AND(ISNUMBER(F156),F156&gt;0,F156&lt;=Summary!$D$5,H156&gt;0),H156*J156,0)</x:f>
        <x:v>320000</x:v>
      </x:c>
    </x:row>
    <x:row r="157" ht="21" customHeight="1">
      <x:c r="A157" s="1" t="str">
        <x:v>10</x:v>
      </x:c>
      <x:c r="B157" s="1" t="str">
        <x:v>800BLKE</x:v>
      </x:c>
      <x:c r="C157" s="1" t="str">
        <x:v>1057207</x:v>
      </x:c>
      <x:c r="D157" s="1" t="str">
        <x:v>0</x:v>
      </x:c>
      <x:c r="E157" s="1"/>
      <x:c r="F157" s="7" t="n">
        <x:v>45400</x:v>
      </x:c>
      <x:c r="G157" s="7" t="n">
        <x:v>45401</x:v>
      </x:c>
      <x:c r="H157" s="8" t="n">
        <x:v>7500</x:v>
      </x:c>
      <x:c r="I157" s="8"/>
      <x:c r="J157" s="8" t="n">
        <x:v>1</x:v>
      </x:c>
      <x:c r="K157" s="9" t="n">
        <x:v>773</x:v>
      </x:c>
      <x:c r="L157" s="8" t="n">
        <x:v>1000</x:v>
      </x:c>
      <x:c r="M157" s="10" t="n">
        <x:v>6195</x:v>
      </x:c>
      <x:c r="N157" s="8" t="str">
        <x:v>i</x:v>
      </x:c>
      <x:c r="O157" s="8" t="n">
        <x:v>0</x:v>
      </x:c>
      <x:c r="P157" s="11" t="n">
        <x:f>MIN(X157,MAX(0,SUMIFS('Current inventory'!$D$2:$D$127,'Current inventory'!$A$2:$A$127,A157,'Current inventory'!$B$2:$B$127,B157)-SUMIFS($X$2:X156,$A$2:A156,A157,$B$2:B156,B157)))</x:f>
        <x:v>0</x:v>
      </x:c>
      <x:c r="Q157" s="1" t="str">
        <x:v>Received history</x:v>
      </x:c>
      <x:c r="R157" s="1" t="str">
        <x:v>Receipts data film c400 c800 plastic.csv</x:v>
      </x:c>
      <x:c r="S157" s="12" t="n">
        <x:f>IF(O157=1,I157*J157,0)</x:f>
        <x:v>0</x:v>
      </x:c>
      <x:c r="T157" s="13" t="n">
        <x:f>IF(L157&gt;0,K157/L157,"n.a.")</x:f>
        <x:v>0.773</x:v>
      </x:c>
      <x:c r="U157" s="12" t="n">
        <x:f>IF(Q157="Old cost",S157,0)</x:f>
        <x:v>0</x:v>
      </x:c>
      <x:c r="V157" s="12" t="n">
        <x:f>IF(Q157="Higher cost",S157,0)</x:f>
        <x:v>0</x:v>
      </x:c>
      <x:c r="W157" s="12" t="n">
        <x:f>IF(Q157="Unclassified",S157,0)</x:f>
        <x:v>0</x:v>
      </x:c>
      <x:c r="X157" s="12" t="n">
        <x:f>IF(AND(ISNUMBER(F157),F157&gt;0,F157&lt;=Summary!$D$5,H157&gt;0),H157*J157,0)</x:f>
        <x:v>7500</x:v>
      </x:c>
    </x:row>
    <x:row r="158" ht="21" customHeight="1">
      <x:c r="A158" s="1" t="str">
        <x:v>10</x:v>
      </x:c>
      <x:c r="B158" s="1" t="str">
        <x:v>800BNAVASC</x:v>
      </x:c>
      <x:c r="C158" s="1" t="str">
        <x:v>1057207</x:v>
      </x:c>
      <x:c r="D158" s="1" t="str">
        <x:v>0</x:v>
      </x:c>
      <x:c r="E158" s="1"/>
      <x:c r="F158" s="7" t="n">
        <x:v>45400</x:v>
      </x:c>
      <x:c r="G158" s="7" t="n">
        <x:v>45401</x:v>
      </x:c>
      <x:c r="H158" s="8" t="n">
        <x:v>120000</x:v>
      </x:c>
      <x:c r="I158" s="8"/>
      <x:c r="J158" s="8" t="n">
        <x:v>1</x:v>
      </x:c>
      <x:c r="K158" s="9" t="n">
        <x:v>12.95</x:v>
      </x:c>
      <x:c r="L158" s="8" t="n">
        <x:v>100</x:v>
      </x:c>
      <x:c r="M158" s="10" t="n">
        <x:v>16284</x:v>
      </x:c>
      <x:c r="N158" s="8" t="str">
        <x:v>i</x:v>
      </x:c>
      <x:c r="O158" s="8" t="n">
        <x:v>0</x:v>
      </x:c>
      <x:c r="P158" s="11" t="n">
        <x:f>MIN(X158,MAX(0,SUMIFS('Current inventory'!$D$2:$D$127,'Current inventory'!$A$2:$A$127,A158,'Current inventory'!$B$2:$B$127,B158)-SUMIFS($X$2:X157,$A$2:A157,A158,$B$2:B157,B158)))</x:f>
        <x:v>0</x:v>
      </x:c>
      <x:c r="Q158" s="1" t="str">
        <x:v>Received history</x:v>
      </x:c>
      <x:c r="R158" s="1" t="str">
        <x:v>Receipts data film c400 c800 plastic.csv</x:v>
      </x:c>
      <x:c r="S158" s="12" t="n">
        <x:f>IF(O158=1,I158*J158,0)</x:f>
        <x:v>0</x:v>
      </x:c>
      <x:c r="T158" s="13" t="n">
        <x:f>IF(L158&gt;0,K158/L158,"n.a.")</x:f>
        <x:v>0.1295</x:v>
      </x:c>
      <x:c r="U158" s="12" t="n">
        <x:f>IF(Q158="Old cost",S158,0)</x:f>
        <x:v>0</x:v>
      </x:c>
      <x:c r="V158" s="12" t="n">
        <x:f>IF(Q158="Higher cost",S158,0)</x:f>
        <x:v>0</x:v>
      </x:c>
      <x:c r="W158" s="12" t="n">
        <x:f>IF(Q158="Unclassified",S158,0)</x:f>
        <x:v>0</x:v>
      </x:c>
      <x:c r="X158" s="12" t="n">
        <x:f>IF(AND(ISNUMBER(F158),F158&gt;0,F158&lt;=Summary!$D$5,H158&gt;0),H158*J158,0)</x:f>
        <x:v>120000</x:v>
      </x:c>
    </x:row>
    <x:row r="159" ht="21" customHeight="1">
      <x:c r="A159" s="1" t="str">
        <x:v>10</x:v>
      </x:c>
      <x:c r="B159" s="1" t="str">
        <x:v>800NAVE</x:v>
      </x:c>
      <x:c r="C159" s="1" t="str">
        <x:v>1057207</x:v>
      </x:c>
      <x:c r="D159" s="1" t="str">
        <x:v>0</x:v>
      </x:c>
      <x:c r="E159" s="1"/>
      <x:c r="F159" s="7" t="n">
        <x:v>45400</x:v>
      </x:c>
      <x:c r="G159" s="7" t="n">
        <x:v>45401</x:v>
      </x:c>
      <x:c r="H159" s="8" t="n">
        <x:v>10710</x:v>
      </x:c>
      <x:c r="I159" s="8"/>
      <x:c r="J159" s="8" t="n">
        <x:v>1</x:v>
      </x:c>
      <x:c r="K159" s="9" t="n">
        <x:v>892</x:v>
      </x:c>
      <x:c r="L159" s="8" t="n">
        <x:v>1000</x:v>
      </x:c>
      <x:c r="M159" s="10" t="n">
        <x:v>10549.35</x:v>
      </x:c>
      <x:c r="N159" s="8" t="str">
        <x:v>i</x:v>
      </x:c>
      <x:c r="O159" s="8" t="n">
        <x:v>0</x:v>
      </x:c>
      <x:c r="P159" s="11" t="n">
        <x:f>MIN(X159,MAX(0,SUMIFS('Current inventory'!$D$2:$D$127,'Current inventory'!$A$2:$A$127,A159,'Current inventory'!$B$2:$B$127,B159)-SUMIFS($X$2:X158,$A$2:A158,A159,$B$2:B158,B159)))</x:f>
        <x:v>0</x:v>
      </x:c>
      <x:c r="Q159" s="1" t="str">
        <x:v>Received history</x:v>
      </x:c>
      <x:c r="R159" s="1" t="str">
        <x:v>Receipts data film c400 c800 plastic.csv</x:v>
      </x:c>
      <x:c r="S159" s="12" t="n">
        <x:f>IF(O159=1,I159*J159,0)</x:f>
        <x:v>0</x:v>
      </x:c>
      <x:c r="T159" s="13" t="n">
        <x:f>IF(L159&gt;0,K159/L159,"n.a.")</x:f>
        <x:v>0.892</x:v>
      </x:c>
      <x:c r="U159" s="12" t="n">
        <x:f>IF(Q159="Old cost",S159,0)</x:f>
        <x:v>0</x:v>
      </x:c>
      <x:c r="V159" s="12" t="n">
        <x:f>IF(Q159="Higher cost",S159,0)</x:f>
        <x:v>0</x:v>
      </x:c>
      <x:c r="W159" s="12" t="n">
        <x:f>IF(Q159="Unclassified",S159,0)</x:f>
        <x:v>0</x:v>
      </x:c>
      <x:c r="X159" s="12" t="n">
        <x:f>IF(AND(ISNUMBER(F159),F159&gt;0,F159&lt;=Summary!$D$5,H159&gt;0),H159*J159,0)</x:f>
        <x:v>10710</x:v>
      </x:c>
    </x:row>
    <x:row r="160" ht="21" customHeight="1">
      <x:c r="A160" s="1" t="str">
        <x:v>60</x:v>
      </x:c>
      <x:c r="B160" s="1" t="str">
        <x:v>800BBLKASC</x:v>
      </x:c>
      <x:c r="C160" s="1" t="str">
        <x:v>6102753</x:v>
      </x:c>
      <x:c r="D160" s="1" t="str">
        <x:v>0</x:v>
      </x:c>
      <x:c r="E160" s="1"/>
      <x:c r="F160" s="7" t="n">
        <x:v>45399</x:v>
      </x:c>
      <x:c r="G160" s="7" t="n">
        <x:v>45401</x:v>
      </x:c>
      <x:c r="H160" s="8" t="n">
        <x:v>320000</x:v>
      </x:c>
      <x:c r="I160" s="8"/>
      <x:c r="J160" s="8" t="n">
        <x:v>1</x:v>
      </x:c>
      <x:c r="K160" s="9" t="n">
        <x:v>10.5</x:v>
      </x:c>
      <x:c r="L160" s="8" t="n">
        <x:v>100</x:v>
      </x:c>
      <x:c r="M160" s="10" t="n">
        <x:v>35520</x:v>
      </x:c>
      <x:c r="N160" s="8" t="str">
        <x:v>i</x:v>
      </x:c>
      <x:c r="O160" s="8" t="n">
        <x:v>0</x:v>
      </x:c>
      <x:c r="P160" s="11" t="n">
        <x:f>MIN(X160,MAX(0,SUMIFS('Current inventory'!$D$2:$D$127,'Current inventory'!$A$2:$A$127,A160,'Current inventory'!$B$2:$B$127,B160)-SUMIFS($X$2:X159,$A$2:A159,A160,$B$2:B159,B160)))</x:f>
        <x:v>0</x:v>
      </x:c>
      <x:c r="Q160" s="1" t="str">
        <x:v>Received history</x:v>
      </x:c>
      <x:c r="R160" s="1" t="str">
        <x:v>Receipts data film c400 c800 plastic.csv</x:v>
      </x:c>
      <x:c r="S160" s="12" t="n">
        <x:f>IF(O160=1,I160*J160,0)</x:f>
        <x:v>0</x:v>
      </x:c>
      <x:c r="T160" s="13" t="n">
        <x:f>IF(L160&gt;0,K160/L160,"n.a.")</x:f>
        <x:v>0.105</x:v>
      </x:c>
      <x:c r="U160" s="12" t="n">
        <x:f>IF(Q160="Old cost",S160,0)</x:f>
        <x:v>0</x:v>
      </x:c>
      <x:c r="V160" s="12" t="n">
        <x:f>IF(Q160="Higher cost",S160,0)</x:f>
        <x:v>0</x:v>
      </x:c>
      <x:c r="W160" s="12" t="n">
        <x:f>IF(Q160="Unclassified",S160,0)</x:f>
        <x:v>0</x:v>
      </x:c>
      <x:c r="X160" s="12" t="n">
        <x:f>IF(AND(ISNUMBER(F160),F160&gt;0,F160&lt;=Summary!$D$5,H160&gt;0),H160*J160,0)</x:f>
        <x:v>320000</x:v>
      </x:c>
    </x:row>
    <x:row r="161" ht="21" customHeight="1">
      <x:c r="A161" s="1" t="str">
        <x:v>60</x:v>
      </x:c>
      <x:c r="B161" s="1" t="str">
        <x:v>800BLKE</x:v>
      </x:c>
      <x:c r="C161" s="1" t="str">
        <x:v>6102753</x:v>
      </x:c>
      <x:c r="D161" s="1" t="str">
        <x:v>0</x:v>
      </x:c>
      <x:c r="E161" s="1"/>
      <x:c r="F161" s="7" t="n">
        <x:v>45399</x:v>
      </x:c>
      <x:c r="G161" s="7" t="n">
        <x:v>45401</x:v>
      </x:c>
      <x:c r="H161" s="8" t="n">
        <x:v>0</x:v>
      </x:c>
      <x:c r="I161" s="8"/>
      <x:c r="J161" s="8" t="n">
        <x:v>1</x:v>
      </x:c>
      <x:c r="K161" s="9" t="n">
        <x:v>773</x:v>
      </x:c>
      <x:c r="L161" s="8" t="n">
        <x:v>1000</x:v>
      </x:c>
      <x:c r="M161" s="10" t="n">
        <x:v>0</x:v>
      </x:c>
      <x:c r="N161" s="8" t="str">
        <x:v>i</x:v>
      </x:c>
      <x:c r="O161" s="8" t="n">
        <x:v>0</x:v>
      </x:c>
      <x:c r="P161" s="11" t="n">
        <x:f>MIN(X161,MAX(0,SUMIFS('Current inventory'!$D$2:$D$127,'Current inventory'!$A$2:$A$127,A161,'Current inventory'!$B$2:$B$127,B161)-SUMIFS($X$2:X160,$A$2:A160,A161,$B$2:B160,B161)))</x:f>
        <x:v>0</x:v>
      </x:c>
      <x:c r="Q161" s="1" t="str">
        <x:v>Received history</x:v>
      </x:c>
      <x:c r="R161" s="1" t="str">
        <x:v>Receipts data film c400 c800 plastic.csv</x:v>
      </x:c>
      <x:c r="S161" s="12" t="n">
        <x:f>IF(O161=1,I161*J161,0)</x:f>
        <x:v>0</x:v>
      </x:c>
      <x:c r="T161" s="13" t="n">
        <x:f>IF(L161&gt;0,K161/L161,"n.a.")</x:f>
        <x:v>0.773</x:v>
      </x:c>
      <x:c r="U161" s="12" t="n">
        <x:f>IF(Q161="Old cost",S161,0)</x:f>
        <x:v>0</x:v>
      </x:c>
      <x:c r="V161" s="12" t="n">
        <x:f>IF(Q161="Higher cost",S161,0)</x:f>
        <x:v>0</x:v>
      </x:c>
      <x:c r="W161" s="12" t="n">
        <x:f>IF(Q161="Unclassified",S161,0)</x:f>
        <x:v>0</x:v>
      </x:c>
      <x:c r="X161" s="12" t="n">
        <x:f>IF(AND(ISNUMBER(F161),F161&gt;0,F161&lt;=Summary!$D$5,H161&gt;0),H161*J161,0)</x:f>
        <x:v>0</x:v>
      </x:c>
    </x:row>
    <x:row r="162" ht="21" customHeight="1">
      <x:c r="A162" s="1" t="str">
        <x:v>10</x:v>
      </x:c>
      <x:c r="B162" s="1" t="str">
        <x:v>800BBLKASC</x:v>
      </x:c>
      <x:c r="C162" s="1" t="str">
        <x:v>1056661</x:v>
      </x:c>
      <x:c r="D162" s="1" t="str">
        <x:v>0</x:v>
      </x:c>
      <x:c r="E162" s="1"/>
      <x:c r="F162" s="7" t="n">
        <x:v>45317</x:v>
      </x:c>
      <x:c r="G162" s="7" t="n">
        <x:v>45320</x:v>
      </x:c>
      <x:c r="H162" s="8" t="n">
        <x:v>480000</x:v>
      </x:c>
      <x:c r="I162" s="8"/>
      <x:c r="J162" s="8" t="n">
        <x:v>1</x:v>
      </x:c>
      <x:c r="K162" s="9" t="n">
        <x:v>10.5</x:v>
      </x:c>
      <x:c r="L162" s="8" t="n">
        <x:v>100</x:v>
      </x:c>
      <x:c r="M162" s="10" t="n">
        <x:v>53280</x:v>
      </x:c>
      <x:c r="N162" s="8" t="str">
        <x:v>i</x:v>
      </x:c>
      <x:c r="O162" s="8" t="n">
        <x:v>0</x:v>
      </x:c>
      <x:c r="P162" s="11" t="n">
        <x:f>MIN(X162,MAX(0,SUMIFS('Current inventory'!$D$2:$D$127,'Current inventory'!$A$2:$A$127,A162,'Current inventory'!$B$2:$B$127,B162)-SUMIFS($X$2:X161,$A$2:A161,A162,$B$2:B161,B162)))</x:f>
        <x:v>0</x:v>
      </x:c>
      <x:c r="Q162" s="1" t="str">
        <x:v>Received history</x:v>
      </x:c>
      <x:c r="R162" s="1" t="str">
        <x:v>Receipts data film c400 c800 plastic.csv</x:v>
      </x:c>
      <x:c r="S162" s="12" t="n">
        <x:f>IF(O162=1,I162*J162,0)</x:f>
        <x:v>0</x:v>
      </x:c>
      <x:c r="T162" s="13" t="n">
        <x:f>IF(L162&gt;0,K162/L162,"n.a.")</x:f>
        <x:v>0.105</x:v>
      </x:c>
      <x:c r="U162" s="12" t="n">
        <x:f>IF(Q162="Old cost",S162,0)</x:f>
        <x:v>0</x:v>
      </x:c>
      <x:c r="V162" s="12" t="n">
        <x:f>IF(Q162="Higher cost",S162,0)</x:f>
        <x:v>0</x:v>
      </x:c>
      <x:c r="W162" s="12" t="n">
        <x:f>IF(Q162="Unclassified",S162,0)</x:f>
        <x:v>0</x:v>
      </x:c>
      <x:c r="X162" s="12" t="n">
        <x:f>IF(AND(ISNUMBER(F162),F162&gt;0,F162&lt;=Summary!$D$5,H162&gt;0),H162*J162,0)</x:f>
        <x:v>480000</x:v>
      </x:c>
    </x:row>
    <x:row r="163" ht="21" customHeight="1">
      <x:c r="A163" s="1" t="str">
        <x:v>10</x:v>
      </x:c>
      <x:c r="B163" s="1" t="str">
        <x:v>800NAVE</x:v>
      </x:c>
      <x:c r="C163" s="1" t="str">
        <x:v>1056661</x:v>
      </x:c>
      <x:c r="D163" s="1" t="str">
        <x:v>0</x:v>
      </x:c>
      <x:c r="E163" s="1"/>
      <x:c r="F163" s="7" t="n">
        <x:v>45317</x:v>
      </x:c>
      <x:c r="G163" s="7" t="n">
        <x:v>45320</x:v>
      </x:c>
      <x:c r="H163" s="8" t="n">
        <x:v>7500</x:v>
      </x:c>
      <x:c r="I163" s="8"/>
      <x:c r="J163" s="8" t="n">
        <x:v>1</x:v>
      </x:c>
      <x:c r="K163" s="9" t="n">
        <x:v>892</x:v>
      </x:c>
      <x:c r="L163" s="8" t="n">
        <x:v>1000</x:v>
      </x:c>
      <x:c r="M163" s="10" t="n">
        <x:v>7387.5</x:v>
      </x:c>
      <x:c r="N163" s="8" t="str">
        <x:v>i</x:v>
      </x:c>
      <x:c r="O163" s="8" t="n">
        <x:v>0</x:v>
      </x:c>
      <x:c r="P163" s="11" t="n">
        <x:f>MIN(X163,MAX(0,SUMIFS('Current inventory'!$D$2:$D$127,'Current inventory'!$A$2:$A$127,A163,'Current inventory'!$B$2:$B$127,B163)-SUMIFS($X$2:X162,$A$2:A162,A163,$B$2:B162,B163)))</x:f>
        <x:v>0</x:v>
      </x:c>
      <x:c r="Q163" s="1" t="str">
        <x:v>Received history</x:v>
      </x:c>
      <x:c r="R163" s="1" t="str">
        <x:v>Receipts data film c400 c800 plastic.csv</x:v>
      </x:c>
      <x:c r="S163" s="12" t="n">
        <x:f>IF(O163=1,I163*J163,0)</x:f>
        <x:v>0</x:v>
      </x:c>
      <x:c r="T163" s="13" t="n">
        <x:f>IF(L163&gt;0,K163/L163,"n.a.")</x:f>
        <x:v>0.892</x:v>
      </x:c>
      <x:c r="U163" s="12" t="n">
        <x:f>IF(Q163="Old cost",S163,0)</x:f>
        <x:v>0</x:v>
      </x:c>
      <x:c r="V163" s="12" t="n">
        <x:f>IF(Q163="Higher cost",S163,0)</x:f>
        <x:v>0</x:v>
      </x:c>
      <x:c r="W163" s="12" t="n">
        <x:f>IF(Q163="Unclassified",S163,0)</x:f>
        <x:v>0</x:v>
      </x:c>
      <x:c r="X163" s="12" t="n">
        <x:f>IF(AND(ISNUMBER(F163),F163&gt;0,F163&lt;=Summary!$D$5,H163&gt;0),H163*J163,0)</x:f>
        <x:v>7500</x:v>
      </x:c>
    </x:row>
    <x:row r="164" ht="21" customHeight="1">
      <x:c r="A164" s="1" t="str">
        <x:v>30</x:v>
      </x:c>
      <x:c r="B164" s="1" t="str">
        <x:v>800BBLKASC</x:v>
      </x:c>
      <x:c r="C164" s="1" t="str">
        <x:v>3003792</x:v>
      </x:c>
      <x:c r="D164" s="1" t="str">
        <x:v>0</x:v>
      </x:c>
      <x:c r="E164" s="1"/>
      <x:c r="F164" s="7" t="n">
        <x:v>45316</x:v>
      </x:c>
      <x:c r="G164" s="7" t="n">
        <x:v>45314</x:v>
      </x:c>
      <x:c r="H164" s="8" t="n">
        <x:v>320000</x:v>
      </x:c>
      <x:c r="I164" s="8"/>
      <x:c r="J164" s="8" t="n">
        <x:v>1</x:v>
      </x:c>
      <x:c r="K164" s="9" t="n">
        <x:v>10.5</x:v>
      </x:c>
      <x:c r="L164" s="8" t="n">
        <x:v>100</x:v>
      </x:c>
      <x:c r="M164" s="10" t="n">
        <x:v>35520</x:v>
      </x:c>
      <x:c r="N164" s="8" t="str">
        <x:v>i</x:v>
      </x:c>
      <x:c r="O164" s="8" t="n">
        <x:v>0</x:v>
      </x:c>
      <x:c r="P164" s="11" t="n">
        <x:f>MIN(X164,MAX(0,SUMIFS('Current inventory'!$D$2:$D$127,'Current inventory'!$A$2:$A$127,A164,'Current inventory'!$B$2:$B$127,B164)-SUMIFS($X$2:X163,$A$2:A163,A164,$B$2:B163,B164)))</x:f>
        <x:v>0</x:v>
      </x:c>
      <x:c r="Q164" s="1" t="str">
        <x:v>Received history</x:v>
      </x:c>
      <x:c r="R164" s="1" t="str">
        <x:v>Receipts data film c400 c800 plastic.csv</x:v>
      </x:c>
      <x:c r="S164" s="12" t="n">
        <x:f>IF(O164=1,I164*J164,0)</x:f>
        <x:v>0</x:v>
      </x:c>
      <x:c r="T164" s="13" t="n">
        <x:f>IF(L164&gt;0,K164/L164,"n.a.")</x:f>
        <x:v>0.105</x:v>
      </x:c>
      <x:c r="U164" s="12" t="n">
        <x:f>IF(Q164="Old cost",S164,0)</x:f>
        <x:v>0</x:v>
      </x:c>
      <x:c r="V164" s="12" t="n">
        <x:f>IF(Q164="Higher cost",S164,0)</x:f>
        <x:v>0</x:v>
      </x:c>
      <x:c r="W164" s="12" t="n">
        <x:f>IF(Q164="Unclassified",S164,0)</x:f>
        <x:v>0</x:v>
      </x:c>
      <x:c r="X164" s="12" t="n">
        <x:f>IF(AND(ISNUMBER(F164),F164&gt;0,F164&lt;=Summary!$D$5,H164&gt;0),H164*J164,0)</x:f>
        <x:v>320000</x:v>
      </x:c>
    </x:row>
    <x:row r="165" ht="21" customHeight="1">
      <x:c r="A165" s="1" t="str">
        <x:v>60</x:v>
      </x:c>
      <x:c r="B165" s="1" t="str">
        <x:v>800BBLKASC</x:v>
      </x:c>
      <x:c r="C165" s="1" t="str">
        <x:v>6102731</x:v>
      </x:c>
      <x:c r="D165" s="1" t="str">
        <x:v>0</x:v>
      </x:c>
      <x:c r="E165" s="1"/>
      <x:c r="F165" s="7" t="n">
        <x:v>45315</x:v>
      </x:c>
      <x:c r="G165" s="7" t="n">
        <x:v>45320</x:v>
      </x:c>
      <x:c r="H165" s="8" t="n">
        <x:v>280000</x:v>
      </x:c>
      <x:c r="I165" s="8"/>
      <x:c r="J165" s="8" t="n">
        <x:v>1</x:v>
      </x:c>
      <x:c r="K165" s="9" t="n">
        <x:v>10.5</x:v>
      </x:c>
      <x:c r="L165" s="8" t="n">
        <x:v>100</x:v>
      </x:c>
      <x:c r="M165" s="10" t="n">
        <x:v>31080</x:v>
      </x:c>
      <x:c r="N165" s="8" t="str">
        <x:v>i</x:v>
      </x:c>
      <x:c r="O165" s="8" t="n">
        <x:v>0</x:v>
      </x:c>
      <x:c r="P165" s="11" t="n">
        <x:f>MIN(X165,MAX(0,SUMIFS('Current inventory'!$D$2:$D$127,'Current inventory'!$A$2:$A$127,A165,'Current inventory'!$B$2:$B$127,B165)-SUMIFS($X$2:X164,$A$2:A164,A165,$B$2:B164,B165)))</x:f>
        <x:v>0</x:v>
      </x:c>
      <x:c r="Q165" s="1" t="str">
        <x:v>Received history</x:v>
      </x:c>
      <x:c r="R165" s="1" t="str">
        <x:v>Receipts data film c400 c800 plastic.csv</x:v>
      </x:c>
      <x:c r="S165" s="12" t="n">
        <x:f>IF(O165=1,I165*J165,0)</x:f>
        <x:v>0</x:v>
      </x:c>
      <x:c r="T165" s="13" t="n">
        <x:f>IF(L165&gt;0,K165/L165,"n.a.")</x:f>
        <x:v>0.105</x:v>
      </x:c>
      <x:c r="U165" s="12" t="n">
        <x:f>IF(Q165="Old cost",S165,0)</x:f>
        <x:v>0</x:v>
      </x:c>
      <x:c r="V165" s="12" t="n">
        <x:f>IF(Q165="Higher cost",S165,0)</x:f>
        <x:v>0</x:v>
      </x:c>
      <x:c r="W165" s="12" t="n">
        <x:f>IF(Q165="Unclassified",S165,0)</x:f>
        <x:v>0</x:v>
      </x:c>
      <x:c r="X165" s="12" t="n">
        <x:f>IF(AND(ISNUMBER(F165),F165&gt;0,F165&lt;=Summary!$D$5,H165&gt;0),H165*J165,0)</x:f>
        <x:v>280000</x:v>
      </x:c>
    </x:row>
    <x:row r="166" ht="21" customHeight="1">
      <x:c r="A166" s="1" t="str">
        <x:v>60</x:v>
      </x:c>
      <x:c r="B166" s="1" t="str">
        <x:v>800NAVE</x:v>
      </x:c>
      <x:c r="C166" s="1" t="str">
        <x:v>6102731</x:v>
      </x:c>
      <x:c r="D166" s="1" t="str">
        <x:v>0</x:v>
      </x:c>
      <x:c r="E166" s="1"/>
      <x:c r="F166" s="7" t="n">
        <x:v>45315</x:v>
      </x:c>
      <x:c r="G166" s="7" t="n">
        <x:v>45320</x:v>
      </x:c>
      <x:c r="H166" s="8" t="n">
        <x:v>3120</x:v>
      </x:c>
      <x:c r="I166" s="8"/>
      <x:c r="J166" s="8" t="n">
        <x:v>1</x:v>
      </x:c>
      <x:c r="K166" s="9" t="n">
        <x:v>892</x:v>
      </x:c>
      <x:c r="L166" s="8" t="n">
        <x:v>1000</x:v>
      </x:c>
      <x:c r="M166" s="10" t="n">
        <x:v>3073.2</x:v>
      </x:c>
      <x:c r="N166" s="8" t="str">
        <x:v>i</x:v>
      </x:c>
      <x:c r="O166" s="8" t="n">
        <x:v>0</x:v>
      </x:c>
      <x:c r="P166" s="11" t="n">
        <x:f>MIN(X166,MAX(0,SUMIFS('Current inventory'!$D$2:$D$127,'Current inventory'!$A$2:$A$127,A166,'Current inventory'!$B$2:$B$127,B166)-SUMIFS($X$2:X165,$A$2:A165,A166,$B$2:B165,B166)))</x:f>
        <x:v>0</x:v>
      </x:c>
      <x:c r="Q166" s="1" t="str">
        <x:v>Received history</x:v>
      </x:c>
      <x:c r="R166" s="1" t="str">
        <x:v>Receipts data film c400 c800 plastic.csv</x:v>
      </x:c>
      <x:c r="S166" s="12" t="n">
        <x:f>IF(O166=1,I166*J166,0)</x:f>
        <x:v>0</x:v>
      </x:c>
      <x:c r="T166" s="13" t="n">
        <x:f>IF(L166&gt;0,K166/L166,"n.a.")</x:f>
        <x:v>0.892</x:v>
      </x:c>
      <x:c r="U166" s="12" t="n">
        <x:f>IF(Q166="Old cost",S166,0)</x:f>
        <x:v>0</x:v>
      </x:c>
      <x:c r="V166" s="12" t="n">
        <x:f>IF(Q166="Higher cost",S166,0)</x:f>
        <x:v>0</x:v>
      </x:c>
      <x:c r="W166" s="12" t="n">
        <x:f>IF(Q166="Unclassified",S166,0)</x:f>
        <x:v>0</x:v>
      </x:c>
      <x:c r="X166" s="12" t="n">
        <x:f>IF(AND(ISNUMBER(F166),F166&gt;0,F166&lt;=Summary!$D$5,H166&gt;0),H166*J166,0)</x:f>
        <x:v>3120</x:v>
      </x:c>
    </x:row>
    <x:row r="167" ht="21" customHeight="1">
      <x:c r="A167" s="1" t="str">
        <x:v>30</x:v>
      </x:c>
      <x:c r="B167" s="1" t="str">
        <x:v>800BBLKASC</x:v>
      </x:c>
      <x:c r="C167" s="1" t="str">
        <x:v>3003765</x:v>
      </x:c>
      <x:c r="D167" s="1" t="str">
        <x:v>0</x:v>
      </x:c>
      <x:c r="E167" s="1"/>
      <x:c r="F167" s="7" t="n">
        <x:v>45082</x:v>
      </x:c>
      <x:c r="G167" s="7" t="n">
        <x:v>45065</x:v>
      </x:c>
      <x:c r="H167" s="8" t="n">
        <x:v>80000</x:v>
      </x:c>
      <x:c r="I167" s="8"/>
      <x:c r="J167" s="8" t="n">
        <x:v>1</x:v>
      </x:c>
      <x:c r="K167" s="9" t="n">
        <x:v>11.18</x:v>
      </x:c>
      <x:c r="L167" s="8" t="n">
        <x:v>100</x:v>
      </x:c>
      <x:c r="M167" s="10" t="n">
        <x:v>9648</x:v>
      </x:c>
      <x:c r="N167" s="8" t="str">
        <x:v>i</x:v>
      </x:c>
      <x:c r="O167" s="8" t="n">
        <x:v>0</x:v>
      </x:c>
      <x:c r="P167" s="11" t="n">
        <x:f>MIN(X167,MAX(0,SUMIFS('Current inventory'!$D$2:$D$127,'Current inventory'!$A$2:$A$127,A167,'Current inventory'!$B$2:$B$127,B167)-SUMIFS($X$2:X166,$A$2:A166,A167,$B$2:B166,B167)))</x:f>
        <x:v>0</x:v>
      </x:c>
      <x:c r="Q167" s="1" t="str">
        <x:v>Received history</x:v>
      </x:c>
      <x:c r="R167" s="1" t="str">
        <x:v>Receipts data film c400 c800 plastic.csv</x:v>
      </x:c>
      <x:c r="S167" s="12" t="n">
        <x:f>IF(O167=1,I167*J167,0)</x:f>
        <x:v>0</x:v>
      </x:c>
      <x:c r="T167" s="13" t="n">
        <x:f>IF(L167&gt;0,K167/L167,"n.a.")</x:f>
        <x:v>0.1118</x:v>
      </x:c>
      <x:c r="U167" s="12" t="n">
        <x:f>IF(Q167="Old cost",S167,0)</x:f>
        <x:v>0</x:v>
      </x:c>
      <x:c r="V167" s="12" t="n">
        <x:f>IF(Q167="Higher cost",S167,0)</x:f>
        <x:v>0</x:v>
      </x:c>
      <x:c r="W167" s="12" t="n">
        <x:f>IF(Q167="Unclassified",S167,0)</x:f>
        <x:v>0</x:v>
      </x:c>
      <x:c r="X167" s="12" t="n">
        <x:f>IF(AND(ISNUMBER(F167),F167&gt;0,F167&lt;=Summary!$D$5,H167&gt;0),H167*J167,0)</x:f>
        <x:v>80000</x:v>
      </x:c>
    </x:row>
    <x:row r="168" ht="21" customHeight="1">
      <x:c r="A168" s="1" t="str">
        <x:v>30</x:v>
      </x:c>
      <x:c r="B168" s="1" t="str">
        <x:v>800BBLKISC</x:v>
      </x:c>
      <x:c r="C168" s="1" t="str">
        <x:v>3003765</x:v>
      </x:c>
      <x:c r="D168" s="1" t="str">
        <x:v>0</x:v>
      </x:c>
      <x:c r="E168" s="1"/>
      <x:c r="F168" s="7" t="n">
        <x:v>45082</x:v>
      </x:c>
      <x:c r="G168" s="7" t="n">
        <x:v>45065</x:v>
      </x:c>
      <x:c r="H168" s="8" t="n">
        <x:v>40000</x:v>
      </x:c>
      <x:c r="I168" s="8"/>
      <x:c r="J168" s="8" t="n">
        <x:v>1</x:v>
      </x:c>
      <x:c r="K168" s="9" t="n">
        <x:v>14.82</x:v>
      </x:c>
      <x:c r="L168" s="8" t="n">
        <x:v>100</x:v>
      </x:c>
      <x:c r="M168" s="10" t="n">
        <x:v>6172</x:v>
      </x:c>
      <x:c r="N168" s="8" t="str">
        <x:v>i</x:v>
      </x:c>
      <x:c r="O168" s="8" t="n">
        <x:v>0</x:v>
      </x:c>
      <x:c r="P168" s="11" t="n">
        <x:f>MIN(X168,MAX(0,SUMIFS('Current inventory'!$D$2:$D$127,'Current inventory'!$A$2:$A$127,A168,'Current inventory'!$B$2:$B$127,B168)-SUMIFS($X$2:X167,$A$2:A167,A168,$B$2:B167,B168)))</x:f>
        <x:v>0</x:v>
      </x:c>
      <x:c r="Q168" s="1" t="str">
        <x:v>Received history</x:v>
      </x:c>
      <x:c r="R168" s="1" t="str">
        <x:v>Receipts data film c400 c800 plastic.csv</x:v>
      </x:c>
      <x:c r="S168" s="12" t="n">
        <x:f>IF(O168=1,I168*J168,0)</x:f>
        <x:v>0</x:v>
      </x:c>
      <x:c r="T168" s="13" t="n">
        <x:f>IF(L168&gt;0,K168/L168,"n.a.")</x:f>
        <x:v>0.1482</x:v>
      </x:c>
      <x:c r="U168" s="12" t="n">
        <x:f>IF(Q168="Old cost",S168,0)</x:f>
        <x:v>0</x:v>
      </x:c>
      <x:c r="V168" s="12" t="n">
        <x:f>IF(Q168="Higher cost",S168,0)</x:f>
        <x:v>0</x:v>
      </x:c>
      <x:c r="W168" s="12" t="n">
        <x:f>IF(Q168="Unclassified",S168,0)</x:f>
        <x:v>0</x:v>
      </x:c>
      <x:c r="X168" s="12" t="n">
        <x:f>IF(AND(ISNUMBER(F168),F168&gt;0,F168&lt;=Summary!$D$5,H168&gt;0),H168*J168,0)</x:f>
        <x:v>40000</x:v>
      </x:c>
    </x:row>
    <x:row r="169" ht="21" customHeight="1">
      <x:c r="A169" s="1" t="str">
        <x:v>30</x:v>
      </x:c>
      <x:c r="B169" s="1" t="str">
        <x:v>800BNAVASC</x:v>
      </x:c>
      <x:c r="C169" s="1" t="str">
        <x:v>3003765</x:v>
      </x:c>
      <x:c r="D169" s="1" t="str">
        <x:v>0</x:v>
      </x:c>
      <x:c r="E169" s="1"/>
      <x:c r="F169" s="7" t="n">
        <x:v>45082</x:v>
      </x:c>
      <x:c r="G169" s="7" t="n">
        <x:v>45065</x:v>
      </x:c>
      <x:c r="H169" s="8" t="n">
        <x:v>40000</x:v>
      </x:c>
      <x:c r="I169" s="8"/>
      <x:c r="J169" s="8" t="n">
        <x:v>1</x:v>
      </x:c>
      <x:c r="K169" s="9" t="n">
        <x:v>13.01</x:v>
      </x:c>
      <x:c r="L169" s="8" t="n">
        <x:v>100</x:v>
      </x:c>
      <x:c r="M169" s="10" t="n">
        <x:v>5608</x:v>
      </x:c>
      <x:c r="N169" s="8" t="str">
        <x:v>i</x:v>
      </x:c>
      <x:c r="O169" s="8" t="n">
        <x:v>0</x:v>
      </x:c>
      <x:c r="P169" s="11" t="n">
        <x:f>MIN(X169,MAX(0,SUMIFS('Current inventory'!$D$2:$D$127,'Current inventory'!$A$2:$A$127,A169,'Current inventory'!$B$2:$B$127,B169)-SUMIFS($X$2:X168,$A$2:A168,A169,$B$2:B168,B169)))</x:f>
        <x:v>0</x:v>
      </x:c>
      <x:c r="Q169" s="1" t="str">
        <x:v>Received history</x:v>
      </x:c>
      <x:c r="R169" s="1" t="str">
        <x:v>Receipts data film c400 c800 plastic.csv</x:v>
      </x:c>
      <x:c r="S169" s="12" t="n">
        <x:f>IF(O169=1,I169*J169,0)</x:f>
        <x:v>0</x:v>
      </x:c>
      <x:c r="T169" s="13" t="n">
        <x:f>IF(L169&gt;0,K169/L169,"n.a.")</x:f>
        <x:v>0.1301</x:v>
      </x:c>
      <x:c r="U169" s="12" t="n">
        <x:f>IF(Q169="Old cost",S169,0)</x:f>
        <x:v>0</x:v>
      </x:c>
      <x:c r="V169" s="12" t="n">
        <x:f>IF(Q169="Higher cost",S169,0)</x:f>
        <x:v>0</x:v>
      </x:c>
      <x:c r="W169" s="12" t="n">
        <x:f>IF(Q169="Unclassified",S169,0)</x:f>
        <x:v>0</x:v>
      </x:c>
      <x:c r="X169" s="12" t="n">
        <x:f>IF(AND(ISNUMBER(F169),F169&gt;0,F169&lt;=Summary!$D$5,H169&gt;0),H169*J169,0)</x:f>
        <x:v>40000</x:v>
      </x:c>
    </x:row>
    <x:row r="170" ht="21" customHeight="1">
      <x:c r="A170" s="1" t="str">
        <x:v>60</x:v>
      </x:c>
      <x:c r="B170" s="1" t="str">
        <x:v>800BBLKASC</x:v>
      </x:c>
      <x:c r="C170" s="1" t="str">
        <x:v>6102687</x:v>
      </x:c>
      <x:c r="D170" s="1" t="str">
        <x:v>0</x:v>
      </x:c>
      <x:c r="E170" s="1"/>
      <x:c r="F170" s="7" t="n">
        <x:v>45056</x:v>
      </x:c>
      <x:c r="G170" s="7" t="n">
        <x:v>45065</x:v>
      </x:c>
      <x:c r="H170" s="8" t="n">
        <x:v>240000</x:v>
      </x:c>
      <x:c r="I170" s="8"/>
      <x:c r="J170" s="8" t="n">
        <x:v>1</x:v>
      </x:c>
      <x:c r="K170" s="9" t="n">
        <x:v>11.18</x:v>
      </x:c>
      <x:c r="L170" s="8" t="n">
        <x:v>100</x:v>
      </x:c>
      <x:c r="M170" s="10" t="n">
        <x:v>28944</x:v>
      </x:c>
      <x:c r="N170" s="8" t="str">
        <x:v>i</x:v>
      </x:c>
      <x:c r="O170" s="8" t="n">
        <x:v>0</x:v>
      </x:c>
      <x:c r="P170" s="11" t="n">
        <x:f>MIN(X170,MAX(0,SUMIFS('Current inventory'!$D$2:$D$127,'Current inventory'!$A$2:$A$127,A170,'Current inventory'!$B$2:$B$127,B170)-SUMIFS($X$2:X169,$A$2:A169,A170,$B$2:B169,B170)))</x:f>
        <x:v>0</x:v>
      </x:c>
      <x:c r="Q170" s="1" t="str">
        <x:v>Received history</x:v>
      </x:c>
      <x:c r="R170" s="1" t="str">
        <x:v>Receipts data film c400 c800 plastic.csv</x:v>
      </x:c>
      <x:c r="S170" s="12" t="n">
        <x:f>IF(O170=1,I170*J170,0)</x:f>
        <x:v>0</x:v>
      </x:c>
      <x:c r="T170" s="13" t="n">
        <x:f>IF(L170&gt;0,K170/L170,"n.a.")</x:f>
        <x:v>0.1118</x:v>
      </x:c>
      <x:c r="U170" s="12" t="n">
        <x:f>IF(Q170="Old cost",S170,0)</x:f>
        <x:v>0</x:v>
      </x:c>
      <x:c r="V170" s="12" t="n">
        <x:f>IF(Q170="Higher cost",S170,0)</x:f>
        <x:v>0</x:v>
      </x:c>
      <x:c r="W170" s="12" t="n">
        <x:f>IF(Q170="Unclassified",S170,0)</x:f>
        <x:v>0</x:v>
      </x:c>
      <x:c r="X170" s="12" t="n">
        <x:f>IF(AND(ISNUMBER(F170),F170&gt;0,F170&lt;=Summary!$D$5,H170&gt;0),H170*J170,0)</x:f>
        <x:v>240000</x:v>
      </x:c>
    </x:row>
    <x:row r="171" ht="21" customHeight="1">
      <x:c r="A171" s="1" t="str">
        <x:v>60</x:v>
      </x:c>
      <x:c r="B171" s="1" t="str">
        <x:v>800BBLKISC</x:v>
      </x:c>
      <x:c r="C171" s="1" t="str">
        <x:v>6102687</x:v>
      </x:c>
      <x:c r="D171" s="1" t="str">
        <x:v>0</x:v>
      </x:c>
      <x:c r="E171" s="1"/>
      <x:c r="F171" s="7" t="n">
        <x:v>45056</x:v>
      </x:c>
      <x:c r="G171" s="7" t="n">
        <x:v>45065</x:v>
      </x:c>
      <x:c r="H171" s="8" t="n">
        <x:v>40000</x:v>
      </x:c>
      <x:c r="I171" s="8"/>
      <x:c r="J171" s="8" t="n">
        <x:v>1</x:v>
      </x:c>
      <x:c r="K171" s="9" t="n">
        <x:v>14.82</x:v>
      </x:c>
      <x:c r="L171" s="8" t="n">
        <x:v>100</x:v>
      </x:c>
      <x:c r="M171" s="10" t="n">
        <x:v>6172</x:v>
      </x:c>
      <x:c r="N171" s="8" t="str">
        <x:v>i</x:v>
      </x:c>
      <x:c r="O171" s="8" t="n">
        <x:v>0</x:v>
      </x:c>
      <x:c r="P171" s="11" t="n">
        <x:f>MIN(X171,MAX(0,SUMIFS('Current inventory'!$D$2:$D$127,'Current inventory'!$A$2:$A$127,A171,'Current inventory'!$B$2:$B$127,B171)-SUMIFS($X$2:X170,$A$2:A170,A171,$B$2:B170,B171)))</x:f>
        <x:v>0</x:v>
      </x:c>
      <x:c r="Q171" s="1" t="str">
        <x:v>Received history</x:v>
      </x:c>
      <x:c r="R171" s="1" t="str">
        <x:v>Receipts data film c400 c800 plastic.csv</x:v>
      </x:c>
      <x:c r="S171" s="12" t="n">
        <x:f>IF(O171=1,I171*J171,0)</x:f>
        <x:v>0</x:v>
      </x:c>
      <x:c r="T171" s="13" t="n">
        <x:f>IF(L171&gt;0,K171/L171,"n.a.")</x:f>
        <x:v>0.1482</x:v>
      </x:c>
      <x:c r="U171" s="12" t="n">
        <x:f>IF(Q171="Old cost",S171,0)</x:f>
        <x:v>0</x:v>
      </x:c>
      <x:c r="V171" s="12" t="n">
        <x:f>IF(Q171="Higher cost",S171,0)</x:f>
        <x:v>0</x:v>
      </x:c>
      <x:c r="W171" s="12" t="n">
        <x:f>IF(Q171="Unclassified",S171,0)</x:f>
        <x:v>0</x:v>
      </x:c>
      <x:c r="X171" s="12" t="n">
        <x:f>IF(AND(ISNUMBER(F171),F171&gt;0,F171&lt;=Summary!$D$5,H171&gt;0),H171*J171,0)</x:f>
        <x:v>40000</x:v>
      </x:c>
    </x:row>
    <x:row r="172" ht="21" customHeight="1">
      <x:c r="A172" s="1" t="str">
        <x:v>60</x:v>
      </x:c>
      <x:c r="B172" s="1" t="str">
        <x:v>800BLKE</x:v>
      </x:c>
      <x:c r="C172" s="1" t="str">
        <x:v>6102687</x:v>
      </x:c>
      <x:c r="D172" s="1" t="str">
        <x:v>0</x:v>
      </x:c>
      <x:c r="E172" s="1"/>
      <x:c r="F172" s="7" t="n">
        <x:v>45056</x:v>
      </x:c>
      <x:c r="G172" s="7" t="n">
        <x:v>45065</x:v>
      </x:c>
      <x:c r="H172" s="8" t="n">
        <x:v>3000</x:v>
      </x:c>
      <x:c r="I172" s="8"/>
      <x:c r="J172" s="8" t="n">
        <x:v>1</x:v>
      </x:c>
      <x:c r="K172" s="9" t="n">
        <x:v>840</x:v>
      </x:c>
      <x:c r="L172" s="8" t="n">
        <x:v>1000</x:v>
      </x:c>
      <x:c r="M172" s="10" t="n">
        <x:v>2457</x:v>
      </x:c>
      <x:c r="N172" s="8" t="str">
        <x:v>i</x:v>
      </x:c>
      <x:c r="O172" s="8" t="n">
        <x:v>0</x:v>
      </x:c>
      <x:c r="P172" s="11" t="n">
        <x:f>MIN(X172,MAX(0,SUMIFS('Current inventory'!$D$2:$D$127,'Current inventory'!$A$2:$A$127,A172,'Current inventory'!$B$2:$B$127,B172)-SUMIFS($X$2:X171,$A$2:A171,A172,$B$2:B171,B172)))</x:f>
        <x:v>0</x:v>
      </x:c>
      <x:c r="Q172" s="1" t="str">
        <x:v>Received history</x:v>
      </x:c>
      <x:c r="R172" s="1" t="str">
        <x:v>Receipts data film c400 c800 plastic.csv</x:v>
      </x:c>
      <x:c r="S172" s="12" t="n">
        <x:f>IF(O172=1,I172*J172,0)</x:f>
        <x:v>0</x:v>
      </x:c>
      <x:c r="T172" s="13" t="n">
        <x:f>IF(L172&gt;0,K172/L172,"n.a.")</x:f>
        <x:v>0.84</x:v>
      </x:c>
      <x:c r="U172" s="12" t="n">
        <x:f>IF(Q172="Old cost",S172,0)</x:f>
        <x:v>0</x:v>
      </x:c>
      <x:c r="V172" s="12" t="n">
        <x:f>IF(Q172="Higher cost",S172,0)</x:f>
        <x:v>0</x:v>
      </x:c>
      <x:c r="W172" s="12" t="n">
        <x:f>IF(Q172="Unclassified",S172,0)</x:f>
        <x:v>0</x:v>
      </x:c>
      <x:c r="X172" s="12" t="n">
        <x:f>IF(AND(ISNUMBER(F172),F172&gt;0,F172&lt;=Summary!$D$5,H172&gt;0),H172*J172,0)</x:f>
        <x:v>3000</x:v>
      </x:c>
    </x:row>
    <x:row r="173" ht="21" customHeight="1">
      <x:c r="A173" s="1" t="str">
        <x:v>60</x:v>
      </x:c>
      <x:c r="B173" s="1" t="str">
        <x:v>800BNAVASC</x:v>
      </x:c>
      <x:c r="C173" s="1" t="str">
        <x:v>6102687</x:v>
      </x:c>
      <x:c r="D173" s="1" t="str">
        <x:v>0</x:v>
      </x:c>
      <x:c r="E173" s="1"/>
      <x:c r="F173" s="7" t="n">
        <x:v>45056</x:v>
      </x:c>
      <x:c r="G173" s="7" t="n">
        <x:v>45065</x:v>
      </x:c>
      <x:c r="H173" s="8" t="n">
        <x:v>80000</x:v>
      </x:c>
      <x:c r="I173" s="8"/>
      <x:c r="J173" s="8" t="n">
        <x:v>1</x:v>
      </x:c>
      <x:c r="K173" s="9" t="n">
        <x:v>13.01</x:v>
      </x:c>
      <x:c r="L173" s="8" t="n">
        <x:v>100</x:v>
      </x:c>
      <x:c r="M173" s="10" t="n">
        <x:v>11216</x:v>
      </x:c>
      <x:c r="N173" s="8" t="str">
        <x:v>i</x:v>
      </x:c>
      <x:c r="O173" s="8" t="n">
        <x:v>0</x:v>
      </x:c>
      <x:c r="P173" s="11" t="n">
        <x:f>MIN(X173,MAX(0,SUMIFS('Current inventory'!$D$2:$D$127,'Current inventory'!$A$2:$A$127,A173,'Current inventory'!$B$2:$B$127,B173)-SUMIFS($X$2:X172,$A$2:A172,A173,$B$2:B172,B173)))</x:f>
        <x:v>0</x:v>
      </x:c>
      <x:c r="Q173" s="1" t="str">
        <x:v>Received history</x:v>
      </x:c>
      <x:c r="R173" s="1" t="str">
        <x:v>Receipts data film c400 c800 plastic.csv</x:v>
      </x:c>
      <x:c r="S173" s="12" t="n">
        <x:f>IF(O173=1,I173*J173,0)</x:f>
        <x:v>0</x:v>
      </x:c>
      <x:c r="T173" s="13" t="n">
        <x:f>IF(L173&gt;0,K173/L173,"n.a.")</x:f>
        <x:v>0.1301</x:v>
      </x:c>
      <x:c r="U173" s="12" t="n">
        <x:f>IF(Q173="Old cost",S173,0)</x:f>
        <x:v>0</x:v>
      </x:c>
      <x:c r="V173" s="12" t="n">
        <x:f>IF(Q173="Higher cost",S173,0)</x:f>
        <x:v>0</x:v>
      </x:c>
      <x:c r="W173" s="12" t="n">
        <x:f>IF(Q173="Unclassified",S173,0)</x:f>
        <x:v>0</x:v>
      </x:c>
      <x:c r="X173" s="12" t="n">
        <x:f>IF(AND(ISNUMBER(F173),F173&gt;0,F173&lt;=Summary!$D$5,H173&gt;0),H173*J173,0)</x:f>
        <x:v>80000</x:v>
      </x:c>
    </x:row>
    <x:row r="174" ht="21" customHeight="1">
      <x:c r="A174" s="1" t="str">
        <x:v>60</x:v>
      </x:c>
      <x:c r="B174" s="1" t="str">
        <x:v>800NAVE</x:v>
      </x:c>
      <x:c r="C174" s="1" t="str">
        <x:v>6102687</x:v>
      </x:c>
      <x:c r="D174" s="1" t="str">
        <x:v>0</x:v>
      </x:c>
      <x:c r="E174" s="1"/>
      <x:c r="F174" s="7" t="n">
        <x:v>45056</x:v>
      </x:c>
      <x:c r="G174" s="7" t="n">
        <x:v>45065</x:v>
      </x:c>
      <x:c r="H174" s="8" t="n">
        <x:v>4500</x:v>
      </x:c>
      <x:c r="I174" s="8"/>
      <x:c r="J174" s="8" t="n">
        <x:v>1</x:v>
      </x:c>
      <x:c r="K174" s="9" t="n">
        <x:v>970</x:v>
      </x:c>
      <x:c r="L174" s="8" t="n">
        <x:v>1000</x:v>
      </x:c>
      <x:c r="M174" s="10" t="n">
        <x:v>4549.5</x:v>
      </x:c>
      <x:c r="N174" s="8" t="str">
        <x:v>i</x:v>
      </x:c>
      <x:c r="O174" s="8" t="n">
        <x:v>0</x:v>
      </x:c>
      <x:c r="P174" s="11" t="n">
        <x:f>MIN(X174,MAX(0,SUMIFS('Current inventory'!$D$2:$D$127,'Current inventory'!$A$2:$A$127,A174,'Current inventory'!$B$2:$B$127,B174)-SUMIFS($X$2:X173,$A$2:A173,A174,$B$2:B173,B174)))</x:f>
        <x:v>0</x:v>
      </x:c>
      <x:c r="Q174" s="1" t="str">
        <x:v>Received history</x:v>
      </x:c>
      <x:c r="R174" s="1" t="str">
        <x:v>Receipts data film c400 c800 plastic.csv</x:v>
      </x:c>
      <x:c r="S174" s="12" t="n">
        <x:f>IF(O174=1,I174*J174,0)</x:f>
        <x:v>0</x:v>
      </x:c>
      <x:c r="T174" s="13" t="n">
        <x:f>IF(L174&gt;0,K174/L174,"n.a.")</x:f>
        <x:v>0.97</x:v>
      </x:c>
      <x:c r="U174" s="12" t="n">
        <x:f>IF(Q174="Old cost",S174,0)</x:f>
        <x:v>0</x:v>
      </x:c>
      <x:c r="V174" s="12" t="n">
        <x:f>IF(Q174="Higher cost",S174,0)</x:f>
        <x:v>0</x:v>
      </x:c>
      <x:c r="W174" s="12" t="n">
        <x:f>IF(Q174="Unclassified",S174,0)</x:f>
        <x:v>0</x:v>
      </x:c>
      <x:c r="X174" s="12" t="n">
        <x:f>IF(AND(ISNUMBER(F174),F174&gt;0,F174&lt;=Summary!$D$5,H174&gt;0),H174*J174,0)</x:f>
        <x:v>4500</x:v>
      </x:c>
    </x:row>
    <x:row r="175" ht="21" customHeight="1">
      <x:c r="A175" s="1" t="str">
        <x:v>60</x:v>
      </x:c>
      <x:c r="B175" s="1" t="str">
        <x:v>800BBLKDSC</x:v>
      </x:c>
      <x:c r="C175" s="1" t="str">
        <x:v>6102667</x:v>
      </x:c>
      <x:c r="D175" s="1" t="str">
        <x:v>2</x:v>
      </x:c>
      <x:c r="E175" s="1"/>
      <x:c r="F175" s="7" t="n">
        <x:v>45056</x:v>
      </x:c>
      <x:c r="G175" s="7" t="n">
        <x:v>45065</x:v>
      </x:c>
      <x:c r="H175" s="8" t="n">
        <x:v>20000</x:v>
      </x:c>
      <x:c r="I175" s="8"/>
      <x:c r="J175" s="8" t="n">
        <x:v>1</x:v>
      </x:c>
      <x:c r="K175" s="9" t="n">
        <x:v>29.14</x:v>
      </x:c>
      <x:c r="L175" s="8" t="n">
        <x:v>100</x:v>
      </x:c>
      <x:c r="M175" s="10" t="n">
        <x:v>6230</x:v>
      </x:c>
      <x:c r="N175" s="8" t="str">
        <x:v>i</x:v>
      </x:c>
      <x:c r="O175" s="8" t="n">
        <x:v>0</x:v>
      </x:c>
      <x:c r="P175" s="11" t="n">
        <x:f>MIN(X175,MAX(0,SUMIFS('Current inventory'!$D$2:$D$127,'Current inventory'!$A$2:$A$127,A175,'Current inventory'!$B$2:$B$127,B175)-SUMIFS($X$2:X174,$A$2:A174,A175,$B$2:B174,B175)))</x:f>
        <x:v>0</x:v>
      </x:c>
      <x:c r="Q175" s="1" t="str">
        <x:v>Received history</x:v>
      </x:c>
      <x:c r="R175" s="1" t="str">
        <x:v>Receipts data film c400 c800 plastic.csv</x:v>
      </x:c>
      <x:c r="S175" s="12" t="n">
        <x:f>IF(O175=1,I175*J175,0)</x:f>
        <x:v>0</x:v>
      </x:c>
      <x:c r="T175" s="13" t="n">
        <x:f>IF(L175&gt;0,K175/L175,"n.a.")</x:f>
        <x:v>0.2914</x:v>
      </x:c>
      <x:c r="U175" s="12" t="n">
        <x:f>IF(Q175="Old cost",S175,0)</x:f>
        <x:v>0</x:v>
      </x:c>
      <x:c r="V175" s="12" t="n">
        <x:f>IF(Q175="Higher cost",S175,0)</x:f>
        <x:v>0</x:v>
      </x:c>
      <x:c r="W175" s="12" t="n">
        <x:f>IF(Q175="Unclassified",S175,0)</x:f>
        <x:v>0</x:v>
      </x:c>
      <x:c r="X175" s="12" t="n">
        <x:f>IF(AND(ISNUMBER(F175),F175&gt;0,F175&lt;=Summary!$D$5,H175&gt;0),H175*J175,0)</x:f>
        <x:v>20000</x:v>
      </x:c>
    </x:row>
    <x:row r="176" ht="21" customHeight="1">
      <x:c r="A176" s="1" t="str">
        <x:v>60</x:v>
      </x:c>
      <x:c r="B176" s="1" t="str">
        <x:v>800MARE</x:v>
      </x:c>
      <x:c r="C176" s="1" t="str">
        <x:v>6102638</x:v>
      </x:c>
      <x:c r="D176" s="1" t="str">
        <x:v>5</x:v>
      </x:c>
      <x:c r="E176" s="1"/>
      <x:c r="F176" s="7" t="n">
        <x:v>45056</x:v>
      </x:c>
      <x:c r="G176" s="7" t="n">
        <x:v>45065</x:v>
      </x:c>
      <x:c r="H176" s="8" t="n">
        <x:v>2150</x:v>
      </x:c>
      <x:c r="I176" s="8"/>
      <x:c r="J176" s="8" t="n">
        <x:v>1</x:v>
      </x:c>
      <x:c r="K176" s="9" t="n">
        <x:v>1040</x:v>
      </x:c>
      <x:c r="L176" s="8" t="n">
        <x:v>1000</x:v>
      </x:c>
      <x:c r="M176" s="10" t="n">
        <x:v>2173.65</x:v>
      </x:c>
      <x:c r="N176" s="8" t="str">
        <x:v>i</x:v>
      </x:c>
      <x:c r="O176" s="8" t="n">
        <x:v>0</x:v>
      </x:c>
      <x:c r="P176" s="11" t="n">
        <x:f>MIN(X176,MAX(0,SUMIFS('Current inventory'!$D$2:$D$127,'Current inventory'!$A$2:$A$127,A176,'Current inventory'!$B$2:$B$127,B176)-SUMIFS($X$2:X175,$A$2:A175,A176,$B$2:B175,B176)))</x:f>
        <x:v>82</x:v>
      </x:c>
      <x:c r="Q176" s="1" t="str">
        <x:v>Received history</x:v>
      </x:c>
      <x:c r="R176" s="1" t="str">
        <x:v>Receipts data film c400 c800 plastic.csv</x:v>
      </x:c>
      <x:c r="S176" s="12" t="n">
        <x:f>IF(O176=1,I176*J176,0)</x:f>
        <x:v>0</x:v>
      </x:c>
      <x:c r="T176" s="13" t="n">
        <x:f>IF(L176&gt;0,K176/L176,"n.a.")</x:f>
        <x:v>1.04</x:v>
      </x:c>
      <x:c r="U176" s="12" t="n">
        <x:f>IF(Q176="Old cost",S176,0)</x:f>
        <x:v>0</x:v>
      </x:c>
      <x:c r="V176" s="12" t="n">
        <x:f>IF(Q176="Higher cost",S176,0)</x:f>
        <x:v>0</x:v>
      </x:c>
      <x:c r="W176" s="12" t="n">
        <x:f>IF(Q176="Unclassified",S176,0)</x:f>
        <x:v>0</x:v>
      </x:c>
      <x:c r="X176" s="12" t="n">
        <x:f>IF(AND(ISNUMBER(F176),F176&gt;0,F176&lt;=Summary!$D$5,H176&gt;0),H176*J176,0)</x:f>
        <x:v>2150</x:v>
      </x:c>
    </x:row>
    <x:row r="177" ht="21" customHeight="1">
      <x:c r="A177" s="1" t="str">
        <x:v>10</x:v>
      </x:c>
      <x:c r="B177" s="1" t="str">
        <x:v>800BLKE</x:v>
      </x:c>
      <x:c r="C177" s="1" t="str">
        <x:v>1056028</x:v>
      </x:c>
      <x:c r="D177" s="1" t="str">
        <x:v>0</x:v>
      </x:c>
      <x:c r="E177" s="1"/>
      <x:c r="F177" s="7" t="n">
        <x:v>45056</x:v>
      </x:c>
      <x:c r="G177" s="7" t="n">
        <x:v>45057</x:v>
      </x:c>
      <x:c r="H177" s="8" t="n">
        <x:v>25</x:v>
      </x:c>
      <x:c r="I177" s="8"/>
      <x:c r="J177" s="8" t="n">
        <x:v>1</x:v>
      </x:c>
      <x:c r="K177" s="9" t="n">
        <x:v>800</x:v>
      </x:c>
      <x:c r="L177" s="8" t="n">
        <x:v>1000</x:v>
      </x:c>
      <x:c r="M177" s="10" t="n">
        <x:v>20.48</x:v>
      </x:c>
      <x:c r="N177" s="8" t="str">
        <x:v>i</x:v>
      </x:c>
      <x:c r="O177" s="8" t="n">
        <x:v>0</x:v>
      </x:c>
      <x:c r="P177" s="11" t="n">
        <x:f>MIN(X177,MAX(0,SUMIFS('Current inventory'!$D$2:$D$127,'Current inventory'!$A$2:$A$127,A177,'Current inventory'!$B$2:$B$127,B177)-SUMIFS($X$2:X176,$A$2:A176,A177,$B$2:B176,B177)))</x:f>
        <x:v>0</x:v>
      </x:c>
      <x:c r="Q177" s="1" t="str">
        <x:v>Received history</x:v>
      </x:c>
      <x:c r="R177" s="1" t="str">
        <x:v>Receipts data film c400 c800 plastic.csv</x:v>
      </x:c>
      <x:c r="S177" s="12" t="n">
        <x:f>IF(O177=1,I177*J177,0)</x:f>
        <x:v>0</x:v>
      </x:c>
      <x:c r="T177" s="13" t="n">
        <x:f>IF(L177&gt;0,K177/L177,"n.a.")</x:f>
        <x:v>0.8</x:v>
      </x:c>
      <x:c r="U177" s="12" t="n">
        <x:f>IF(Q177="Old cost",S177,0)</x:f>
        <x:v>0</x:v>
      </x:c>
      <x:c r="V177" s="12" t="n">
        <x:f>IF(Q177="Higher cost",S177,0)</x:f>
        <x:v>0</x:v>
      </x:c>
      <x:c r="W177" s="12" t="n">
        <x:f>IF(Q177="Unclassified",S177,0)</x:f>
        <x:v>0</x:v>
      </x:c>
      <x:c r="X177" s="12" t="n">
        <x:f>IF(AND(ISNUMBER(F177),F177&gt;0,F177&lt;=Summary!$D$5,H177&gt;0),H177*J177,0)</x:f>
        <x:v>25</x:v>
      </x:c>
    </x:row>
    <x:row r="178" ht="21" customHeight="1">
      <x:c r="A178" s="1" t="str">
        <x:v>10</x:v>
      </x:c>
      <x:c r="B178" s="1" t="str">
        <x:v>800MARE</x:v>
      </x:c>
      <x:c r="C178" s="1" t="str">
        <x:v>1056028</x:v>
      </x:c>
      <x:c r="D178" s="1" t="str">
        <x:v>0</x:v>
      </x:c>
      <x:c r="E178" s="1"/>
      <x:c r="F178" s="7" t="n">
        <x:v>45056</x:v>
      </x:c>
      <x:c r="G178" s="7" t="n">
        <x:v>45057</x:v>
      </x:c>
      <x:c r="H178" s="8" t="n">
        <x:v>500</x:v>
      </x:c>
      <x:c r="I178" s="8"/>
      <x:c r="J178" s="8" t="n">
        <x:v>1</x:v>
      </x:c>
      <x:c r="K178" s="9" t="n">
        <x:v>1040</x:v>
      </x:c>
      <x:c r="L178" s="8" t="n">
        <x:v>1000</x:v>
      </x:c>
      <x:c r="M178" s="10" t="n">
        <x:v>505.5</x:v>
      </x:c>
      <x:c r="N178" s="8" t="str">
        <x:v>i</x:v>
      </x:c>
      <x:c r="O178" s="8" t="n">
        <x:v>0</x:v>
      </x:c>
      <x:c r="P178" s="11" t="n">
        <x:f>MIN(X178,MAX(0,SUMIFS('Current inventory'!$D$2:$D$127,'Current inventory'!$A$2:$A$127,A178,'Current inventory'!$B$2:$B$127,B178)-SUMIFS($X$2:X177,$A$2:A177,A178,$B$2:B177,B178)))</x:f>
        <x:v>0</x:v>
      </x:c>
      <x:c r="Q178" s="1" t="str">
        <x:v>Received history</x:v>
      </x:c>
      <x:c r="R178" s="1" t="str">
        <x:v>Receipts data film c400 c800 plastic.csv</x:v>
      </x:c>
      <x:c r="S178" s="12" t="n">
        <x:f>IF(O178=1,I178*J178,0)</x:f>
        <x:v>0</x:v>
      </x:c>
      <x:c r="T178" s="13" t="n">
        <x:f>IF(L178&gt;0,K178/L178,"n.a.")</x:f>
        <x:v>1.04</x:v>
      </x:c>
      <x:c r="U178" s="12" t="n">
        <x:f>IF(Q178="Old cost",S178,0)</x:f>
        <x:v>0</x:v>
      </x:c>
      <x:c r="V178" s="12" t="n">
        <x:f>IF(Q178="Higher cost",S178,0)</x:f>
        <x:v>0</x:v>
      </x:c>
      <x:c r="W178" s="12" t="n">
        <x:f>IF(Q178="Unclassified",S178,0)</x:f>
        <x:v>0</x:v>
      </x:c>
      <x:c r="X178" s="12" t="n">
        <x:f>IF(AND(ISNUMBER(F178),F178&gt;0,F178&lt;=Summary!$D$5,H178&gt;0),H178*J178,0)</x:f>
        <x:v>500</x:v>
      </x:c>
    </x:row>
    <x:row r="179" ht="21" customHeight="1">
      <x:c r="A179" s="1" t="str">
        <x:v>10</x:v>
      </x:c>
      <x:c r="B179" s="1" t="str">
        <x:v>800BBLKASC</x:v>
      </x:c>
      <x:c r="C179" s="1" t="str">
        <x:v>1055592</x:v>
      </x:c>
      <x:c r="D179" s="1" t="str">
        <x:v>0</x:v>
      </x:c>
      <x:c r="E179" s="1"/>
      <x:c r="F179" s="7" t="n">
        <x:v>45056</x:v>
      </x:c>
      <x:c r="G179" s="7" t="n">
        <x:v>45065</x:v>
      </x:c>
      <x:c r="H179" s="8" t="n">
        <x:v>360000</x:v>
      </x:c>
      <x:c r="I179" s="8"/>
      <x:c r="J179" s="8" t="n">
        <x:v>1</x:v>
      </x:c>
      <x:c r="K179" s="9" t="n">
        <x:v>11.18</x:v>
      </x:c>
      <x:c r="L179" s="8" t="n">
        <x:v>100</x:v>
      </x:c>
      <x:c r="M179" s="10" t="n">
        <x:v>43416</x:v>
      </x:c>
      <x:c r="N179" s="8" t="str">
        <x:v>i</x:v>
      </x:c>
      <x:c r="O179" s="8" t="n">
        <x:v>0</x:v>
      </x:c>
      <x:c r="P179" s="11" t="n">
        <x:f>MIN(X179,MAX(0,SUMIFS('Current inventory'!$D$2:$D$127,'Current inventory'!$A$2:$A$127,A179,'Current inventory'!$B$2:$B$127,B179)-SUMIFS($X$2:X178,$A$2:A178,A179,$B$2:B178,B179)))</x:f>
        <x:v>0</x:v>
      </x:c>
      <x:c r="Q179" s="1" t="str">
        <x:v>Received history</x:v>
      </x:c>
      <x:c r="R179" s="1" t="str">
        <x:v>Receipts data film c400 c800 plastic.csv</x:v>
      </x:c>
      <x:c r="S179" s="12" t="n">
        <x:f>IF(O179=1,I179*J179,0)</x:f>
        <x:v>0</x:v>
      </x:c>
      <x:c r="T179" s="13" t="n">
        <x:f>IF(L179&gt;0,K179/L179,"n.a.")</x:f>
        <x:v>0.1118</x:v>
      </x:c>
      <x:c r="U179" s="12" t="n">
        <x:f>IF(Q179="Old cost",S179,0)</x:f>
        <x:v>0</x:v>
      </x:c>
      <x:c r="V179" s="12" t="n">
        <x:f>IF(Q179="Higher cost",S179,0)</x:f>
        <x:v>0</x:v>
      </x:c>
      <x:c r="W179" s="12" t="n">
        <x:f>IF(Q179="Unclassified",S179,0)</x:f>
        <x:v>0</x:v>
      </x:c>
      <x:c r="X179" s="12" t="n">
        <x:f>IF(AND(ISNUMBER(F179),F179&gt;0,F179&lt;=Summary!$D$5,H179&gt;0),H179*J179,0)</x:f>
        <x:v>360000</x:v>
      </x:c>
    </x:row>
    <x:row r="180" ht="21" customHeight="1">
      <x:c r="A180" s="1" t="str">
        <x:v>10</x:v>
      </x:c>
      <x:c r="B180" s="1" t="str">
        <x:v>800BBLKISC</x:v>
      </x:c>
      <x:c r="C180" s="1" t="str">
        <x:v>1055592</x:v>
      </x:c>
      <x:c r="D180" s="1" t="str">
        <x:v>0</x:v>
      </x:c>
      <x:c r="E180" s="1"/>
      <x:c r="F180" s="7" t="n">
        <x:v>45056</x:v>
      </x:c>
      <x:c r="G180" s="7" t="n">
        <x:v>45065</x:v>
      </x:c>
      <x:c r="H180" s="8" t="n">
        <x:v>40000</x:v>
      </x:c>
      <x:c r="I180" s="8"/>
      <x:c r="J180" s="8" t="n">
        <x:v>1</x:v>
      </x:c>
      <x:c r="K180" s="9" t="n">
        <x:v>14.82</x:v>
      </x:c>
      <x:c r="L180" s="8" t="n">
        <x:v>100</x:v>
      </x:c>
      <x:c r="M180" s="10" t="n">
        <x:v>6172</x:v>
      </x:c>
      <x:c r="N180" s="8" t="str">
        <x:v>i</x:v>
      </x:c>
      <x:c r="O180" s="8" t="n">
        <x:v>0</x:v>
      </x:c>
      <x:c r="P180" s="11" t="n">
        <x:f>MIN(X180,MAX(0,SUMIFS('Current inventory'!$D$2:$D$127,'Current inventory'!$A$2:$A$127,A180,'Current inventory'!$B$2:$B$127,B180)-SUMIFS($X$2:X179,$A$2:A179,A180,$B$2:B179,B180)))</x:f>
        <x:v>0</x:v>
      </x:c>
      <x:c r="Q180" s="1" t="str">
        <x:v>Received history</x:v>
      </x:c>
      <x:c r="R180" s="1" t="str">
        <x:v>Receipts data film c400 c800 plastic.csv</x:v>
      </x:c>
      <x:c r="S180" s="12" t="n">
        <x:f>IF(O180=1,I180*J180,0)</x:f>
        <x:v>0</x:v>
      </x:c>
      <x:c r="T180" s="13" t="n">
        <x:f>IF(L180&gt;0,K180/L180,"n.a.")</x:f>
        <x:v>0.1482</x:v>
      </x:c>
      <x:c r="U180" s="12" t="n">
        <x:f>IF(Q180="Old cost",S180,0)</x:f>
        <x:v>0</x:v>
      </x:c>
      <x:c r="V180" s="12" t="n">
        <x:f>IF(Q180="Higher cost",S180,0)</x:f>
        <x:v>0</x:v>
      </x:c>
      <x:c r="W180" s="12" t="n">
        <x:f>IF(Q180="Unclassified",S180,0)</x:f>
        <x:v>0</x:v>
      </x:c>
      <x:c r="X180" s="12" t="n">
        <x:f>IF(AND(ISNUMBER(F180),F180&gt;0,F180&lt;=Summary!$D$5,H180&gt;0),H180*J180,0)</x:f>
        <x:v>40000</x:v>
      </x:c>
    </x:row>
    <x:row r="181" ht="21" customHeight="1">
      <x:c r="A181" s="1" t="str">
        <x:v>10</x:v>
      </x:c>
      <x:c r="B181" s="1" t="str">
        <x:v>800BLKE</x:v>
      </x:c>
      <x:c r="C181" s="1" t="str">
        <x:v>1055592</x:v>
      </x:c>
      <x:c r="D181" s="1" t="str">
        <x:v>0</x:v>
      </x:c>
      <x:c r="E181" s="1"/>
      <x:c r="F181" s="7" t="n">
        <x:v>45056</x:v>
      </x:c>
      <x:c r="G181" s="7" t="n">
        <x:v>45065</x:v>
      </x:c>
      <x:c r="H181" s="8" t="n">
        <x:v>7600</x:v>
      </x:c>
      <x:c r="I181" s="8"/>
      <x:c r="J181" s="8" t="n">
        <x:v>1</x:v>
      </x:c>
      <x:c r="K181" s="9" t="n">
        <x:v>840</x:v>
      </x:c>
      <x:c r="L181" s="8" t="n">
        <x:v>1000</x:v>
      </x:c>
      <x:c r="M181" s="10" t="n">
        <x:v>6224.4</x:v>
      </x:c>
      <x:c r="N181" s="8" t="str">
        <x:v>i</x:v>
      </x:c>
      <x:c r="O181" s="8" t="n">
        <x:v>0</x:v>
      </x:c>
      <x:c r="P181" s="11" t="n">
        <x:f>MIN(X181,MAX(0,SUMIFS('Current inventory'!$D$2:$D$127,'Current inventory'!$A$2:$A$127,A181,'Current inventory'!$B$2:$B$127,B181)-SUMIFS($X$2:X180,$A$2:A180,A181,$B$2:B180,B181)))</x:f>
        <x:v>0</x:v>
      </x:c>
      <x:c r="Q181" s="1" t="str">
        <x:v>Received history</x:v>
      </x:c>
      <x:c r="R181" s="1" t="str">
        <x:v>Receipts data film c400 c800 plastic.csv</x:v>
      </x:c>
      <x:c r="S181" s="12" t="n">
        <x:f>IF(O181=1,I181*J181,0)</x:f>
        <x:v>0</x:v>
      </x:c>
      <x:c r="T181" s="13" t="n">
        <x:f>IF(L181&gt;0,K181/L181,"n.a.")</x:f>
        <x:v>0.84</x:v>
      </x:c>
      <x:c r="U181" s="12" t="n">
        <x:f>IF(Q181="Old cost",S181,0)</x:f>
        <x:v>0</x:v>
      </x:c>
      <x:c r="V181" s="12" t="n">
        <x:f>IF(Q181="Higher cost",S181,0)</x:f>
        <x:v>0</x:v>
      </x:c>
      <x:c r="W181" s="12" t="n">
        <x:f>IF(Q181="Unclassified",S181,0)</x:f>
        <x:v>0</x:v>
      </x:c>
      <x:c r="X181" s="12" t="n">
        <x:f>IF(AND(ISNUMBER(F181),F181&gt;0,F181&lt;=Summary!$D$5,H181&gt;0),H181*J181,0)</x:f>
        <x:v>7600</x:v>
      </x:c>
    </x:row>
    <x:row r="182" ht="21" customHeight="1">
      <x:c r="A182" s="1" t="str">
        <x:v>10</x:v>
      </x:c>
      <x:c r="B182" s="1" t="str">
        <x:v>800BNAVASC</x:v>
      </x:c>
      <x:c r="C182" s="1" t="str">
        <x:v>1055592</x:v>
      </x:c>
      <x:c r="D182" s="1" t="str">
        <x:v>0</x:v>
      </x:c>
      <x:c r="E182" s="1"/>
      <x:c r="F182" s="7" t="n">
        <x:v>45056</x:v>
      </x:c>
      <x:c r="G182" s="7" t="n">
        <x:v>45065</x:v>
      </x:c>
      <x:c r="H182" s="8" t="n">
        <x:v>120000</x:v>
      </x:c>
      <x:c r="I182" s="8"/>
      <x:c r="J182" s="8" t="n">
        <x:v>1</x:v>
      </x:c>
      <x:c r="K182" s="9" t="n">
        <x:v>13.01</x:v>
      </x:c>
      <x:c r="L182" s="8" t="n">
        <x:v>100</x:v>
      </x:c>
      <x:c r="M182" s="10" t="n">
        <x:v>16824</x:v>
      </x:c>
      <x:c r="N182" s="8" t="str">
        <x:v>i</x:v>
      </x:c>
      <x:c r="O182" s="8" t="n">
        <x:v>0</x:v>
      </x:c>
      <x:c r="P182" s="11" t="n">
        <x:f>MIN(X182,MAX(0,SUMIFS('Current inventory'!$D$2:$D$127,'Current inventory'!$A$2:$A$127,A182,'Current inventory'!$B$2:$B$127,B182)-SUMIFS($X$2:X181,$A$2:A181,A182,$B$2:B181,B182)))</x:f>
        <x:v>0</x:v>
      </x:c>
      <x:c r="Q182" s="1" t="str">
        <x:v>Received history</x:v>
      </x:c>
      <x:c r="R182" s="1" t="str">
        <x:v>Receipts data film c400 c800 plastic.csv</x:v>
      </x:c>
      <x:c r="S182" s="12" t="n">
        <x:f>IF(O182=1,I182*J182,0)</x:f>
        <x:v>0</x:v>
      </x:c>
      <x:c r="T182" s="13" t="n">
        <x:f>IF(L182&gt;0,K182/L182,"n.a.")</x:f>
        <x:v>0.1301</x:v>
      </x:c>
      <x:c r="U182" s="12" t="n">
        <x:f>IF(Q182="Old cost",S182,0)</x:f>
        <x:v>0</x:v>
      </x:c>
      <x:c r="V182" s="12" t="n">
        <x:f>IF(Q182="Higher cost",S182,0)</x:f>
        <x:v>0</x:v>
      </x:c>
      <x:c r="W182" s="12" t="n">
        <x:f>IF(Q182="Unclassified",S182,0)</x:f>
        <x:v>0</x:v>
      </x:c>
      <x:c r="X182" s="12" t="n">
        <x:f>IF(AND(ISNUMBER(F182),F182&gt;0,F182&lt;=Summary!$D$5,H182&gt;0),H182*J182,0)</x:f>
        <x:v>120000</x:v>
      </x:c>
    </x:row>
    <x:row r="183" ht="21" customHeight="1">
      <x:c r="A183" s="1" t="str">
        <x:v>10</x:v>
      </x:c>
      <x:c r="B183" s="1" t="str">
        <x:v>800NAVE</x:v>
      </x:c>
      <x:c r="C183" s="1" t="str">
        <x:v>1055592</x:v>
      </x:c>
      <x:c r="D183" s="1" t="str">
        <x:v>0</x:v>
      </x:c>
      <x:c r="E183" s="1"/>
      <x:c r="F183" s="7" t="n">
        <x:v>45056</x:v>
      </x:c>
      <x:c r="G183" s="7" t="n">
        <x:v>45065</x:v>
      </x:c>
      <x:c r="H183" s="8" t="n">
        <x:v>6000</x:v>
      </x:c>
      <x:c r="I183" s="8"/>
      <x:c r="J183" s="8" t="n">
        <x:v>1</x:v>
      </x:c>
      <x:c r="K183" s="9" t="n">
        <x:v>970</x:v>
      </x:c>
      <x:c r="L183" s="8" t="n">
        <x:v>1000</x:v>
      </x:c>
      <x:c r="M183" s="10" t="n">
        <x:v>6066</x:v>
      </x:c>
      <x:c r="N183" s="8" t="str">
        <x:v>i</x:v>
      </x:c>
      <x:c r="O183" s="8" t="n">
        <x:v>0</x:v>
      </x:c>
      <x:c r="P183" s="11" t="n">
        <x:f>MIN(X183,MAX(0,SUMIFS('Current inventory'!$D$2:$D$127,'Current inventory'!$A$2:$A$127,A183,'Current inventory'!$B$2:$B$127,B183)-SUMIFS($X$2:X182,$A$2:A182,A183,$B$2:B182,B183)))</x:f>
        <x:v>0</x:v>
      </x:c>
      <x:c r="Q183" s="1" t="str">
        <x:v>Received history</x:v>
      </x:c>
      <x:c r="R183" s="1" t="str">
        <x:v>Receipts data film c400 c800 plastic.csv</x:v>
      </x:c>
      <x:c r="S183" s="12" t="n">
        <x:f>IF(O183=1,I183*J183,0)</x:f>
        <x:v>0</x:v>
      </x:c>
      <x:c r="T183" s="13" t="n">
        <x:f>IF(L183&gt;0,K183/L183,"n.a.")</x:f>
        <x:v>0.97</x:v>
      </x:c>
      <x:c r="U183" s="12" t="n">
        <x:f>IF(Q183="Old cost",S183,0)</x:f>
        <x:v>0</x:v>
      </x:c>
      <x:c r="V183" s="12" t="n">
        <x:f>IF(Q183="Higher cost",S183,0)</x:f>
        <x:v>0</x:v>
      </x:c>
      <x:c r="W183" s="12" t="n">
        <x:f>IF(Q183="Unclassified",S183,0)</x:f>
        <x:v>0</x:v>
      </x:c>
      <x:c r="X183" s="12" t="n">
        <x:f>IF(AND(ISNUMBER(F183),F183&gt;0,F183&lt;=Summary!$D$5,H183&gt;0),H183*J183,0)</x:f>
        <x:v>6000</x:v>
      </x:c>
    </x:row>
    <x:row r="184" ht="21" customHeight="1">
      <x:c r="A184" s="1" t="str">
        <x:v>10</x:v>
      </x:c>
      <x:c r="B184" s="1" t="str">
        <x:v>800BLKE</x:v>
      </x:c>
      <x:c r="C184" s="1" t="str">
        <x:v>1055183</x:v>
      </x:c>
      <x:c r="D184" s="1" t="str">
        <x:v>4</x:v>
      </x:c>
      <x:c r="E184" s="1"/>
      <x:c r="F184" s="7" t="n">
        <x:v>45047</x:v>
      </x:c>
      <x:c r="G184" s="7" t="n">
        <x:v>45065</x:v>
      </x:c>
      <x:c r="H184" s="8" t="n">
        <x:v>6000</x:v>
      </x:c>
      <x:c r="I184" s="8"/>
      <x:c r="J184" s="8" t="n">
        <x:v>1</x:v>
      </x:c>
      <x:c r="K184" s="9" t="n">
        <x:v>800</x:v>
      </x:c>
      <x:c r="L184" s="8" t="n">
        <x:v>1000</x:v>
      </x:c>
      <x:c r="M184" s="10" t="n">
        <x:v>4914</x:v>
      </x:c>
      <x:c r="N184" s="8" t="str">
        <x:v>i</x:v>
      </x:c>
      <x:c r="O184" s="8" t="n">
        <x:v>0</x:v>
      </x:c>
      <x:c r="P184" s="11" t="n">
        <x:f>MIN(X184,MAX(0,SUMIFS('Current inventory'!$D$2:$D$127,'Current inventory'!$A$2:$A$127,A184,'Current inventory'!$B$2:$B$127,B184)-SUMIFS($X$2:X183,$A$2:A183,A184,$B$2:B183,B184)))</x:f>
        <x:v>0</x:v>
      </x:c>
      <x:c r="Q184" s="1" t="str">
        <x:v>Received history</x:v>
      </x:c>
      <x:c r="R184" s="1" t="str">
        <x:v>Receipts data film c400 c800 plastic.csv</x:v>
      </x:c>
      <x:c r="S184" s="12" t="n">
        <x:f>IF(O184=1,I184*J184,0)</x:f>
        <x:v>0</x:v>
      </x:c>
      <x:c r="T184" s="13" t="n">
        <x:f>IF(L184&gt;0,K184/L184,"n.a.")</x:f>
        <x:v>0.8</x:v>
      </x:c>
      <x:c r="U184" s="12" t="n">
        <x:f>IF(Q184="Old cost",S184,0)</x:f>
        <x:v>0</x:v>
      </x:c>
      <x:c r="V184" s="12" t="n">
        <x:f>IF(Q184="Higher cost",S184,0)</x:f>
        <x:v>0</x:v>
      </x:c>
      <x:c r="W184" s="12" t="n">
        <x:f>IF(Q184="Unclassified",S184,0)</x:f>
        <x:v>0</x:v>
      </x:c>
      <x:c r="X184" s="12" t="n">
        <x:f>IF(AND(ISNUMBER(F184),F184&gt;0,F184&lt;=Summary!$D$5,H184&gt;0),H184*J184,0)</x:f>
        <x:v>6000</x:v>
      </x:c>
    </x:row>
    <x:row r="185" ht="21" customHeight="1">
      <x:c r="A185" s="1" t="str">
        <x:v>10</x:v>
      </x:c>
      <x:c r="B185" s="1" t="str">
        <x:v>800MARE</x:v>
      </x:c>
      <x:c r="C185" s="1" t="str">
        <x:v>1054564</x:v>
      </x:c>
      <x:c r="D185" s="1" t="str">
        <x:v>6</x:v>
      </x:c>
      <x:c r="E185" s="1"/>
      <x:c r="F185" s="7" t="n">
        <x:v>45047</x:v>
      </x:c>
      <x:c r="G185" s="7" t="n">
        <x:v>45065</x:v>
      </x:c>
      <x:c r="H185" s="8" t="n">
        <x:v>1500</x:v>
      </x:c>
      <x:c r="I185" s="8"/>
      <x:c r="J185" s="8" t="n">
        <x:v>1</x:v>
      </x:c>
      <x:c r="K185" s="9" t="n">
        <x:v>1040</x:v>
      </x:c>
      <x:c r="L185" s="8" t="n">
        <x:v>1000</x:v>
      </x:c>
      <x:c r="M185" s="10" t="n">
        <x:v>1516.5</x:v>
      </x:c>
      <x:c r="N185" s="8" t="str">
        <x:v>i</x:v>
      </x:c>
      <x:c r="O185" s="8" t="n">
        <x:v>0</x:v>
      </x:c>
      <x:c r="P185" s="11" t="n">
        <x:f>MIN(X185,MAX(0,SUMIFS('Current inventory'!$D$2:$D$127,'Current inventory'!$A$2:$A$127,A185,'Current inventory'!$B$2:$B$127,B185)-SUMIFS($X$2:X184,$A$2:A184,A185,$B$2:B184,B185)))</x:f>
        <x:v>0</x:v>
      </x:c>
      <x:c r="Q185" s="1" t="str">
        <x:v>Received history</x:v>
      </x:c>
      <x:c r="R185" s="1" t="str">
        <x:v>Receipts data film c400 c800 plastic.csv</x:v>
      </x:c>
      <x:c r="S185" s="12" t="n">
        <x:f>IF(O185=1,I185*J185,0)</x:f>
        <x:v>0</x:v>
      </x:c>
      <x:c r="T185" s="13" t="n">
        <x:f>IF(L185&gt;0,K185/L185,"n.a.")</x:f>
        <x:v>1.04</x:v>
      </x:c>
      <x:c r="U185" s="12" t="n">
        <x:f>IF(Q185="Old cost",S185,0)</x:f>
        <x:v>0</x:v>
      </x:c>
      <x:c r="V185" s="12" t="n">
        <x:f>IF(Q185="Higher cost",S185,0)</x:f>
        <x:v>0</x:v>
      </x:c>
      <x:c r="W185" s="12" t="n">
        <x:f>IF(Q185="Unclassified",S185,0)</x:f>
        <x:v>0</x:v>
      </x:c>
      <x:c r="X185" s="12" t="n">
        <x:f>IF(AND(ISNUMBER(F185),F185&gt;0,F185&lt;=Summary!$D$5,H185&gt;0),H185*J185,0)</x:f>
        <x:v>1500</x:v>
      </x:c>
    </x:row>
    <x:row r="186" ht="21" customHeight="1">
      <x:c r="A186" s="1" t="str">
        <x:v>60</x:v>
      </x:c>
      <x:c r="B186" s="1" t="str">
        <x:v>800BBLKASC</x:v>
      </x:c>
      <x:c r="C186" s="1" t="str">
        <x:v>6102667</x:v>
      </x:c>
      <x:c r="D186" s="1" t="str">
        <x:v>1</x:v>
      </x:c>
      <x:c r="E186" s="1"/>
      <x:c r="F186" s="7" t="n">
        <x:v>44957</x:v>
      </x:c>
      <x:c r="G186" s="7" t="n">
        <x:v>44960</x:v>
      </x:c>
      <x:c r="H186" s="8" t="n">
        <x:v>160000</x:v>
      </x:c>
      <x:c r="I186" s="8"/>
      <x:c r="J186" s="8" t="n">
        <x:v>1</x:v>
      </x:c>
      <x:c r="K186" s="9" t="n">
        <x:v>10.96</x:v>
      </x:c>
      <x:c r="L186" s="8" t="n">
        <x:v>100</x:v>
      </x:c>
      <x:c r="M186" s="10" t="n">
        <x:v>19296</x:v>
      </x:c>
      <x:c r="N186" s="8" t="str">
        <x:v>i</x:v>
      </x:c>
      <x:c r="O186" s="8" t="n">
        <x:v>0</x:v>
      </x:c>
      <x:c r="P186" s="11" t="n">
        <x:f>MIN(X186,MAX(0,SUMIFS('Current inventory'!$D$2:$D$127,'Current inventory'!$A$2:$A$127,A186,'Current inventory'!$B$2:$B$127,B186)-SUMIFS($X$2:X185,$A$2:A185,A186,$B$2:B185,B186)))</x:f>
        <x:v>0</x:v>
      </x:c>
      <x:c r="Q186" s="1" t="str">
        <x:v>Received history</x:v>
      </x:c>
      <x:c r="R186" s="1" t="str">
        <x:v>Receipts data film c400 c800 plastic.csv</x:v>
      </x:c>
      <x:c r="S186" s="12" t="n">
        <x:f>IF(O186=1,I186*J186,0)</x:f>
        <x:v>0</x:v>
      </x:c>
      <x:c r="T186" s="13" t="n">
        <x:f>IF(L186&gt;0,K186/L186,"n.a.")</x:f>
        <x:v>0.1096</x:v>
      </x:c>
      <x:c r="U186" s="12" t="n">
        <x:f>IF(Q186="Old cost",S186,0)</x:f>
        <x:v>0</x:v>
      </x:c>
      <x:c r="V186" s="12" t="n">
        <x:f>IF(Q186="Higher cost",S186,0)</x:f>
        <x:v>0</x:v>
      </x:c>
      <x:c r="W186" s="12" t="n">
        <x:f>IF(Q186="Unclassified",S186,0)</x:f>
        <x:v>0</x:v>
      </x:c>
      <x:c r="X186" s="12" t="n">
        <x:f>IF(AND(ISNUMBER(F186),F186&gt;0,F186&lt;=Summary!$D$5,H186&gt;0),H186*J186,0)</x:f>
        <x:v>160000</x:v>
      </x:c>
    </x:row>
    <x:row r="187" ht="21" customHeight="1">
      <x:c r="A187" s="1" t="str">
        <x:v>60</x:v>
      </x:c>
      <x:c r="B187" s="1" t="str">
        <x:v>800BBLKDSC</x:v>
      </x:c>
      <x:c r="C187" s="1" t="str">
        <x:v>6102667</x:v>
      </x:c>
      <x:c r="D187" s="1" t="str">
        <x:v>1</x:v>
      </x:c>
      <x:c r="E187" s="1"/>
      <x:c r="F187" s="7" t="n">
        <x:v>44957</x:v>
      </x:c>
      <x:c r="G187" s="7" t="n">
        <x:v>44977</x:v>
      </x:c>
      <x:c r="H187" s="8" t="n">
        <x:v>18800</x:v>
      </x:c>
      <x:c r="I187" s="8"/>
      <x:c r="J187" s="8" t="n">
        <x:v>1</x:v>
      </x:c>
      <x:c r="K187" s="9" t="n">
        <x:v>29.14</x:v>
      </x:c>
      <x:c r="L187" s="8" t="n">
        <x:v>100</x:v>
      </x:c>
      <x:c r="M187" s="10" t="n">
        <x:v>5856.2</x:v>
      </x:c>
      <x:c r="N187" s="8" t="str">
        <x:v>i</x:v>
      </x:c>
      <x:c r="O187" s="8" t="n">
        <x:v>0</x:v>
      </x:c>
      <x:c r="P187" s="11" t="n">
        <x:f>MIN(X187,MAX(0,SUMIFS('Current inventory'!$D$2:$D$127,'Current inventory'!$A$2:$A$127,A187,'Current inventory'!$B$2:$B$127,B187)-SUMIFS($X$2:X186,$A$2:A186,A187,$B$2:B186,B187)))</x:f>
        <x:v>0</x:v>
      </x:c>
      <x:c r="Q187" s="1" t="str">
        <x:v>Received history</x:v>
      </x:c>
      <x:c r="R187" s="1" t="str">
        <x:v>Receipts data film c400 c800 plastic.csv</x:v>
      </x:c>
      <x:c r="S187" s="12" t="n">
        <x:f>IF(O187=1,I187*J187,0)</x:f>
        <x:v>0</x:v>
      </x:c>
      <x:c r="T187" s="13" t="n">
        <x:f>IF(L187&gt;0,K187/L187,"n.a.")</x:f>
        <x:v>0.2914</x:v>
      </x:c>
      <x:c r="U187" s="12" t="n">
        <x:f>IF(Q187="Old cost",S187,0)</x:f>
        <x:v>0</x:v>
      </x:c>
      <x:c r="V187" s="12" t="n">
        <x:f>IF(Q187="Higher cost",S187,0)</x:f>
        <x:v>0</x:v>
      </x:c>
      <x:c r="W187" s="12" t="n">
        <x:f>IF(Q187="Unclassified",S187,0)</x:f>
        <x:v>0</x:v>
      </x:c>
      <x:c r="X187" s="12" t="n">
        <x:f>IF(AND(ISNUMBER(F187),F187&gt;0,F187&lt;=Summary!$D$5,H187&gt;0),H187*J187,0)</x:f>
        <x:v>18800</x:v>
      </x:c>
    </x:row>
    <x:row r="188" ht="21" customHeight="1">
      <x:c r="A188" s="1" t="str">
        <x:v>60</x:v>
      </x:c>
      <x:c r="B188" s="1" t="str">
        <x:v>800BBLKISC</x:v>
      </x:c>
      <x:c r="C188" s="1" t="str">
        <x:v>6102667</x:v>
      </x:c>
      <x:c r="D188" s="1" t="str">
        <x:v>1</x:v>
      </x:c>
      <x:c r="E188" s="1"/>
      <x:c r="F188" s="7" t="n">
        <x:v>44957</x:v>
      </x:c>
      <x:c r="G188" s="7" t="n">
        <x:v>44977</x:v>
      </x:c>
      <x:c r="H188" s="8" t="n">
        <x:v>40000</x:v>
      </x:c>
      <x:c r="I188" s="8"/>
      <x:c r="J188" s="8" t="n">
        <x:v>1</x:v>
      </x:c>
      <x:c r="K188" s="9" t="n">
        <x:v>14.09</x:v>
      </x:c>
      <x:c r="L188" s="8" t="n">
        <x:v>100</x:v>
      </x:c>
      <x:c r="M188" s="10" t="n">
        <x:v>6172</x:v>
      </x:c>
      <x:c r="N188" s="8" t="str">
        <x:v>i</x:v>
      </x:c>
      <x:c r="O188" s="8" t="n">
        <x:v>0</x:v>
      </x:c>
      <x:c r="P188" s="11" t="n">
        <x:f>MIN(X188,MAX(0,SUMIFS('Current inventory'!$D$2:$D$127,'Current inventory'!$A$2:$A$127,A188,'Current inventory'!$B$2:$B$127,B188)-SUMIFS($X$2:X187,$A$2:A187,A188,$B$2:B187,B188)))</x:f>
        <x:v>0</x:v>
      </x:c>
      <x:c r="Q188" s="1" t="str">
        <x:v>Received history</x:v>
      </x:c>
      <x:c r="R188" s="1" t="str">
        <x:v>Receipts data film c400 c800 plastic.csv</x:v>
      </x:c>
      <x:c r="S188" s="12" t="n">
        <x:f>IF(O188=1,I188*J188,0)</x:f>
        <x:v>0</x:v>
      </x:c>
      <x:c r="T188" s="13" t="n">
        <x:f>IF(L188&gt;0,K188/L188,"n.a.")</x:f>
        <x:v>0.1409</x:v>
      </x:c>
      <x:c r="U188" s="12" t="n">
        <x:f>IF(Q188="Old cost",S188,0)</x:f>
        <x:v>0</x:v>
      </x:c>
      <x:c r="V188" s="12" t="n">
        <x:f>IF(Q188="Higher cost",S188,0)</x:f>
        <x:v>0</x:v>
      </x:c>
      <x:c r="W188" s="12" t="n">
        <x:f>IF(Q188="Unclassified",S188,0)</x:f>
        <x:v>0</x:v>
      </x:c>
      <x:c r="X188" s="12" t="n">
        <x:f>IF(AND(ISNUMBER(F188),F188&gt;0,F188&lt;=Summary!$D$5,H188&gt;0),H188*J188,0)</x:f>
        <x:v>40000</x:v>
      </x:c>
    </x:row>
    <x:row r="189" ht="21" customHeight="1">
      <x:c r="A189" s="1" t="str">
        <x:v>60</x:v>
      </x:c>
      <x:c r="B189" s="1" t="str">
        <x:v>800BLKE</x:v>
      </x:c>
      <x:c r="C189" s="1" t="str">
        <x:v>6102667</x:v>
      </x:c>
      <x:c r="D189" s="1" t="str">
        <x:v>1</x:v>
      </x:c>
      <x:c r="E189" s="1"/>
      <x:c r="F189" s="7" t="n">
        <x:v>44957</x:v>
      </x:c>
      <x:c r="G189" s="7" t="n">
        <x:v>44977</x:v>
      </x:c>
      <x:c r="H189" s="8" t="n">
        <x:v>4500</x:v>
      </x:c>
      <x:c r="I189" s="8"/>
      <x:c r="J189" s="8" t="n">
        <x:v>1</x:v>
      </x:c>
      <x:c r="K189" s="9" t="n">
        <x:v>800</x:v>
      </x:c>
      <x:c r="L189" s="8" t="n">
        <x:v>1000</x:v>
      </x:c>
      <x:c r="M189" s="10" t="n">
        <x:v>3685.5</x:v>
      </x:c>
      <x:c r="N189" s="8" t="str">
        <x:v>i</x:v>
      </x:c>
      <x:c r="O189" s="8" t="n">
        <x:v>0</x:v>
      </x:c>
      <x:c r="P189" s="11" t="n">
        <x:f>MIN(X189,MAX(0,SUMIFS('Current inventory'!$D$2:$D$127,'Current inventory'!$A$2:$A$127,A189,'Current inventory'!$B$2:$B$127,B189)-SUMIFS($X$2:X188,$A$2:A188,A189,$B$2:B188,B189)))</x:f>
        <x:v>0</x:v>
      </x:c>
      <x:c r="Q189" s="1" t="str">
        <x:v>Received history</x:v>
      </x:c>
      <x:c r="R189" s="1" t="str">
        <x:v>Receipts data film c400 c800 plastic.csv</x:v>
      </x:c>
      <x:c r="S189" s="12" t="n">
        <x:f>IF(O189=1,I189*J189,0)</x:f>
        <x:v>0</x:v>
      </x:c>
      <x:c r="T189" s="13" t="n">
        <x:f>IF(L189&gt;0,K189/L189,"n.a.")</x:f>
        <x:v>0.8</x:v>
      </x:c>
      <x:c r="U189" s="12" t="n">
        <x:f>IF(Q189="Old cost",S189,0)</x:f>
        <x:v>0</x:v>
      </x:c>
      <x:c r="V189" s="12" t="n">
        <x:f>IF(Q189="Higher cost",S189,0)</x:f>
        <x:v>0</x:v>
      </x:c>
      <x:c r="W189" s="12" t="n">
        <x:f>IF(Q189="Unclassified",S189,0)</x:f>
        <x:v>0</x:v>
      </x:c>
      <x:c r="X189" s="12" t="n">
        <x:f>IF(AND(ISNUMBER(F189),F189&gt;0,F189&lt;=Summary!$D$5,H189&gt;0),H189*J189,0)</x:f>
        <x:v>4500</x:v>
      </x:c>
    </x:row>
    <x:row r="190" ht="21" customHeight="1">
      <x:c r="A190" s="1" t="str">
        <x:v>60</x:v>
      </x:c>
      <x:c r="B190" s="1" t="str">
        <x:v>800BBLKASC</x:v>
      </x:c>
      <x:c r="C190" s="1" t="str">
        <x:v>6102652</x:v>
      </x:c>
      <x:c r="D190" s="1" t="str">
        <x:v>4</x:v>
      </x:c>
      <x:c r="E190" s="1"/>
      <x:c r="F190" s="7" t="n">
        <x:v>44957</x:v>
      </x:c>
      <x:c r="G190" s="7" t="n">
        <x:v>44960</x:v>
      </x:c>
      <x:c r="H190" s="8" t="n">
        <x:v>80000</x:v>
      </x:c>
      <x:c r="I190" s="8"/>
      <x:c r="J190" s="8" t="n">
        <x:v>1</x:v>
      </x:c>
      <x:c r="K190" s="9" t="n">
        <x:v>10.96</x:v>
      </x:c>
      <x:c r="L190" s="8" t="n">
        <x:v>100</x:v>
      </x:c>
      <x:c r="M190" s="10" t="n">
        <x:v>9648</x:v>
      </x:c>
      <x:c r="N190" s="8" t="str">
        <x:v>i</x:v>
      </x:c>
      <x:c r="O190" s="8" t="n">
        <x:v>0</x:v>
      </x:c>
      <x:c r="P190" s="11" t="n">
        <x:f>MIN(X190,MAX(0,SUMIFS('Current inventory'!$D$2:$D$127,'Current inventory'!$A$2:$A$127,A190,'Current inventory'!$B$2:$B$127,B190)-SUMIFS($X$2:X189,$A$2:A189,A190,$B$2:B189,B190)))</x:f>
        <x:v>0</x:v>
      </x:c>
      <x:c r="Q190" s="1" t="str">
        <x:v>Received history</x:v>
      </x:c>
      <x:c r="R190" s="1" t="str">
        <x:v>Receipts data film c400 c800 plastic.csv</x:v>
      </x:c>
      <x:c r="S190" s="12" t="n">
        <x:f>IF(O190=1,I190*J190,0)</x:f>
        <x:v>0</x:v>
      </x:c>
      <x:c r="T190" s="13" t="n">
        <x:f>IF(L190&gt;0,K190/L190,"n.a.")</x:f>
        <x:v>0.1096</x:v>
      </x:c>
      <x:c r="U190" s="12" t="n">
        <x:f>IF(Q190="Old cost",S190,0)</x:f>
        <x:v>0</x:v>
      </x:c>
      <x:c r="V190" s="12" t="n">
        <x:f>IF(Q190="Higher cost",S190,0)</x:f>
        <x:v>0</x:v>
      </x:c>
      <x:c r="W190" s="12" t="n">
        <x:f>IF(Q190="Unclassified",S190,0)</x:f>
        <x:v>0</x:v>
      </x:c>
      <x:c r="X190" s="12" t="n">
        <x:f>IF(AND(ISNUMBER(F190),F190&gt;0,F190&lt;=Summary!$D$5,H190&gt;0),H190*J190,0)</x:f>
        <x:v>80000</x:v>
      </x:c>
    </x:row>
    <x:row r="191" ht="21" customHeight="1">
      <x:c r="A191" s="1" t="str">
        <x:v>60</x:v>
      </x:c>
      <x:c r="B191" s="1" t="str">
        <x:v>800BBLKDSC</x:v>
      </x:c>
      <x:c r="C191" s="1" t="str">
        <x:v>6102652</x:v>
      </x:c>
      <x:c r="D191" s="1" t="str">
        <x:v>4</x:v>
      </x:c>
      <x:c r="E191" s="1"/>
      <x:c r="F191" s="7" t="n">
        <x:v>44957</x:v>
      </x:c>
      <x:c r="G191" s="7" t="n">
        <x:v>44977</x:v>
      </x:c>
      <x:c r="H191" s="8" t="n">
        <x:v>40000</x:v>
      </x:c>
      <x:c r="I191" s="8"/>
      <x:c r="J191" s="8" t="n">
        <x:v>1</x:v>
      </x:c>
      <x:c r="K191" s="9" t="n">
        <x:v>29.14</x:v>
      </x:c>
      <x:c r="L191" s="8" t="n">
        <x:v>100</x:v>
      </x:c>
      <x:c r="M191" s="10" t="n">
        <x:v>12460</x:v>
      </x:c>
      <x:c r="N191" s="8" t="str">
        <x:v>i</x:v>
      </x:c>
      <x:c r="O191" s="8" t="n">
        <x:v>0</x:v>
      </x:c>
      <x:c r="P191" s="11" t="n">
        <x:f>MIN(X191,MAX(0,SUMIFS('Current inventory'!$D$2:$D$127,'Current inventory'!$A$2:$A$127,A191,'Current inventory'!$B$2:$B$127,B191)-SUMIFS($X$2:X190,$A$2:A190,A191,$B$2:B190,B191)))</x:f>
        <x:v>0</x:v>
      </x:c>
      <x:c r="Q191" s="1" t="str">
        <x:v>Received history</x:v>
      </x:c>
      <x:c r="R191" s="1" t="str">
        <x:v>Receipts data film c400 c800 plastic.csv</x:v>
      </x:c>
      <x:c r="S191" s="12" t="n">
        <x:f>IF(O191=1,I191*J191,0)</x:f>
        <x:v>0</x:v>
      </x:c>
      <x:c r="T191" s="13" t="n">
        <x:f>IF(L191&gt;0,K191/L191,"n.a.")</x:f>
        <x:v>0.2914</x:v>
      </x:c>
      <x:c r="U191" s="12" t="n">
        <x:f>IF(Q191="Old cost",S191,0)</x:f>
        <x:v>0</x:v>
      </x:c>
      <x:c r="V191" s="12" t="n">
        <x:f>IF(Q191="Higher cost",S191,0)</x:f>
        <x:v>0</x:v>
      </x:c>
      <x:c r="W191" s="12" t="n">
        <x:f>IF(Q191="Unclassified",S191,0)</x:f>
        <x:v>0</x:v>
      </x:c>
      <x:c r="X191" s="12" t="n">
        <x:f>IF(AND(ISNUMBER(F191),F191&gt;0,F191&lt;=Summary!$D$5,H191&gt;0),H191*J191,0)</x:f>
        <x:v>40000</x:v>
      </x:c>
    </x:row>
    <x:row r="192" ht="21" customHeight="1">
      <x:c r="A192" s="1" t="str">
        <x:v>60</x:v>
      </x:c>
      <x:c r="B192" s="1" t="str">
        <x:v>800BMARASC</x:v>
      </x:c>
      <x:c r="C192" s="1" t="str">
        <x:v>6102652</x:v>
      </x:c>
      <x:c r="D192" s="1" t="str">
        <x:v>4</x:v>
      </x:c>
      <x:c r="E192" s="1"/>
      <x:c r="F192" s="7" t="n">
        <x:v>44957</x:v>
      </x:c>
      <x:c r="G192" s="7" t="n">
        <x:v>44960</x:v>
      </x:c>
      <x:c r="H192" s="8" t="n">
        <x:v>10000</x:v>
      </x:c>
      <x:c r="I192" s="8"/>
      <x:c r="J192" s="8" t="n">
        <x:v>1</x:v>
      </x:c>
      <x:c r="K192" s="9" t="n">
        <x:v>13.84</x:v>
      </x:c>
      <x:c r="L192" s="8" t="n">
        <x:v>100</x:v>
      </x:c>
      <x:c r="M192" s="10" t="n">
        <x:v>1402</x:v>
      </x:c>
      <x:c r="N192" s="8" t="str">
        <x:v>i</x:v>
      </x:c>
      <x:c r="O192" s="8" t="n">
        <x:v>0</x:v>
      </x:c>
      <x:c r="P192" s="11" t="n">
        <x:f>MIN(X192,MAX(0,SUMIFS('Current inventory'!$D$2:$D$127,'Current inventory'!$A$2:$A$127,A192,'Current inventory'!$B$2:$B$127,B192)-SUMIFS($X$2:X191,$A$2:A191,A192,$B$2:B191,B192)))</x:f>
        <x:v>0</x:v>
      </x:c>
      <x:c r="Q192" s="1" t="str">
        <x:v>Received history</x:v>
      </x:c>
      <x:c r="R192" s="1" t="str">
        <x:v>Receipts data film c400 c800 plastic.csv</x:v>
      </x:c>
      <x:c r="S192" s="12" t="n">
        <x:f>IF(O192=1,I192*J192,0)</x:f>
        <x:v>0</x:v>
      </x:c>
      <x:c r="T192" s="13" t="n">
        <x:f>IF(L192&gt;0,K192/L192,"n.a.")</x:f>
        <x:v>0.1384</x:v>
      </x:c>
      <x:c r="U192" s="12" t="n">
        <x:f>IF(Q192="Old cost",S192,0)</x:f>
        <x:v>0</x:v>
      </x:c>
      <x:c r="V192" s="12" t="n">
        <x:f>IF(Q192="Higher cost",S192,0)</x:f>
        <x:v>0</x:v>
      </x:c>
      <x:c r="W192" s="12" t="n">
        <x:f>IF(Q192="Unclassified",S192,0)</x:f>
        <x:v>0</x:v>
      </x:c>
      <x:c r="X192" s="12" t="n">
        <x:f>IF(AND(ISNUMBER(F192),F192&gt;0,F192&lt;=Summary!$D$5,H192&gt;0),H192*J192,0)</x:f>
        <x:v>10000</x:v>
      </x:c>
    </x:row>
    <x:row r="193" ht="21" customHeight="1">
      <x:c r="A193" s="1" t="str">
        <x:v>60</x:v>
      </x:c>
      <x:c r="B193" s="1" t="str">
        <x:v>800MARE</x:v>
      </x:c>
      <x:c r="C193" s="1" t="str">
        <x:v>6102624</x:v>
      </x:c>
      <x:c r="D193" s="1" t="str">
        <x:v>4</x:v>
      </x:c>
      <x:c r="E193" s="1"/>
      <x:c r="F193" s="7" t="n">
        <x:v>44957</x:v>
      </x:c>
      <x:c r="G193" s="7" t="n">
        <x:v>44977</x:v>
      </x:c>
      <x:c r="H193" s="8" t="n">
        <x:v>1500</x:v>
      </x:c>
      <x:c r="I193" s="8"/>
      <x:c r="J193" s="8" t="n">
        <x:v>1</x:v>
      </x:c>
      <x:c r="K193" s="9" t="n">
        <x:v>980</x:v>
      </x:c>
      <x:c r="L193" s="8" t="n">
        <x:v>1000</x:v>
      </x:c>
      <x:c r="M193" s="10" t="n">
        <x:v>1516.5</x:v>
      </x:c>
      <x:c r="N193" s="8" t="str">
        <x:v>i</x:v>
      </x:c>
      <x:c r="O193" s="8" t="n">
        <x:v>0</x:v>
      </x:c>
      <x:c r="P193" s="11" t="n">
        <x:f>MIN(X193,MAX(0,SUMIFS('Current inventory'!$D$2:$D$127,'Current inventory'!$A$2:$A$127,A193,'Current inventory'!$B$2:$B$127,B193)-SUMIFS($X$2:X192,$A$2:A192,A193,$B$2:B192,B193)))</x:f>
        <x:v>0</x:v>
      </x:c>
      <x:c r="Q193" s="1" t="str">
        <x:v>Received history</x:v>
      </x:c>
      <x:c r="R193" s="1" t="str">
        <x:v>Receipts data film c400 c800 plastic.csv</x:v>
      </x:c>
      <x:c r="S193" s="12" t="n">
        <x:f>IF(O193=1,I193*J193,0)</x:f>
        <x:v>0</x:v>
      </x:c>
      <x:c r="T193" s="13" t="n">
        <x:f>IF(L193&gt;0,K193/L193,"n.a.")</x:f>
        <x:v>0.98</x:v>
      </x:c>
      <x:c r="U193" s="12" t="n">
        <x:f>IF(Q193="Old cost",S193,0)</x:f>
        <x:v>0</x:v>
      </x:c>
      <x:c r="V193" s="12" t="n">
        <x:f>IF(Q193="Higher cost",S193,0)</x:f>
        <x:v>0</x:v>
      </x:c>
      <x:c r="W193" s="12" t="n">
        <x:f>IF(Q193="Unclassified",S193,0)</x:f>
        <x:v>0</x:v>
      </x:c>
      <x:c r="X193" s="12" t="n">
        <x:f>IF(AND(ISNUMBER(F193),F193&gt;0,F193&lt;=Summary!$D$5,H193&gt;0),H193*J193,0)</x:f>
        <x:v>1500</x:v>
      </x:c>
    </x:row>
    <x:row r="194" ht="21" customHeight="1">
      <x:c r="A194" s="1" t="str">
        <x:v>10</x:v>
      </x:c>
      <x:c r="B194" s="1" t="str">
        <x:v>800BBLKASC</x:v>
      </x:c>
      <x:c r="C194" s="1" t="str">
        <x:v>1055183</x:v>
      </x:c>
      <x:c r="D194" s="1" t="str">
        <x:v>3</x:v>
      </x:c>
      <x:c r="E194" s="1"/>
      <x:c r="F194" s="7" t="n">
        <x:v>44953</x:v>
      </x:c>
      <x:c r="G194" s="7" t="n">
        <x:v>44960</x:v>
      </x:c>
      <x:c r="H194" s="8" t="n">
        <x:v>440000</x:v>
      </x:c>
      <x:c r="I194" s="8"/>
      <x:c r="J194" s="8" t="n">
        <x:v>1</x:v>
      </x:c>
      <x:c r="K194" s="9" t="n">
        <x:v>10.96</x:v>
      </x:c>
      <x:c r="L194" s="8" t="n">
        <x:v>100</x:v>
      </x:c>
      <x:c r="M194" s="10" t="n">
        <x:v>53064</x:v>
      </x:c>
      <x:c r="N194" s="8" t="str">
        <x:v>i</x:v>
      </x:c>
      <x:c r="O194" s="8" t="n">
        <x:v>0</x:v>
      </x:c>
      <x:c r="P194" s="11" t="n">
        <x:f>MIN(X194,MAX(0,SUMIFS('Current inventory'!$D$2:$D$127,'Current inventory'!$A$2:$A$127,A194,'Current inventory'!$B$2:$B$127,B194)-SUMIFS($X$2:X193,$A$2:A193,A194,$B$2:B193,B194)))</x:f>
        <x:v>0</x:v>
      </x:c>
      <x:c r="Q194" s="1" t="str">
        <x:v>Received history</x:v>
      </x:c>
      <x:c r="R194" s="1" t="str">
        <x:v>Receipts data film c400 c800 plastic.csv</x:v>
      </x:c>
      <x:c r="S194" s="12" t="n">
        <x:f>IF(O194=1,I194*J194,0)</x:f>
        <x:v>0</x:v>
      </x:c>
      <x:c r="T194" s="13" t="n">
        <x:f>IF(L194&gt;0,K194/L194,"n.a.")</x:f>
        <x:v>0.1096</x:v>
      </x:c>
      <x:c r="U194" s="12" t="n">
        <x:f>IF(Q194="Old cost",S194,0)</x:f>
        <x:v>0</x:v>
      </x:c>
      <x:c r="V194" s="12" t="n">
        <x:f>IF(Q194="Higher cost",S194,0)</x:f>
        <x:v>0</x:v>
      </x:c>
      <x:c r="W194" s="12" t="n">
        <x:f>IF(Q194="Unclassified",S194,0)</x:f>
        <x:v>0</x:v>
      </x:c>
      <x:c r="X194" s="12" t="n">
        <x:f>IF(AND(ISNUMBER(F194),F194&gt;0,F194&lt;=Summary!$D$5,H194&gt;0),H194*J194,0)</x:f>
        <x:v>440000</x:v>
      </x:c>
    </x:row>
    <x:row r="195" ht="21" customHeight="1">
      <x:c r="A195" s="1" t="str">
        <x:v>10</x:v>
      </x:c>
      <x:c r="B195" s="1" t="str">
        <x:v>800BBLKDSC</x:v>
      </x:c>
      <x:c r="C195" s="1" t="str">
        <x:v>1055183</x:v>
      </x:c>
      <x:c r="D195" s="1" t="str">
        <x:v>3</x:v>
      </x:c>
      <x:c r="E195" s="1"/>
      <x:c r="F195" s="7" t="n">
        <x:v>44953</x:v>
      </x:c>
      <x:c r="G195" s="7" t="n">
        <x:v>44960</x:v>
      </x:c>
      <x:c r="H195" s="8" t="n">
        <x:v>60000</x:v>
      </x:c>
      <x:c r="I195" s="8"/>
      <x:c r="J195" s="8" t="n">
        <x:v>1</x:v>
      </x:c>
      <x:c r="K195" s="9" t="n">
        <x:v>29.14</x:v>
      </x:c>
      <x:c r="L195" s="8" t="n">
        <x:v>100</x:v>
      </x:c>
      <x:c r="M195" s="10" t="n">
        <x:v>18690</x:v>
      </x:c>
      <x:c r="N195" s="8" t="str">
        <x:v>i</x:v>
      </x:c>
      <x:c r="O195" s="8" t="n">
        <x:v>0</x:v>
      </x:c>
      <x:c r="P195" s="11" t="n">
        <x:f>MIN(X195,MAX(0,SUMIFS('Current inventory'!$D$2:$D$127,'Current inventory'!$A$2:$A$127,A195,'Current inventory'!$B$2:$B$127,B195)-SUMIFS($X$2:X194,$A$2:A194,A195,$B$2:B194,B195)))</x:f>
        <x:v>0</x:v>
      </x:c>
      <x:c r="Q195" s="1" t="str">
        <x:v>Received history</x:v>
      </x:c>
      <x:c r="R195" s="1" t="str">
        <x:v>Receipts data film c400 c800 plastic.csv</x:v>
      </x:c>
      <x:c r="S195" s="12" t="n">
        <x:f>IF(O195=1,I195*J195,0)</x:f>
        <x:v>0</x:v>
      </x:c>
      <x:c r="T195" s="13" t="n">
        <x:f>IF(L195&gt;0,K195/L195,"n.a.")</x:f>
        <x:v>0.2914</x:v>
      </x:c>
      <x:c r="U195" s="12" t="n">
        <x:f>IF(Q195="Old cost",S195,0)</x:f>
        <x:v>0</x:v>
      </x:c>
      <x:c r="V195" s="12" t="n">
        <x:f>IF(Q195="Higher cost",S195,0)</x:f>
        <x:v>0</x:v>
      </x:c>
      <x:c r="W195" s="12" t="n">
        <x:f>IF(Q195="Unclassified",S195,0)</x:f>
        <x:v>0</x:v>
      </x:c>
      <x:c r="X195" s="12" t="n">
        <x:f>IF(AND(ISNUMBER(F195),F195&gt;0,F195&lt;=Summary!$D$5,H195&gt;0),H195*J195,0)</x:f>
        <x:v>60000</x:v>
      </x:c>
    </x:row>
    <x:row r="196" ht="21" customHeight="1">
      <x:c r="A196" s="1" t="str">
        <x:v>10</x:v>
      </x:c>
      <x:c r="B196" s="1" t="str">
        <x:v>800BLKE</x:v>
      </x:c>
      <x:c r="C196" s="1" t="str">
        <x:v>1055183</x:v>
      </x:c>
      <x:c r="D196" s="1" t="str">
        <x:v>3</x:v>
      </x:c>
      <x:c r="E196" s="1"/>
      <x:c r="F196" s="7" t="n">
        <x:v>44953</x:v>
      </x:c>
      <x:c r="G196" s="7" t="n">
        <x:v>44977</x:v>
      </x:c>
      <x:c r="H196" s="8" t="n">
        <x:v>0</x:v>
      </x:c>
      <x:c r="I196" s="8"/>
      <x:c r="J196" s="8" t="n">
        <x:v>1</x:v>
      </x:c>
      <x:c r="K196" s="9" t="n">
        <x:v>800</x:v>
      </x:c>
      <x:c r="L196" s="8" t="n">
        <x:v>1000</x:v>
      </x:c>
      <x:c r="M196" s="10" t="n">
        <x:v>0</x:v>
      </x:c>
      <x:c r="N196" s="8" t="str">
        <x:v>i</x:v>
      </x:c>
      <x:c r="O196" s="8" t="n">
        <x:v>0</x:v>
      </x:c>
      <x:c r="P196" s="11" t="n">
        <x:f>MIN(X196,MAX(0,SUMIFS('Current inventory'!$D$2:$D$127,'Current inventory'!$A$2:$A$127,A196,'Current inventory'!$B$2:$B$127,B196)-SUMIFS($X$2:X195,$A$2:A195,A196,$B$2:B195,B196)))</x:f>
        <x:v>0</x:v>
      </x:c>
      <x:c r="Q196" s="1" t="str">
        <x:v>Received history</x:v>
      </x:c>
      <x:c r="R196" s="1" t="str">
        <x:v>Receipts data film c400 c800 plastic.csv</x:v>
      </x:c>
      <x:c r="S196" s="12" t="n">
        <x:f>IF(O196=1,I196*J196,0)</x:f>
        <x:v>0</x:v>
      </x:c>
      <x:c r="T196" s="13" t="n">
        <x:f>IF(L196&gt;0,K196/L196,"n.a.")</x:f>
        <x:v>0.8</x:v>
      </x:c>
      <x:c r="U196" s="12" t="n">
        <x:f>IF(Q196="Old cost",S196,0)</x:f>
        <x:v>0</x:v>
      </x:c>
      <x:c r="V196" s="12" t="n">
        <x:f>IF(Q196="Higher cost",S196,0)</x:f>
        <x:v>0</x:v>
      </x:c>
      <x:c r="W196" s="12" t="n">
        <x:f>IF(Q196="Unclassified",S196,0)</x:f>
        <x:v>0</x:v>
      </x:c>
      <x:c r="X196" s="12" t="n">
        <x:f>IF(AND(ISNUMBER(F196),F196&gt;0,F196&lt;=Summary!$D$5,H196&gt;0),H196*J196,0)</x:f>
        <x:v>0</x:v>
      </x:c>
    </x:row>
    <x:row r="197" ht="21" customHeight="1">
      <x:c r="A197" s="1" t="str">
        <x:v>10</x:v>
      </x:c>
      <x:c r="B197" s="1" t="str">
        <x:v>800BBLKDSC</x:v>
      </x:c>
      <x:c r="C197" s="1" t="str">
        <x:v>1054834</x:v>
      </x:c>
      <x:c r="D197" s="1" t="str">
        <x:v>7</x:v>
      </x:c>
      <x:c r="E197" s="1"/>
      <x:c r="F197" s="7" t="n">
        <x:v>44953</x:v>
      </x:c>
      <x:c r="G197" s="7" t="n">
        <x:v>44595</x:v>
      </x:c>
      <x:c r="H197" s="8" t="n">
        <x:v>20000</x:v>
      </x:c>
      <x:c r="I197" s="8"/>
      <x:c r="J197" s="8" t="n">
        <x:v>1</x:v>
      </x:c>
      <x:c r="K197" s="9" t="n">
        <x:v>29.14</x:v>
      </x:c>
      <x:c r="L197" s="8" t="n">
        <x:v>100</x:v>
      </x:c>
      <x:c r="M197" s="10" t="n">
        <x:v>6230</x:v>
      </x:c>
      <x:c r="N197" s="8" t="str">
        <x:v>i</x:v>
      </x:c>
      <x:c r="O197" s="8" t="n">
        <x:v>0</x:v>
      </x:c>
      <x:c r="P197" s="11" t="n">
        <x:f>MIN(X197,MAX(0,SUMIFS('Current inventory'!$D$2:$D$127,'Current inventory'!$A$2:$A$127,A197,'Current inventory'!$B$2:$B$127,B197)-SUMIFS($X$2:X196,$A$2:A196,A197,$B$2:B196,B197)))</x:f>
        <x:v>0</x:v>
      </x:c>
      <x:c r="Q197" s="1" t="str">
        <x:v>Received history</x:v>
      </x:c>
      <x:c r="R197" s="1" t="str">
        <x:v>Receipts data film c400 c800 plastic.csv</x:v>
      </x:c>
      <x:c r="S197" s="12" t="n">
        <x:f>IF(O197=1,I197*J197,0)</x:f>
        <x:v>0</x:v>
      </x:c>
      <x:c r="T197" s="13" t="n">
        <x:f>IF(L197&gt;0,K197/L197,"n.a.")</x:f>
        <x:v>0.2914</x:v>
      </x:c>
      <x:c r="U197" s="12" t="n">
        <x:f>IF(Q197="Old cost",S197,0)</x:f>
        <x:v>0</x:v>
      </x:c>
      <x:c r="V197" s="12" t="n">
        <x:f>IF(Q197="Higher cost",S197,0)</x:f>
        <x:v>0</x:v>
      </x:c>
      <x:c r="W197" s="12" t="n">
        <x:f>IF(Q197="Unclassified",S197,0)</x:f>
        <x:v>0</x:v>
      </x:c>
      <x:c r="X197" s="12" t="n">
        <x:f>IF(AND(ISNUMBER(F197),F197&gt;0,F197&lt;=Summary!$D$5,H197&gt;0),H197*J197,0)</x:f>
        <x:v>20000</x:v>
      </x:c>
    </x:row>
    <x:row r="198" ht="21" customHeight="1">
      <x:c r="A198" s="1" t="str">
        <x:v>10</x:v>
      </x:c>
      <x:c r="B198" s="1" t="str">
        <x:v>800BLKE</x:v>
      </x:c>
      <x:c r="C198" s="1" t="str">
        <x:v>1054834</x:v>
      </x:c>
      <x:c r="D198" s="1" t="str">
        <x:v>7</x:v>
      </x:c>
      <x:c r="E198" s="1"/>
      <x:c r="F198" s="7" t="n">
        <x:v>44953</x:v>
      </x:c>
      <x:c r="G198" s="7" t="n">
        <x:v>44977</x:v>
      </x:c>
      <x:c r="H198" s="8" t="n">
        <x:v>6000</x:v>
      </x:c>
      <x:c r="I198" s="8"/>
      <x:c r="J198" s="8" t="n">
        <x:v>1</x:v>
      </x:c>
      <x:c r="K198" s="9" t="n">
        <x:v>750</x:v>
      </x:c>
      <x:c r="L198" s="8" t="n">
        <x:v>1000</x:v>
      </x:c>
      <x:c r="M198" s="10" t="n">
        <x:v>4914</x:v>
      </x:c>
      <x:c r="N198" s="8" t="str">
        <x:v>i</x:v>
      </x:c>
      <x:c r="O198" s="8" t="n">
        <x:v>0</x:v>
      </x:c>
      <x:c r="P198" s="11" t="n">
        <x:f>MIN(X198,MAX(0,SUMIFS('Current inventory'!$D$2:$D$127,'Current inventory'!$A$2:$A$127,A198,'Current inventory'!$B$2:$B$127,B198)-SUMIFS($X$2:X197,$A$2:A197,A198,$B$2:B197,B198)))</x:f>
        <x:v>0</x:v>
      </x:c>
      <x:c r="Q198" s="1" t="str">
        <x:v>Received history</x:v>
      </x:c>
      <x:c r="R198" s="1" t="str">
        <x:v>Receipts data film c400 c800 plastic.csv</x:v>
      </x:c>
      <x:c r="S198" s="12" t="n">
        <x:f>IF(O198=1,I198*J198,0)</x:f>
        <x:v>0</x:v>
      </x:c>
      <x:c r="T198" s="13" t="n">
        <x:f>IF(L198&gt;0,K198/L198,"n.a.")</x:f>
        <x:v>0.75</x:v>
      </x:c>
      <x:c r="U198" s="12" t="n">
        <x:f>IF(Q198="Old cost",S198,0)</x:f>
        <x:v>0</x:v>
      </x:c>
      <x:c r="V198" s="12" t="n">
        <x:f>IF(Q198="Higher cost",S198,0)</x:f>
        <x:v>0</x:v>
      </x:c>
      <x:c r="W198" s="12" t="n">
        <x:f>IF(Q198="Unclassified",S198,0)</x:f>
        <x:v>0</x:v>
      </x:c>
      <x:c r="X198" s="12" t="n">
        <x:f>IF(AND(ISNUMBER(F198),F198&gt;0,F198&lt;=Summary!$D$5,H198&gt;0),H198*J198,0)</x:f>
        <x:v>6000</x:v>
      </x:c>
    </x:row>
    <x:row r="199" ht="21" customHeight="1">
      <x:c r="A199" s="1" t="str">
        <x:v>10</x:v>
      </x:c>
      <x:c r="B199" s="1" t="str">
        <x:v>800BMARASC</x:v>
      </x:c>
      <x:c r="C199" s="1" t="str">
        <x:v>1054834</x:v>
      </x:c>
      <x:c r="D199" s="1" t="str">
        <x:v>7</x:v>
      </x:c>
      <x:c r="E199" s="1"/>
      <x:c r="F199" s="7" t="n">
        <x:v>44953</x:v>
      </x:c>
      <x:c r="G199" s="7" t="n">
        <x:v>44595</x:v>
      </x:c>
      <x:c r="H199" s="8" t="n">
        <x:v>30000</x:v>
      </x:c>
      <x:c r="I199" s="8"/>
      <x:c r="J199" s="8" t="n">
        <x:v>1</x:v>
      </x:c>
      <x:c r="K199" s="9" t="n">
        <x:v>13.84</x:v>
      </x:c>
      <x:c r="L199" s="8" t="n">
        <x:v>100</x:v>
      </x:c>
      <x:c r="M199" s="10" t="n">
        <x:v>4206</x:v>
      </x:c>
      <x:c r="N199" s="8" t="str">
        <x:v>i</x:v>
      </x:c>
      <x:c r="O199" s="8" t="n">
        <x:v>0</x:v>
      </x:c>
      <x:c r="P199" s="11" t="n">
        <x:f>MIN(X199,MAX(0,SUMIFS('Current inventory'!$D$2:$D$127,'Current inventory'!$A$2:$A$127,A199,'Current inventory'!$B$2:$B$127,B199)-SUMIFS($X$2:X198,$A$2:A198,A199,$B$2:B198,B199)))</x:f>
        <x:v>0</x:v>
      </x:c>
      <x:c r="Q199" s="1" t="str">
        <x:v>Received history</x:v>
      </x:c>
      <x:c r="R199" s="1" t="str">
        <x:v>Receipts data film c400 c800 plastic.csv</x:v>
      </x:c>
      <x:c r="S199" s="12" t="n">
        <x:f>IF(O199=1,I199*J199,0)</x:f>
        <x:v>0</x:v>
      </x:c>
      <x:c r="T199" s="13" t="n">
        <x:f>IF(L199&gt;0,K199/L199,"n.a.")</x:f>
        <x:v>0.1384</x:v>
      </x:c>
      <x:c r="U199" s="12" t="n">
        <x:f>IF(Q199="Old cost",S199,0)</x:f>
        <x:v>0</x:v>
      </x:c>
      <x:c r="V199" s="12" t="n">
        <x:f>IF(Q199="Higher cost",S199,0)</x:f>
        <x:v>0</x:v>
      </x:c>
      <x:c r="W199" s="12" t="n">
        <x:f>IF(Q199="Unclassified",S199,0)</x:f>
        <x:v>0</x:v>
      </x:c>
      <x:c r="X199" s="12" t="n">
        <x:f>IF(AND(ISNUMBER(F199),F199&gt;0,F199&lt;=Summary!$D$5,H199&gt;0),H199*J199,0)</x:f>
        <x:v>30000</x:v>
      </x:c>
    </x:row>
    <x:row r="200" ht="21" customHeight="1">
      <x:c r="A200" s="1" t="str">
        <x:v>10</x:v>
      </x:c>
      <x:c r="B200" s="1" t="str">
        <x:v>800MARE</x:v>
      </x:c>
      <x:c r="C200" s="1" t="str">
        <x:v>1054353</x:v>
      </x:c>
      <x:c r="D200" s="1" t="str">
        <x:v>4</x:v>
      </x:c>
      <x:c r="E200" s="1"/>
      <x:c r="F200" s="7" t="n">
        <x:v>44953</x:v>
      </x:c>
      <x:c r="G200" s="7" t="n">
        <x:v>44977</x:v>
      </x:c>
      <x:c r="H200" s="8" t="n">
        <x:v>1500</x:v>
      </x:c>
      <x:c r="I200" s="8"/>
      <x:c r="J200" s="8" t="n">
        <x:v>1</x:v>
      </x:c>
      <x:c r="K200" s="9" t="n">
        <x:v>980</x:v>
      </x:c>
      <x:c r="L200" s="8" t="n">
        <x:v>1000</x:v>
      </x:c>
      <x:c r="M200" s="10" t="n">
        <x:v>1516.5</x:v>
      </x:c>
      <x:c r="N200" s="8" t="str">
        <x:v>i</x:v>
      </x:c>
      <x:c r="O200" s="8" t="n">
        <x:v>0</x:v>
      </x:c>
      <x:c r="P200" s="11" t="n">
        <x:f>MIN(X200,MAX(0,SUMIFS('Current inventory'!$D$2:$D$127,'Current inventory'!$A$2:$A$127,A200,'Current inventory'!$B$2:$B$127,B200)-SUMIFS($X$2:X199,$A$2:A199,A200,$B$2:B199,B200)))</x:f>
        <x:v>0</x:v>
      </x:c>
      <x:c r="Q200" s="1" t="str">
        <x:v>Received history</x:v>
      </x:c>
      <x:c r="R200" s="1" t="str">
        <x:v>Receipts data film c400 c800 plastic.csv</x:v>
      </x:c>
      <x:c r="S200" s="12" t="n">
        <x:f>IF(O200=1,I200*J200,0)</x:f>
        <x:v>0</x:v>
      </x:c>
      <x:c r="T200" s="13" t="n">
        <x:f>IF(L200&gt;0,K200/L200,"n.a.")</x:f>
        <x:v>0.98</x:v>
      </x:c>
      <x:c r="U200" s="12" t="n">
        <x:f>IF(Q200="Old cost",S200,0)</x:f>
        <x:v>0</x:v>
      </x:c>
      <x:c r="V200" s="12" t="n">
        <x:f>IF(Q200="Higher cost",S200,0)</x:f>
        <x:v>0</x:v>
      </x:c>
      <x:c r="W200" s="12" t="n">
        <x:f>IF(Q200="Unclassified",S200,0)</x:f>
        <x:v>0</x:v>
      </x:c>
      <x:c r="X200" s="12" t="n">
        <x:f>IF(AND(ISNUMBER(F200),F200&gt;0,F200&lt;=Summary!$D$5,H200&gt;0),H200*J200,0)</x:f>
        <x:v>1500</x:v>
      </x:c>
    </x:row>
    <x:row r="201" ht="21" customHeight="1">
      <x:c r="A201" s="1" t="str">
        <x:v>30</x:v>
      </x:c>
      <x:c r="B201" s="1" t="str">
        <x:v>800BBLKASC</x:v>
      </x:c>
      <x:c r="C201" s="1" t="str">
        <x:v>3003748</x:v>
      </x:c>
      <x:c r="D201" s="1" t="str">
        <x:v>1</x:v>
      </x:c>
      <x:c r="E201" s="1"/>
      <x:c r="F201" s="7" t="n">
        <x:v>44950</x:v>
      </x:c>
      <x:c r="G201" s="7" t="n">
        <x:v>44952</x:v>
      </x:c>
      <x:c r="H201" s="8" t="n">
        <x:v>80000</x:v>
      </x:c>
      <x:c r="I201" s="8"/>
      <x:c r="J201" s="8" t="n">
        <x:v>1</x:v>
      </x:c>
      <x:c r="K201" s="9" t="n">
        <x:v>10.96</x:v>
      </x:c>
      <x:c r="L201" s="8" t="n">
        <x:v>100</x:v>
      </x:c>
      <x:c r="M201" s="10" t="n">
        <x:v>9648</x:v>
      </x:c>
      <x:c r="N201" s="8" t="str">
        <x:v>i</x:v>
      </x:c>
      <x:c r="O201" s="8" t="n">
        <x:v>0</x:v>
      </x:c>
      <x:c r="P201" s="11" t="n">
        <x:f>MIN(X201,MAX(0,SUMIFS('Current inventory'!$D$2:$D$127,'Current inventory'!$A$2:$A$127,A201,'Current inventory'!$B$2:$B$127,B201)-SUMIFS($X$2:X200,$A$2:A200,A201,$B$2:B200,B201)))</x:f>
        <x:v>0</x:v>
      </x:c>
      <x:c r="Q201" s="1" t="str">
        <x:v>Received history</x:v>
      </x:c>
      <x:c r="R201" s="1" t="str">
        <x:v>Receipts data film c400 c800 plastic.csv</x:v>
      </x:c>
      <x:c r="S201" s="12" t="n">
        <x:f>IF(O201=1,I201*J201,0)</x:f>
        <x:v>0</x:v>
      </x:c>
      <x:c r="T201" s="13" t="n">
        <x:f>IF(L201&gt;0,K201/L201,"n.a.")</x:f>
        <x:v>0.1096</x:v>
      </x:c>
      <x:c r="U201" s="12" t="n">
        <x:f>IF(Q201="Old cost",S201,0)</x:f>
        <x:v>0</x:v>
      </x:c>
      <x:c r="V201" s="12" t="n">
        <x:f>IF(Q201="Higher cost",S201,0)</x:f>
        <x:v>0</x:v>
      </x:c>
      <x:c r="W201" s="12" t="n">
        <x:f>IF(Q201="Unclassified",S201,0)</x:f>
        <x:v>0</x:v>
      </x:c>
      <x:c r="X201" s="12" t="n">
        <x:f>IF(AND(ISNUMBER(F201),F201&gt;0,F201&lt;=Summary!$D$5,H201&gt;0),H201*J201,0)</x:f>
        <x:v>80000</x:v>
      </x:c>
    </x:row>
    <x:row r="202" ht="21" customHeight="1">
      <x:c r="A202" s="1" t="str">
        <x:v>30</x:v>
      </x:c>
      <x:c r="B202" s="1" t="str">
        <x:v>800BBLKDSC</x:v>
      </x:c>
      <x:c r="C202" s="1" t="str">
        <x:v>3003748</x:v>
      </x:c>
      <x:c r="D202" s="1" t="str">
        <x:v>1</x:v>
      </x:c>
      <x:c r="E202" s="1"/>
      <x:c r="F202" s="7" t="n">
        <x:v>44950</x:v>
      </x:c>
      <x:c r="G202" s="7" t="n">
        <x:v>44952</x:v>
      </x:c>
      <x:c r="H202" s="8" t="n">
        <x:v>20000</x:v>
      </x:c>
      <x:c r="I202" s="8"/>
      <x:c r="J202" s="8" t="n">
        <x:v>1</x:v>
      </x:c>
      <x:c r="K202" s="9" t="n">
        <x:v>29.14</x:v>
      </x:c>
      <x:c r="L202" s="8" t="n">
        <x:v>100</x:v>
      </x:c>
      <x:c r="M202" s="10" t="n">
        <x:v>6230</x:v>
      </x:c>
      <x:c r="N202" s="8" t="str">
        <x:v>i</x:v>
      </x:c>
      <x:c r="O202" s="8" t="n">
        <x:v>0</x:v>
      </x:c>
      <x:c r="P202" s="11" t="n">
        <x:f>MIN(X202,MAX(0,SUMIFS('Current inventory'!$D$2:$D$127,'Current inventory'!$A$2:$A$127,A202,'Current inventory'!$B$2:$B$127,B202)-SUMIFS($X$2:X201,$A$2:A201,A202,$B$2:B201,B202)))</x:f>
        <x:v>0</x:v>
      </x:c>
      <x:c r="Q202" s="1" t="str">
        <x:v>Received history</x:v>
      </x:c>
      <x:c r="R202" s="1" t="str">
        <x:v>Receipts data film c400 c800 plastic.csv</x:v>
      </x:c>
      <x:c r="S202" s="12" t="n">
        <x:f>IF(O202=1,I202*J202,0)</x:f>
        <x:v>0</x:v>
      </x:c>
      <x:c r="T202" s="13" t="n">
        <x:f>IF(L202&gt;0,K202/L202,"n.a.")</x:f>
        <x:v>0.2914</x:v>
      </x:c>
      <x:c r="U202" s="12" t="n">
        <x:f>IF(Q202="Old cost",S202,0)</x:f>
        <x:v>0</x:v>
      </x:c>
      <x:c r="V202" s="12" t="n">
        <x:f>IF(Q202="Higher cost",S202,0)</x:f>
        <x:v>0</x:v>
      </x:c>
      <x:c r="W202" s="12" t="n">
        <x:f>IF(Q202="Unclassified",S202,0)</x:f>
        <x:v>0</x:v>
      </x:c>
      <x:c r="X202" s="12" t="n">
        <x:f>IF(AND(ISNUMBER(F202),F202&gt;0,F202&lt;=Summary!$D$5,H202&gt;0),H202*J202,0)</x:f>
        <x:v>20000</x:v>
      </x:c>
    </x:row>
    <x:row r="203" ht="21" customHeight="1">
      <x:c r="A203" s="1" t="str">
        <x:v>30</x:v>
      </x:c>
      <x:c r="B203" s="1" t="str">
        <x:v>800BBLKDSC</x:v>
      </x:c>
      <x:c r="C203" s="1" t="str">
        <x:v>3003735</x:v>
      </x:c>
      <x:c r="D203" s="1" t="str">
        <x:v>2</x:v>
      </x:c>
      <x:c r="E203" s="1"/>
      <x:c r="F203" s="7" t="n">
        <x:v>44950</x:v>
      </x:c>
      <x:c r="G203" s="7" t="n">
        <x:v>44952</x:v>
      </x:c>
      <x:c r="H203" s="8" t="n">
        <x:v>20000</x:v>
      </x:c>
      <x:c r="I203" s="8"/>
      <x:c r="J203" s="8" t="n">
        <x:v>1</x:v>
      </x:c>
      <x:c r="K203" s="9" t="n">
        <x:v>29.14</x:v>
      </x:c>
      <x:c r="L203" s="8" t="n">
        <x:v>100</x:v>
      </x:c>
      <x:c r="M203" s="10" t="n">
        <x:v>6230</x:v>
      </x:c>
      <x:c r="N203" s="8" t="str">
        <x:v>i</x:v>
      </x:c>
      <x:c r="O203" s="8" t="n">
        <x:v>0</x:v>
      </x:c>
      <x:c r="P203" s="11" t="n">
        <x:f>MIN(X203,MAX(0,SUMIFS('Current inventory'!$D$2:$D$127,'Current inventory'!$A$2:$A$127,A203,'Current inventory'!$B$2:$B$127,B203)-SUMIFS($X$2:X202,$A$2:A202,A203,$B$2:B202,B203)))</x:f>
        <x:v>0</x:v>
      </x:c>
      <x:c r="Q203" s="1" t="str">
        <x:v>Received history</x:v>
      </x:c>
      <x:c r="R203" s="1" t="str">
        <x:v>Receipts data film c400 c800 plastic.csv</x:v>
      </x:c>
      <x:c r="S203" s="12" t="n">
        <x:f>IF(O203=1,I203*J203,0)</x:f>
        <x:v>0</x:v>
      </x:c>
      <x:c r="T203" s="13" t="n">
        <x:f>IF(L203&gt;0,K203/L203,"n.a.")</x:f>
        <x:v>0.2914</x:v>
      </x:c>
      <x:c r="U203" s="12" t="n">
        <x:f>IF(Q203="Old cost",S203,0)</x:f>
        <x:v>0</x:v>
      </x:c>
      <x:c r="V203" s="12" t="n">
        <x:f>IF(Q203="Higher cost",S203,0)</x:f>
        <x:v>0</x:v>
      </x:c>
      <x:c r="W203" s="12" t="n">
        <x:f>IF(Q203="Unclassified",S203,0)</x:f>
        <x:v>0</x:v>
      </x:c>
      <x:c r="X203" s="12" t="n">
        <x:f>IF(AND(ISNUMBER(F203),F203&gt;0,F203&lt;=Summary!$D$5,H203&gt;0),H203*J203,0)</x:f>
        <x:v>20000</x:v>
      </x:c>
    </x:row>
    <x:row r="204" ht="21" customHeight="1">
      <x:c r="A204" s="1" t="str">
        <x:v>30</x:v>
      </x:c>
      <x:c r="B204" s="1" t="str">
        <x:v>800BMARASC</x:v>
      </x:c>
      <x:c r="C204" s="1" t="str">
        <x:v>3003735</x:v>
      </x:c>
      <x:c r="D204" s="1" t="str">
        <x:v>2</x:v>
      </x:c>
      <x:c r="E204" s="1"/>
      <x:c r="F204" s="7" t="n">
        <x:v>44950</x:v>
      </x:c>
      <x:c r="G204" s="7" t="n">
        <x:v>44952</x:v>
      </x:c>
      <x:c r="H204" s="8" t="n">
        <x:v>40000</x:v>
      </x:c>
      <x:c r="I204" s="8"/>
      <x:c r="J204" s="8" t="n">
        <x:v>1</x:v>
      </x:c>
      <x:c r="K204" s="9" t="n">
        <x:v>13.84</x:v>
      </x:c>
      <x:c r="L204" s="8" t="n">
        <x:v>100</x:v>
      </x:c>
      <x:c r="M204" s="10" t="n">
        <x:v>5608</x:v>
      </x:c>
      <x:c r="N204" s="8" t="str">
        <x:v>i</x:v>
      </x:c>
      <x:c r="O204" s="8" t="n">
        <x:v>0</x:v>
      </x:c>
      <x:c r="P204" s="11" t="n">
        <x:f>MIN(X204,MAX(0,SUMIFS('Current inventory'!$D$2:$D$127,'Current inventory'!$A$2:$A$127,A204,'Current inventory'!$B$2:$B$127,B204)-SUMIFS($X$2:X203,$A$2:A203,A204,$B$2:B203,B204)))</x:f>
        <x:v>0</x:v>
      </x:c>
      <x:c r="Q204" s="1" t="str">
        <x:v>Received history</x:v>
      </x:c>
      <x:c r="R204" s="1" t="str">
        <x:v>Receipts data film c400 c800 plastic.csv</x:v>
      </x:c>
      <x:c r="S204" s="12" t="n">
        <x:f>IF(O204=1,I204*J204,0)</x:f>
        <x:v>0</x:v>
      </x:c>
      <x:c r="T204" s="13" t="n">
        <x:f>IF(L204&gt;0,K204/L204,"n.a.")</x:f>
        <x:v>0.1384</x:v>
      </x:c>
      <x:c r="U204" s="12" t="n">
        <x:f>IF(Q204="Old cost",S204,0)</x:f>
        <x:v>0</x:v>
      </x:c>
      <x:c r="V204" s="12" t="n">
        <x:f>IF(Q204="Higher cost",S204,0)</x:f>
        <x:v>0</x:v>
      </x:c>
      <x:c r="W204" s="12" t="n">
        <x:f>IF(Q204="Unclassified",S204,0)</x:f>
        <x:v>0</x:v>
      </x:c>
      <x:c r="X204" s="12" t="n">
        <x:f>IF(AND(ISNUMBER(F204),F204&gt;0,F204&lt;=Summary!$D$5,H204&gt;0),H204*J204,0)</x:f>
        <x:v>40000</x:v>
      </x:c>
    </x:row>
    <x:row r="205" ht="21" customHeight="1">
      <x:c r="A205" s="1" t="str">
        <x:v>10</x:v>
      </x:c>
      <x:c r="B205" s="1" t="str">
        <x:v>800BBLKISC</x:v>
      </x:c>
      <x:c r="C205" s="1" t="str">
        <x:v>1055183</x:v>
      </x:c>
      <x:c r="D205" s="1" t="str">
        <x:v>2</x:v>
      </x:c>
      <x:c r="E205" s="1"/>
      <x:c r="F205" s="7" t="n">
        <x:v>44915</x:v>
      </x:c>
      <x:c r="G205" s="7" t="n">
        <x:v>44946</x:v>
      </x:c>
      <x:c r="H205" s="8" t="n">
        <x:v>40000</x:v>
      </x:c>
      <x:c r="I205" s="8"/>
      <x:c r="J205" s="8" t="n">
        <x:v>1</x:v>
      </x:c>
      <x:c r="K205" s="9" t="n">
        <x:v>14.09</x:v>
      </x:c>
      <x:c r="L205" s="8" t="n">
        <x:v>100</x:v>
      </x:c>
      <x:c r="M205" s="10" t="n">
        <x:v>6172</x:v>
      </x:c>
      <x:c r="N205" s="8" t="str">
        <x:v>i</x:v>
      </x:c>
      <x:c r="O205" s="8" t="n">
        <x:v>0</x:v>
      </x:c>
      <x:c r="P205" s="11" t="n">
        <x:f>MIN(X205,MAX(0,SUMIFS('Current inventory'!$D$2:$D$127,'Current inventory'!$A$2:$A$127,A205,'Current inventory'!$B$2:$B$127,B205)-SUMIFS($X$2:X204,$A$2:A204,A205,$B$2:B204,B205)))</x:f>
        <x:v>0</x:v>
      </x:c>
      <x:c r="Q205" s="1" t="str">
        <x:v>Received history</x:v>
      </x:c>
      <x:c r="R205" s="1" t="str">
        <x:v>Receipts data film c400 c800 plastic.csv</x:v>
      </x:c>
      <x:c r="S205" s="12" t="n">
        <x:f>IF(O205=1,I205*J205,0)</x:f>
        <x:v>0</x:v>
      </x:c>
      <x:c r="T205" s="13" t="n">
        <x:f>IF(L205&gt;0,K205/L205,"n.a.")</x:f>
        <x:v>0.1409</x:v>
      </x:c>
      <x:c r="U205" s="12" t="n">
        <x:f>IF(Q205="Old cost",S205,0)</x:f>
        <x:v>0</x:v>
      </x:c>
      <x:c r="V205" s="12" t="n">
        <x:f>IF(Q205="Higher cost",S205,0)</x:f>
        <x:v>0</x:v>
      </x:c>
      <x:c r="W205" s="12" t="n">
        <x:f>IF(Q205="Unclassified",S205,0)</x:f>
        <x:v>0</x:v>
      </x:c>
      <x:c r="X205" s="12" t="n">
        <x:f>IF(AND(ISNUMBER(F205),F205&gt;0,F205&lt;=Summary!$D$5,H205&gt;0),H205*J205,0)</x:f>
        <x:v>40000</x:v>
      </x:c>
    </x:row>
    <x:row r="206" ht="21" customHeight="1">
      <x:c r="A206" s="1" t="str">
        <x:v>10</x:v>
      </x:c>
      <x:c r="B206" s="1" t="str">
        <x:v>800BBLKASC</x:v>
      </x:c>
      <x:c r="C206" s="1" t="str">
        <x:v>1055183</x:v>
      </x:c>
      <x:c r="D206" s="1" t="str">
        <x:v>1</x:v>
      </x:c>
      <x:c r="E206" s="1"/>
      <x:c r="F206" s="7" t="n">
        <x:v>44915</x:v>
      </x:c>
      <x:c r="G206" s="7" t="n">
        <x:v>44946</x:v>
      </x:c>
      <x:c r="H206" s="8" t="n">
        <x:v>0</x:v>
      </x:c>
      <x:c r="I206" s="8"/>
      <x:c r="J206" s="8" t="n">
        <x:v>1</x:v>
      </x:c>
      <x:c r="K206" s="9" t="n">
        <x:v>10.96</x:v>
      </x:c>
      <x:c r="L206" s="8" t="n">
        <x:v>100</x:v>
      </x:c>
      <x:c r="M206" s="10" t="n">
        <x:v>0</x:v>
      </x:c>
      <x:c r="N206" s="8" t="str">
        <x:v>i</x:v>
      </x:c>
      <x:c r="O206" s="8" t="n">
        <x:v>0</x:v>
      </x:c>
      <x:c r="P206" s="11" t="n">
        <x:f>MIN(X206,MAX(0,SUMIFS('Current inventory'!$D$2:$D$127,'Current inventory'!$A$2:$A$127,A206,'Current inventory'!$B$2:$B$127,B206)-SUMIFS($X$2:X205,$A$2:A205,A206,$B$2:B205,B206)))</x:f>
        <x:v>0</x:v>
      </x:c>
      <x:c r="Q206" s="1" t="str">
        <x:v>Received history</x:v>
      </x:c>
      <x:c r="R206" s="1" t="str">
        <x:v>Receipts data film c400 c800 plastic.csv</x:v>
      </x:c>
      <x:c r="S206" s="12" t="n">
        <x:f>IF(O206=1,I206*J206,0)</x:f>
        <x:v>0</x:v>
      </x:c>
      <x:c r="T206" s="13" t="n">
        <x:f>IF(L206&gt;0,K206/L206,"n.a.")</x:f>
        <x:v>0.1096</x:v>
      </x:c>
      <x:c r="U206" s="12" t="n">
        <x:f>IF(Q206="Old cost",S206,0)</x:f>
        <x:v>0</x:v>
      </x:c>
      <x:c r="V206" s="12" t="n">
        <x:f>IF(Q206="Higher cost",S206,0)</x:f>
        <x:v>0</x:v>
      </x:c>
      <x:c r="W206" s="12" t="n">
        <x:f>IF(Q206="Unclassified",S206,0)</x:f>
        <x:v>0</x:v>
      </x:c>
      <x:c r="X206" s="12" t="n">
        <x:f>IF(AND(ISNUMBER(F206),F206&gt;0,F206&lt;=Summary!$D$5,H206&gt;0),H206*J206,0)</x:f>
        <x:v>0</x:v>
      </x:c>
    </x:row>
    <x:row r="207" ht="21" customHeight="1">
      <x:c r="A207" s="1" t="str">
        <x:v>10</x:v>
      </x:c>
      <x:c r="B207" s="1" t="str">
        <x:v>800BBLKDSC</x:v>
      </x:c>
      <x:c r="C207" s="1" t="str">
        <x:v>1055183</x:v>
      </x:c>
      <x:c r="D207" s="1" t="str">
        <x:v>1</x:v>
      </x:c>
      <x:c r="E207" s="1"/>
      <x:c r="F207" s="7" t="n">
        <x:v>44915</x:v>
      </x:c>
      <x:c r="G207" s="7" t="n">
        <x:v>44946</x:v>
      </x:c>
      <x:c r="H207" s="8" t="n">
        <x:v>0</x:v>
      </x:c>
      <x:c r="I207" s="8"/>
      <x:c r="J207" s="8" t="n">
        <x:v>1</x:v>
      </x:c>
      <x:c r="K207" s="9" t="n">
        <x:v>29.14</x:v>
      </x:c>
      <x:c r="L207" s="8" t="n">
        <x:v>100</x:v>
      </x:c>
      <x:c r="M207" s="10" t="n">
        <x:v>0</x:v>
      </x:c>
      <x:c r="N207" s="8" t="str">
        <x:v>i</x:v>
      </x:c>
      <x:c r="O207" s="8" t="n">
        <x:v>0</x:v>
      </x:c>
      <x:c r="P207" s="11" t="n">
        <x:f>MIN(X207,MAX(0,SUMIFS('Current inventory'!$D$2:$D$127,'Current inventory'!$A$2:$A$127,A207,'Current inventory'!$B$2:$B$127,B207)-SUMIFS($X$2:X206,$A$2:A206,A207,$B$2:B206,B207)))</x:f>
        <x:v>0</x:v>
      </x:c>
      <x:c r="Q207" s="1" t="str">
        <x:v>Received history</x:v>
      </x:c>
      <x:c r="R207" s="1" t="str">
        <x:v>Receipts data film c400 c800 plastic.csv</x:v>
      </x:c>
      <x:c r="S207" s="12" t="n">
        <x:f>IF(O207=1,I207*J207,0)</x:f>
        <x:v>0</x:v>
      </x:c>
      <x:c r="T207" s="13" t="n">
        <x:f>IF(L207&gt;0,K207/L207,"n.a.")</x:f>
        <x:v>0.2914</x:v>
      </x:c>
      <x:c r="U207" s="12" t="n">
        <x:f>IF(Q207="Old cost",S207,0)</x:f>
        <x:v>0</x:v>
      </x:c>
      <x:c r="V207" s="12" t="n">
        <x:f>IF(Q207="Higher cost",S207,0)</x:f>
        <x:v>0</x:v>
      </x:c>
      <x:c r="W207" s="12" t="n">
        <x:f>IF(Q207="Unclassified",S207,0)</x:f>
        <x:v>0</x:v>
      </x:c>
      <x:c r="X207" s="12" t="n">
        <x:f>IF(AND(ISNUMBER(F207),F207&gt;0,F207&lt;=Summary!$D$5,H207&gt;0),H207*J207,0)</x:f>
        <x:v>0</x:v>
      </x:c>
    </x:row>
    <x:row r="208" ht="21" customHeight="1">
      <x:c r="A208" s="1" t="str">
        <x:v>10</x:v>
      </x:c>
      <x:c r="B208" s="1" t="str">
        <x:v>800BBLKISC</x:v>
      </x:c>
      <x:c r="C208" s="1" t="str">
        <x:v>1055183</x:v>
      </x:c>
      <x:c r="D208" s="1" t="str">
        <x:v>1</x:v>
      </x:c>
      <x:c r="E208" s="1"/>
      <x:c r="F208" s="7" t="n">
        <x:v>44915</x:v>
      </x:c>
      <x:c r="G208" s="7" t="n">
        <x:v>44946</x:v>
      </x:c>
      <x:c r="H208" s="8" t="n">
        <x:v>40000</x:v>
      </x:c>
      <x:c r="I208" s="8"/>
      <x:c r="J208" s="8" t="n">
        <x:v>1</x:v>
      </x:c>
      <x:c r="K208" s="9" t="n">
        <x:v>14.09</x:v>
      </x:c>
      <x:c r="L208" s="8" t="n">
        <x:v>100</x:v>
      </x:c>
      <x:c r="M208" s="10" t="n">
        <x:v>6172</x:v>
      </x:c>
      <x:c r="N208" s="8" t="str">
        <x:v>i</x:v>
      </x:c>
      <x:c r="O208" s="8" t="n">
        <x:v>0</x:v>
      </x:c>
      <x:c r="P208" s="11" t="n">
        <x:f>MIN(X208,MAX(0,SUMIFS('Current inventory'!$D$2:$D$127,'Current inventory'!$A$2:$A$127,A208,'Current inventory'!$B$2:$B$127,B208)-SUMIFS($X$2:X207,$A$2:A207,A208,$B$2:B207,B208)))</x:f>
        <x:v>0</x:v>
      </x:c>
      <x:c r="Q208" s="1" t="str">
        <x:v>Received history</x:v>
      </x:c>
      <x:c r="R208" s="1" t="str">
        <x:v>Receipts data film c400 c800 plastic.csv</x:v>
      </x:c>
      <x:c r="S208" s="12" t="n">
        <x:f>IF(O208=1,I208*J208,0)</x:f>
        <x:v>0</x:v>
      </x:c>
      <x:c r="T208" s="13" t="n">
        <x:f>IF(L208&gt;0,K208/L208,"n.a.")</x:f>
        <x:v>0.1409</x:v>
      </x:c>
      <x:c r="U208" s="12" t="n">
        <x:f>IF(Q208="Old cost",S208,0)</x:f>
        <x:v>0</x:v>
      </x:c>
      <x:c r="V208" s="12" t="n">
        <x:f>IF(Q208="Higher cost",S208,0)</x:f>
        <x:v>0</x:v>
      </x:c>
      <x:c r="W208" s="12" t="n">
        <x:f>IF(Q208="Unclassified",S208,0)</x:f>
        <x:v>0</x:v>
      </x:c>
      <x:c r="X208" s="12" t="n">
        <x:f>IF(AND(ISNUMBER(F208),F208&gt;0,F208&lt;=Summary!$D$5,H208&gt;0),H208*J208,0)</x:f>
        <x:v>40000</x:v>
      </x:c>
    </x:row>
    <x:row r="209" ht="21" customHeight="1">
      <x:c r="A209" s="1" t="str">
        <x:v>10</x:v>
      </x:c>
      <x:c r="B209" s="1" t="str">
        <x:v>800BLKE</x:v>
      </x:c>
      <x:c r="C209" s="1" t="str">
        <x:v>1055183</x:v>
      </x:c>
      <x:c r="D209" s="1" t="str">
        <x:v>1</x:v>
      </x:c>
      <x:c r="E209" s="1"/>
      <x:c r="F209" s="7" t="n">
        <x:v>44915</x:v>
      </x:c>
      <x:c r="G209" s="7" t="n">
        <x:v>44946</x:v>
      </x:c>
      <x:c r="H209" s="8" t="n">
        <x:v>0</x:v>
      </x:c>
      <x:c r="I209" s="8"/>
      <x:c r="J209" s="8" t="n">
        <x:v>1</x:v>
      </x:c>
      <x:c r="K209" s="9" t="n">
        <x:v>800</x:v>
      </x:c>
      <x:c r="L209" s="8" t="n">
        <x:v>1000</x:v>
      </x:c>
      <x:c r="M209" s="10" t="n">
        <x:v>0</x:v>
      </x:c>
      <x:c r="N209" s="8" t="str">
        <x:v>i</x:v>
      </x:c>
      <x:c r="O209" s="8" t="n">
        <x:v>0</x:v>
      </x:c>
      <x:c r="P209" s="11" t="n">
        <x:f>MIN(X209,MAX(0,SUMIFS('Current inventory'!$D$2:$D$127,'Current inventory'!$A$2:$A$127,A209,'Current inventory'!$B$2:$B$127,B209)-SUMIFS($X$2:X208,$A$2:A208,A209,$B$2:B208,B209)))</x:f>
        <x:v>0</x:v>
      </x:c>
      <x:c r="Q209" s="1" t="str">
        <x:v>Received history</x:v>
      </x:c>
      <x:c r="R209" s="1" t="str">
        <x:v>Receipts data film c400 c800 plastic.csv</x:v>
      </x:c>
      <x:c r="S209" s="12" t="n">
        <x:f>IF(O209=1,I209*J209,0)</x:f>
        <x:v>0</x:v>
      </x:c>
      <x:c r="T209" s="13" t="n">
        <x:f>IF(L209&gt;0,K209/L209,"n.a.")</x:f>
        <x:v>0.8</x:v>
      </x:c>
      <x:c r="U209" s="12" t="n">
        <x:f>IF(Q209="Old cost",S209,0)</x:f>
        <x:v>0</x:v>
      </x:c>
      <x:c r="V209" s="12" t="n">
        <x:f>IF(Q209="Higher cost",S209,0)</x:f>
        <x:v>0</x:v>
      </x:c>
      <x:c r="W209" s="12" t="n">
        <x:f>IF(Q209="Unclassified",S209,0)</x:f>
        <x:v>0</x:v>
      </x:c>
      <x:c r="X209" s="12" t="n">
        <x:f>IF(AND(ISNUMBER(F209),F209&gt;0,F209&lt;=Summary!$D$5,H209&gt;0),H209*J209,0)</x:f>
        <x:v>0</x:v>
      </x:c>
    </x:row>
    <x:row r="210" ht="21" customHeight="1">
      <x:c r="A210" s="1" t="str">
        <x:v>10</x:v>
      </x:c>
      <x:c r="B210" s="1" t="str">
        <x:v>800BBLKASC</x:v>
      </x:c>
      <x:c r="C210" s="1" t="str">
        <x:v>1055183</x:v>
      </x:c>
      <x:c r="D210" s="1" t="str">
        <x:v>0</x:v>
      </x:c>
      <x:c r="E210" s="1"/>
      <x:c r="F210" s="7" t="n">
        <x:v>44915</x:v>
      </x:c>
      <x:c r="G210" s="7" t="n">
        <x:v>44946</x:v>
      </x:c>
      <x:c r="H210" s="8" t="n">
        <x:v>0</x:v>
      </x:c>
      <x:c r="I210" s="8"/>
      <x:c r="J210" s="8" t="n">
        <x:v>1</x:v>
      </x:c>
      <x:c r="K210" s="9" t="n">
        <x:v>10.96</x:v>
      </x:c>
      <x:c r="L210" s="8" t="n">
        <x:v>100</x:v>
      </x:c>
      <x:c r="M210" s="10" t="n">
        <x:v>0</x:v>
      </x:c>
      <x:c r="N210" s="8" t="str">
        <x:v>i</x:v>
      </x:c>
      <x:c r="O210" s="8" t="n">
        <x:v>0</x:v>
      </x:c>
      <x:c r="P210" s="11" t="n">
        <x:f>MIN(X210,MAX(0,SUMIFS('Current inventory'!$D$2:$D$127,'Current inventory'!$A$2:$A$127,A210,'Current inventory'!$B$2:$B$127,B210)-SUMIFS($X$2:X209,$A$2:A209,A210,$B$2:B209,B210)))</x:f>
        <x:v>0</x:v>
      </x:c>
      <x:c r="Q210" s="1" t="str">
        <x:v>Received history</x:v>
      </x:c>
      <x:c r="R210" s="1" t="str">
        <x:v>Receipts data film c400 c800 plastic.csv</x:v>
      </x:c>
      <x:c r="S210" s="12" t="n">
        <x:f>IF(O210=1,I210*J210,0)</x:f>
        <x:v>0</x:v>
      </x:c>
      <x:c r="T210" s="13" t="n">
        <x:f>IF(L210&gt;0,K210/L210,"n.a.")</x:f>
        <x:v>0.1096</x:v>
      </x:c>
      <x:c r="U210" s="12" t="n">
        <x:f>IF(Q210="Old cost",S210,0)</x:f>
        <x:v>0</x:v>
      </x:c>
      <x:c r="V210" s="12" t="n">
        <x:f>IF(Q210="Higher cost",S210,0)</x:f>
        <x:v>0</x:v>
      </x:c>
      <x:c r="W210" s="12" t="n">
        <x:f>IF(Q210="Unclassified",S210,0)</x:f>
        <x:v>0</x:v>
      </x:c>
      <x:c r="X210" s="12" t="n">
        <x:f>IF(AND(ISNUMBER(F210),F210&gt;0,F210&lt;=Summary!$D$5,H210&gt;0),H210*J210,0)</x:f>
        <x:v>0</x:v>
      </x:c>
    </x:row>
    <x:row r="211" ht="21" customHeight="1">
      <x:c r="A211" s="1" t="str">
        <x:v>10</x:v>
      </x:c>
      <x:c r="B211" s="1" t="str">
        <x:v>800BBLKDSC</x:v>
      </x:c>
      <x:c r="C211" s="1" t="str">
        <x:v>1055183</x:v>
      </x:c>
      <x:c r="D211" s="1" t="str">
        <x:v>0</x:v>
      </x:c>
      <x:c r="E211" s="1"/>
      <x:c r="F211" s="7" t="n">
        <x:v>44915</x:v>
      </x:c>
      <x:c r="G211" s="7" t="n">
        <x:v>44946</x:v>
      </x:c>
      <x:c r="H211" s="8" t="n">
        <x:v>0</x:v>
      </x:c>
      <x:c r="I211" s="8"/>
      <x:c r="J211" s="8" t="n">
        <x:v>1</x:v>
      </x:c>
      <x:c r="K211" s="9" t="n">
        <x:v>29.14</x:v>
      </x:c>
      <x:c r="L211" s="8" t="n">
        <x:v>100</x:v>
      </x:c>
      <x:c r="M211" s="10" t="n">
        <x:v>0</x:v>
      </x:c>
      <x:c r="N211" s="8" t="str">
        <x:v>i</x:v>
      </x:c>
      <x:c r="O211" s="8" t="n">
        <x:v>0</x:v>
      </x:c>
      <x:c r="P211" s="11" t="n">
        <x:f>MIN(X211,MAX(0,SUMIFS('Current inventory'!$D$2:$D$127,'Current inventory'!$A$2:$A$127,A211,'Current inventory'!$B$2:$B$127,B211)-SUMIFS($X$2:X210,$A$2:A210,A211,$B$2:B210,B211)))</x:f>
        <x:v>0</x:v>
      </x:c>
      <x:c r="Q211" s="1" t="str">
        <x:v>Received history</x:v>
      </x:c>
      <x:c r="R211" s="1" t="str">
        <x:v>Receipts data film c400 c800 plastic.csv</x:v>
      </x:c>
      <x:c r="S211" s="12" t="n">
        <x:f>IF(O211=1,I211*J211,0)</x:f>
        <x:v>0</x:v>
      </x:c>
      <x:c r="T211" s="13" t="n">
        <x:f>IF(L211&gt;0,K211/L211,"n.a.")</x:f>
        <x:v>0.2914</x:v>
      </x:c>
      <x:c r="U211" s="12" t="n">
        <x:f>IF(Q211="Old cost",S211,0)</x:f>
        <x:v>0</x:v>
      </x:c>
      <x:c r="V211" s="12" t="n">
        <x:f>IF(Q211="Higher cost",S211,0)</x:f>
        <x:v>0</x:v>
      </x:c>
      <x:c r="W211" s="12" t="n">
        <x:f>IF(Q211="Unclassified",S211,0)</x:f>
        <x:v>0</x:v>
      </x:c>
      <x:c r="X211" s="12" t="n">
        <x:f>IF(AND(ISNUMBER(F211),F211&gt;0,F211&lt;=Summary!$D$5,H211&gt;0),H211*J211,0)</x:f>
        <x:v>0</x:v>
      </x:c>
    </x:row>
    <x:row r="212" ht="21" customHeight="1">
      <x:c r="A212" s="1" t="str">
        <x:v>10</x:v>
      </x:c>
      <x:c r="B212" s="1" t="str">
        <x:v>800BBLKISC</x:v>
      </x:c>
      <x:c r="C212" s="1" t="str">
        <x:v>1055183</x:v>
      </x:c>
      <x:c r="D212" s="1" t="str">
        <x:v>0</x:v>
      </x:c>
      <x:c r="E212" s="1"/>
      <x:c r="F212" s="7" t="n">
        <x:v>44915</x:v>
      </x:c>
      <x:c r="G212" s="7" t="n">
        <x:v>44946</x:v>
      </x:c>
      <x:c r="H212" s="8" t="n">
        <x:v>0</x:v>
      </x:c>
      <x:c r="I212" s="8"/>
      <x:c r="J212" s="8" t="n">
        <x:v>1</x:v>
      </x:c>
      <x:c r="K212" s="9" t="n">
        <x:v>14.09</x:v>
      </x:c>
      <x:c r="L212" s="8" t="n">
        <x:v>100</x:v>
      </x:c>
      <x:c r="M212" s="10" t="n">
        <x:v>0</x:v>
      </x:c>
      <x:c r="N212" s="8" t="str">
        <x:v>i</x:v>
      </x:c>
      <x:c r="O212" s="8" t="n">
        <x:v>0</x:v>
      </x:c>
      <x:c r="P212" s="11" t="n">
        <x:f>MIN(X212,MAX(0,SUMIFS('Current inventory'!$D$2:$D$127,'Current inventory'!$A$2:$A$127,A212,'Current inventory'!$B$2:$B$127,B212)-SUMIFS($X$2:X211,$A$2:A211,A212,$B$2:B211,B212)))</x:f>
        <x:v>0</x:v>
      </x:c>
      <x:c r="Q212" s="1" t="str">
        <x:v>Received history</x:v>
      </x:c>
      <x:c r="R212" s="1" t="str">
        <x:v>Receipts data film c400 c800 plastic.csv</x:v>
      </x:c>
      <x:c r="S212" s="12" t="n">
        <x:f>IF(O212=1,I212*J212,0)</x:f>
        <x:v>0</x:v>
      </x:c>
      <x:c r="T212" s="13" t="n">
        <x:f>IF(L212&gt;0,K212/L212,"n.a.")</x:f>
        <x:v>0.1409</x:v>
      </x:c>
      <x:c r="U212" s="12" t="n">
        <x:f>IF(Q212="Old cost",S212,0)</x:f>
        <x:v>0</x:v>
      </x:c>
      <x:c r="V212" s="12" t="n">
        <x:f>IF(Q212="Higher cost",S212,0)</x:f>
        <x:v>0</x:v>
      </x:c>
      <x:c r="W212" s="12" t="n">
        <x:f>IF(Q212="Unclassified",S212,0)</x:f>
        <x:v>0</x:v>
      </x:c>
      <x:c r="X212" s="12" t="n">
        <x:f>IF(AND(ISNUMBER(F212),F212&gt;0,F212&lt;=Summary!$D$5,H212&gt;0),H212*J212,0)</x:f>
        <x:v>0</x:v>
      </x:c>
    </x:row>
    <x:row r="213" ht="21" customHeight="1">
      <x:c r="A213" s="1" t="str">
        <x:v>10</x:v>
      </x:c>
      <x:c r="B213" s="1" t="str">
        <x:v>800BLKE</x:v>
      </x:c>
      <x:c r="C213" s="1" t="str">
        <x:v>1055183</x:v>
      </x:c>
      <x:c r="D213" s="1" t="str">
        <x:v>0</x:v>
      </x:c>
      <x:c r="E213" s="1"/>
      <x:c r="F213" s="7" t="n">
        <x:v>44915</x:v>
      </x:c>
      <x:c r="G213" s="7" t="n">
        <x:v>44946</x:v>
      </x:c>
      <x:c r="H213" s="8" t="n">
        <x:v>0</x:v>
      </x:c>
      <x:c r="I213" s="8"/>
      <x:c r="J213" s="8" t="n">
        <x:v>1</x:v>
      </x:c>
      <x:c r="K213" s="9" t="n">
        <x:v>800</x:v>
      </x:c>
      <x:c r="L213" s="8" t="n">
        <x:v>1000</x:v>
      </x:c>
      <x:c r="M213" s="10" t="n">
        <x:v>0</x:v>
      </x:c>
      <x:c r="N213" s="8" t="str">
        <x:v>i</x:v>
      </x:c>
      <x:c r="O213" s="8" t="n">
        <x:v>0</x:v>
      </x:c>
      <x:c r="P213" s="11" t="n">
        <x:f>MIN(X213,MAX(0,SUMIFS('Current inventory'!$D$2:$D$127,'Current inventory'!$A$2:$A$127,A213,'Current inventory'!$B$2:$B$127,B213)-SUMIFS($X$2:X212,$A$2:A212,A213,$B$2:B212,B213)))</x:f>
        <x:v>0</x:v>
      </x:c>
      <x:c r="Q213" s="1" t="str">
        <x:v>Received history</x:v>
      </x:c>
      <x:c r="R213" s="1" t="str">
        <x:v>Receipts data film c400 c800 plastic.csv</x:v>
      </x:c>
      <x:c r="S213" s="12" t="n">
        <x:f>IF(O213=1,I213*J213,0)</x:f>
        <x:v>0</x:v>
      </x:c>
      <x:c r="T213" s="13" t="n">
        <x:f>IF(L213&gt;0,K213/L213,"n.a.")</x:f>
        <x:v>0.8</x:v>
      </x:c>
      <x:c r="U213" s="12" t="n">
        <x:f>IF(Q213="Old cost",S213,0)</x:f>
        <x:v>0</x:v>
      </x:c>
      <x:c r="V213" s="12" t="n">
        <x:f>IF(Q213="Higher cost",S213,0)</x:f>
        <x:v>0</x:v>
      </x:c>
      <x:c r="W213" s="12" t="n">
        <x:f>IF(Q213="Unclassified",S213,0)</x:f>
        <x:v>0</x:v>
      </x:c>
      <x:c r="X213" s="12" t="n">
        <x:f>IF(AND(ISNUMBER(F213),F213&gt;0,F213&lt;=Summary!$D$5,H213&gt;0),H213*J213,0)</x:f>
        <x:v>0</x:v>
      </x:c>
    </x:row>
    <x:row r="214" ht="21" customHeight="1">
      <x:c r="A214" s="1" t="str">
        <x:v>10</x:v>
      </x:c>
      <x:c r="B214" s="1" t="str">
        <x:v>800BNAVASC</x:v>
      </x:c>
      <x:c r="C214" s="1" t="str">
        <x:v>1055183</x:v>
      </x:c>
      <x:c r="D214" s="1" t="str">
        <x:v>0</x:v>
      </x:c>
      <x:c r="E214" s="1"/>
      <x:c r="F214" s="7" t="n">
        <x:v>44915</x:v>
      </x:c>
      <x:c r="G214" s="7" t="n">
        <x:v>44946</x:v>
      </x:c>
      <x:c r="H214" s="8" t="n">
        <x:v>80000</x:v>
      </x:c>
      <x:c r="I214" s="8"/>
      <x:c r="J214" s="8" t="n">
        <x:v>1</x:v>
      </x:c>
      <x:c r="K214" s="9" t="n">
        <x:v>13.1</x:v>
      </x:c>
      <x:c r="L214" s="8" t="n">
        <x:v>100</x:v>
      </x:c>
      <x:c r="M214" s="10" t="n">
        <x:v>11216</x:v>
      </x:c>
      <x:c r="N214" s="8" t="str">
        <x:v>i</x:v>
      </x:c>
      <x:c r="O214" s="8" t="n">
        <x:v>0</x:v>
      </x:c>
      <x:c r="P214" s="11" t="n">
        <x:f>MIN(X214,MAX(0,SUMIFS('Current inventory'!$D$2:$D$127,'Current inventory'!$A$2:$A$127,A214,'Current inventory'!$B$2:$B$127,B214)-SUMIFS($X$2:X213,$A$2:A213,A214,$B$2:B213,B214)))</x:f>
        <x:v>0</x:v>
      </x:c>
      <x:c r="Q214" s="1" t="str">
        <x:v>Received history</x:v>
      </x:c>
      <x:c r="R214" s="1" t="str">
        <x:v>Receipts data film c400 c800 plastic.csv</x:v>
      </x:c>
      <x:c r="S214" s="12" t="n">
        <x:f>IF(O214=1,I214*J214,0)</x:f>
        <x:v>0</x:v>
      </x:c>
      <x:c r="T214" s="13" t="n">
        <x:f>IF(L214&gt;0,K214/L214,"n.a.")</x:f>
        <x:v>0.131</x:v>
      </x:c>
      <x:c r="U214" s="12" t="n">
        <x:f>IF(Q214="Old cost",S214,0)</x:f>
        <x:v>0</x:v>
      </x:c>
      <x:c r="V214" s="12" t="n">
        <x:f>IF(Q214="Higher cost",S214,0)</x:f>
        <x:v>0</x:v>
      </x:c>
      <x:c r="W214" s="12" t="n">
        <x:f>IF(Q214="Unclassified",S214,0)</x:f>
        <x:v>0</x:v>
      </x:c>
      <x:c r="X214" s="12" t="n">
        <x:f>IF(AND(ISNUMBER(F214),F214&gt;0,F214&lt;=Summary!$D$5,H214&gt;0),H214*J214,0)</x:f>
        <x:v>80000</x:v>
      </x:c>
    </x:row>
    <x:row r="215" ht="21" customHeight="1">
      <x:c r="A215" s="1" t="str">
        <x:v>10</x:v>
      </x:c>
      <x:c r="B215" s="1" t="str">
        <x:v>800BLKE</x:v>
      </x:c>
      <x:c r="C215" s="1" t="str">
        <x:v>1054834</x:v>
      </x:c>
      <x:c r="D215" s="1" t="str">
        <x:v>6</x:v>
      </x:c>
      <x:c r="E215" s="1"/>
      <x:c r="F215" s="7" t="n">
        <x:v>44915</x:v>
      </x:c>
      <x:c r="G215" s="7" t="n">
        <x:v>44879</x:v>
      </x:c>
      <x:c r="H215" s="8" t="n">
        <x:v>0</x:v>
      </x:c>
      <x:c r="I215" s="8"/>
      <x:c r="J215" s="8" t="n">
        <x:v>1</x:v>
      </x:c>
      <x:c r="K215" s="9" t="n">
        <x:v>750</x:v>
      </x:c>
      <x:c r="L215" s="8" t="n">
        <x:v>1000</x:v>
      </x:c>
      <x:c r="M215" s="10" t="n">
        <x:v>0</x:v>
      </x:c>
      <x:c r="N215" s="8" t="str">
        <x:v>i</x:v>
      </x:c>
      <x:c r="O215" s="8" t="n">
        <x:v>0</x:v>
      </x:c>
      <x:c r="P215" s="11" t="n">
        <x:f>MIN(X215,MAX(0,SUMIFS('Current inventory'!$D$2:$D$127,'Current inventory'!$A$2:$A$127,A215,'Current inventory'!$B$2:$B$127,B215)-SUMIFS($X$2:X214,$A$2:A214,A215,$B$2:B214,B215)))</x:f>
        <x:v>0</x:v>
      </x:c>
      <x:c r="Q215" s="1" t="str">
        <x:v>Received history</x:v>
      </x:c>
      <x:c r="R215" s="1" t="str">
        <x:v>Receipts data film c400 c800 plastic.csv</x:v>
      </x:c>
      <x:c r="S215" s="12" t="n">
        <x:f>IF(O215=1,I215*J215,0)</x:f>
        <x:v>0</x:v>
      </x:c>
      <x:c r="T215" s="13" t="n">
        <x:f>IF(L215&gt;0,K215/L215,"n.a.")</x:f>
        <x:v>0.75</x:v>
      </x:c>
      <x:c r="U215" s="12" t="n">
        <x:f>IF(Q215="Old cost",S215,0)</x:f>
        <x:v>0</x:v>
      </x:c>
      <x:c r="V215" s="12" t="n">
        <x:f>IF(Q215="Higher cost",S215,0)</x:f>
        <x:v>0</x:v>
      </x:c>
      <x:c r="W215" s="12" t="n">
        <x:f>IF(Q215="Unclassified",S215,0)</x:f>
        <x:v>0</x:v>
      </x:c>
      <x:c r="X215" s="12" t="n">
        <x:f>IF(AND(ISNUMBER(F215),F215&gt;0,F215&lt;=Summary!$D$5,H215&gt;0),H215*J215,0)</x:f>
        <x:v>0</x:v>
      </x:c>
    </x:row>
    <x:row r="216" ht="21" customHeight="1">
      <x:c r="A216" s="1" t="str">
        <x:v>10</x:v>
      </x:c>
      <x:c r="B216" s="1" t="str">
        <x:v>800BMARASC</x:v>
      </x:c>
      <x:c r="C216" s="1" t="str">
        <x:v>1054834</x:v>
      </x:c>
      <x:c r="D216" s="1" t="str">
        <x:v>6</x:v>
      </x:c>
      <x:c r="E216" s="1"/>
      <x:c r="F216" s="7" t="n">
        <x:v>44915</x:v>
      </x:c>
      <x:c r="G216" s="7" t="n">
        <x:v>44911</x:v>
      </x:c>
      <x:c r="H216" s="8" t="n">
        <x:v>0</x:v>
      </x:c>
      <x:c r="I216" s="8"/>
      <x:c r="J216" s="8" t="n">
        <x:v>1</x:v>
      </x:c>
      <x:c r="K216" s="9" t="n">
        <x:v>13.84</x:v>
      </x:c>
      <x:c r="L216" s="8" t="n">
        <x:v>100</x:v>
      </x:c>
      <x:c r="M216" s="10" t="n">
        <x:v>0</x:v>
      </x:c>
      <x:c r="N216" s="8" t="str">
        <x:v>i</x:v>
      </x:c>
      <x:c r="O216" s="8" t="n">
        <x:v>0</x:v>
      </x:c>
      <x:c r="P216" s="11" t="n">
        <x:f>MIN(X216,MAX(0,SUMIFS('Current inventory'!$D$2:$D$127,'Current inventory'!$A$2:$A$127,A216,'Current inventory'!$B$2:$B$127,B216)-SUMIFS($X$2:X215,$A$2:A215,A216,$B$2:B215,B216)))</x:f>
        <x:v>0</x:v>
      </x:c>
      <x:c r="Q216" s="1" t="str">
        <x:v>Received history</x:v>
      </x:c>
      <x:c r="R216" s="1" t="str">
        <x:v>Receipts data film c400 c800 plastic.csv</x:v>
      </x:c>
      <x:c r="S216" s="12" t="n">
        <x:f>IF(O216=1,I216*J216,0)</x:f>
        <x:v>0</x:v>
      </x:c>
      <x:c r="T216" s="13" t="n">
        <x:f>IF(L216&gt;0,K216/L216,"n.a.")</x:f>
        <x:v>0.1384</x:v>
      </x:c>
      <x:c r="U216" s="12" t="n">
        <x:f>IF(Q216="Old cost",S216,0)</x:f>
        <x:v>0</x:v>
      </x:c>
      <x:c r="V216" s="12" t="n">
        <x:f>IF(Q216="Higher cost",S216,0)</x:f>
        <x:v>0</x:v>
      </x:c>
      <x:c r="W216" s="12" t="n">
        <x:f>IF(Q216="Unclassified",S216,0)</x:f>
        <x:v>0</x:v>
      </x:c>
      <x:c r="X216" s="12" t="n">
        <x:f>IF(AND(ISNUMBER(F216),F216&gt;0,F216&lt;=Summary!$D$5,H216&gt;0),H216*J216,0)</x:f>
        <x:v>0</x:v>
      </x:c>
    </x:row>
    <x:row r="217" ht="21" customHeight="1">
      <x:c r="A217" s="1" t="str">
        <x:v>10</x:v>
      </x:c>
      <x:c r="B217" s="1" t="str">
        <x:v>800NAVE</x:v>
      </x:c>
      <x:c r="C217" s="1" t="str">
        <x:v>1054834</x:v>
      </x:c>
      <x:c r="D217" s="1" t="str">
        <x:v>6</x:v>
      </x:c>
      <x:c r="E217" s="1"/>
      <x:c r="F217" s="7" t="n">
        <x:v>44915</x:v>
      </x:c>
      <x:c r="G217" s="7" t="n">
        <x:v>44911</x:v>
      </x:c>
      <x:c r="H217" s="8" t="n">
        <x:v>7500</x:v>
      </x:c>
      <x:c r="I217" s="8"/>
      <x:c r="J217" s="8" t="n">
        <x:v>1</x:v>
      </x:c>
      <x:c r="K217" s="9" t="n">
        <x:v>930</x:v>
      </x:c>
      <x:c r="L217" s="8" t="n">
        <x:v>1000</x:v>
      </x:c>
      <x:c r="M217" s="10" t="n">
        <x:v>7582.5</x:v>
      </x:c>
      <x:c r="N217" s="8" t="str">
        <x:v>i</x:v>
      </x:c>
      <x:c r="O217" s="8" t="n">
        <x:v>0</x:v>
      </x:c>
      <x:c r="P217" s="11" t="n">
        <x:f>MIN(X217,MAX(0,SUMIFS('Current inventory'!$D$2:$D$127,'Current inventory'!$A$2:$A$127,A217,'Current inventory'!$B$2:$B$127,B217)-SUMIFS($X$2:X216,$A$2:A216,A217,$B$2:B216,B217)))</x:f>
        <x:v>0</x:v>
      </x:c>
      <x:c r="Q217" s="1" t="str">
        <x:v>Received history</x:v>
      </x:c>
      <x:c r="R217" s="1" t="str">
        <x:v>Receipts data film c400 c800 plastic.csv</x:v>
      </x:c>
      <x:c r="S217" s="12" t="n">
        <x:f>IF(O217=1,I217*J217,0)</x:f>
        <x:v>0</x:v>
      </x:c>
      <x:c r="T217" s="13" t="n">
        <x:f>IF(L217&gt;0,K217/L217,"n.a.")</x:f>
        <x:v>0.93</x:v>
      </x:c>
      <x:c r="U217" s="12" t="n">
        <x:f>IF(Q217="Old cost",S217,0)</x:f>
        <x:v>0</x:v>
      </x:c>
      <x:c r="V217" s="12" t="n">
        <x:f>IF(Q217="Higher cost",S217,0)</x:f>
        <x:v>0</x:v>
      </x:c>
      <x:c r="W217" s="12" t="n">
        <x:f>IF(Q217="Unclassified",S217,0)</x:f>
        <x:v>0</x:v>
      </x:c>
      <x:c r="X217" s="12" t="n">
        <x:f>IF(AND(ISNUMBER(F217),F217&gt;0,F217&lt;=Summary!$D$5,H217&gt;0),H217*J217,0)</x:f>
        <x:v>7500</x:v>
      </x:c>
    </x:row>
    <x:row r="218" ht="21" customHeight="1">
      <x:c r="A218" s="1" t="str">
        <x:v>10</x:v>
      </x:c>
      <x:c r="B218" s="1" t="str">
        <x:v>800BBLKDSC</x:v>
      </x:c>
      <x:c r="C218" s="1" t="str">
        <x:v>1054834</x:v>
      </x:c>
      <x:c r="D218" s="1" t="str">
        <x:v>5</x:v>
      </x:c>
      <x:c r="E218" s="1"/>
      <x:c r="F218" s="7" t="n">
        <x:v>44915</x:v>
      </x:c>
      <x:c r="G218" s="7" t="n">
        <x:v>44911</x:v>
      </x:c>
      <x:c r="H218" s="8" t="n">
        <x:v>20000</x:v>
      </x:c>
      <x:c r="I218" s="8"/>
      <x:c r="J218" s="8" t="n">
        <x:v>1</x:v>
      </x:c>
      <x:c r="K218" s="9" t="n">
        <x:v>29.14</x:v>
      </x:c>
      <x:c r="L218" s="8" t="n">
        <x:v>100</x:v>
      </x:c>
      <x:c r="M218" s="10" t="n">
        <x:v>6230</x:v>
      </x:c>
      <x:c r="N218" s="8" t="str">
        <x:v>i</x:v>
      </x:c>
      <x:c r="O218" s="8" t="n">
        <x:v>0</x:v>
      </x:c>
      <x:c r="P218" s="11" t="n">
        <x:f>MIN(X218,MAX(0,SUMIFS('Current inventory'!$D$2:$D$127,'Current inventory'!$A$2:$A$127,A218,'Current inventory'!$B$2:$B$127,B218)-SUMIFS($X$2:X217,$A$2:A217,A218,$B$2:B217,B218)))</x:f>
        <x:v>0</x:v>
      </x:c>
      <x:c r="Q218" s="1" t="str">
        <x:v>Received history</x:v>
      </x:c>
      <x:c r="R218" s="1" t="str">
        <x:v>Receipts data film c400 c800 plastic.csv</x:v>
      </x:c>
      <x:c r="S218" s="12" t="n">
        <x:f>IF(O218=1,I218*J218,0)</x:f>
        <x:v>0</x:v>
      </x:c>
      <x:c r="T218" s="13" t="n">
        <x:f>IF(L218&gt;0,K218/L218,"n.a.")</x:f>
        <x:v>0.2914</x:v>
      </x:c>
      <x:c r="U218" s="12" t="n">
        <x:f>IF(Q218="Old cost",S218,0)</x:f>
        <x:v>0</x:v>
      </x:c>
      <x:c r="V218" s="12" t="n">
        <x:f>IF(Q218="Higher cost",S218,0)</x:f>
        <x:v>0</x:v>
      </x:c>
      <x:c r="W218" s="12" t="n">
        <x:f>IF(Q218="Unclassified",S218,0)</x:f>
        <x:v>0</x:v>
      </x:c>
      <x:c r="X218" s="12" t="n">
        <x:f>IF(AND(ISNUMBER(F218),F218&gt;0,F218&lt;=Summary!$D$5,H218&gt;0),H218*J218,0)</x:f>
        <x:v>20000</x:v>
      </x:c>
    </x:row>
    <x:row r="219" ht="21" customHeight="1">
      <x:c r="A219" s="1" t="str">
        <x:v>10</x:v>
      </x:c>
      <x:c r="B219" s="1" t="str">
        <x:v>800BBLKDSC</x:v>
      </x:c>
      <x:c r="C219" s="1" t="str">
        <x:v>1054834</x:v>
      </x:c>
      <x:c r="D219" s="1" t="str">
        <x:v>4</x:v>
      </x:c>
      <x:c r="E219" s="1"/>
      <x:c r="F219" s="7" t="n">
        <x:v>44915</x:v>
      </x:c>
      <x:c r="G219" s="7" t="n">
        <x:v>44911</x:v>
      </x:c>
      <x:c r="H219" s="8" t="n">
        <x:v>60000</x:v>
      </x:c>
      <x:c r="I219" s="8"/>
      <x:c r="J219" s="8" t="n">
        <x:v>1</x:v>
      </x:c>
      <x:c r="K219" s="9" t="n">
        <x:v>29.14</x:v>
      </x:c>
      <x:c r="L219" s="8" t="n">
        <x:v>100</x:v>
      </x:c>
      <x:c r="M219" s="10" t="n">
        <x:v>18690</x:v>
      </x:c>
      <x:c r="N219" s="8" t="str">
        <x:v>i</x:v>
      </x:c>
      <x:c r="O219" s="8" t="n">
        <x:v>0</x:v>
      </x:c>
      <x:c r="P219" s="11" t="n">
        <x:f>MIN(X219,MAX(0,SUMIFS('Current inventory'!$D$2:$D$127,'Current inventory'!$A$2:$A$127,A219,'Current inventory'!$B$2:$B$127,B219)-SUMIFS($X$2:X218,$A$2:A218,A219,$B$2:B218,B219)))</x:f>
        <x:v>0</x:v>
      </x:c>
      <x:c r="Q219" s="1" t="str">
        <x:v>Received history</x:v>
      </x:c>
      <x:c r="R219" s="1" t="str">
        <x:v>Receipts data film c400 c800 plastic.csv</x:v>
      </x:c>
      <x:c r="S219" s="12" t="n">
        <x:f>IF(O219=1,I219*J219,0)</x:f>
        <x:v>0</x:v>
      </x:c>
      <x:c r="T219" s="13" t="n">
        <x:f>IF(L219&gt;0,K219/L219,"n.a.")</x:f>
        <x:v>0.2914</x:v>
      </x:c>
      <x:c r="U219" s="12" t="n">
        <x:f>IF(Q219="Old cost",S219,0)</x:f>
        <x:v>0</x:v>
      </x:c>
      <x:c r="V219" s="12" t="n">
        <x:f>IF(Q219="Higher cost",S219,0)</x:f>
        <x:v>0</x:v>
      </x:c>
      <x:c r="W219" s="12" t="n">
        <x:f>IF(Q219="Unclassified",S219,0)</x:f>
        <x:v>0</x:v>
      </x:c>
      <x:c r="X219" s="12" t="n">
        <x:f>IF(AND(ISNUMBER(F219),F219&gt;0,F219&lt;=Summary!$D$5,H219&gt;0),H219*J219,0)</x:f>
        <x:v>60000</x:v>
      </x:c>
    </x:row>
    <x:row r="220" ht="21" customHeight="1">
      <x:c r="A220" s="1" t="str">
        <x:v>10</x:v>
      </x:c>
      <x:c r="B220" s="1" t="str">
        <x:v>800BLKE</x:v>
      </x:c>
      <x:c r="C220" s="1" t="str">
        <x:v>1054834</x:v>
      </x:c>
      <x:c r="D220" s="1" t="str">
        <x:v>4</x:v>
      </x:c>
      <x:c r="E220" s="1"/>
      <x:c r="F220" s="7" t="n">
        <x:v>44915</x:v>
      </x:c>
      <x:c r="G220" s="7" t="n">
        <x:v>44879</x:v>
      </x:c>
      <x:c r="H220" s="8" t="n">
        <x:v>0</x:v>
      </x:c>
      <x:c r="I220" s="8"/>
      <x:c r="J220" s="8" t="n">
        <x:v>1</x:v>
      </x:c>
      <x:c r="K220" s="9" t="n">
        <x:v>750</x:v>
      </x:c>
      <x:c r="L220" s="8" t="n">
        <x:v>1000</x:v>
      </x:c>
      <x:c r="M220" s="10" t="n">
        <x:v>0</x:v>
      </x:c>
      <x:c r="N220" s="8" t="str">
        <x:v>i</x:v>
      </x:c>
      <x:c r="O220" s="8" t="n">
        <x:v>0</x:v>
      </x:c>
      <x:c r="P220" s="11" t="n">
        <x:f>MIN(X220,MAX(0,SUMIFS('Current inventory'!$D$2:$D$127,'Current inventory'!$A$2:$A$127,A220,'Current inventory'!$B$2:$B$127,B220)-SUMIFS($X$2:X219,$A$2:A219,A220,$B$2:B219,B220)))</x:f>
        <x:v>0</x:v>
      </x:c>
      <x:c r="Q220" s="1" t="str">
        <x:v>Received history</x:v>
      </x:c>
      <x:c r="R220" s="1" t="str">
        <x:v>Receipts data film c400 c800 plastic.csv</x:v>
      </x:c>
      <x:c r="S220" s="12" t="n">
        <x:f>IF(O220=1,I220*J220,0)</x:f>
        <x:v>0</x:v>
      </x:c>
      <x:c r="T220" s="13" t="n">
        <x:f>IF(L220&gt;0,K220/L220,"n.a.")</x:f>
        <x:v>0.75</x:v>
      </x:c>
      <x:c r="U220" s="12" t="n">
        <x:f>IF(Q220="Old cost",S220,0)</x:f>
        <x:v>0</x:v>
      </x:c>
      <x:c r="V220" s="12" t="n">
        <x:f>IF(Q220="Higher cost",S220,0)</x:f>
        <x:v>0</x:v>
      </x:c>
      <x:c r="W220" s="12" t="n">
        <x:f>IF(Q220="Unclassified",S220,0)</x:f>
        <x:v>0</x:v>
      </x:c>
      <x:c r="X220" s="12" t="n">
        <x:f>IF(AND(ISNUMBER(F220),F220&gt;0,F220&lt;=Summary!$D$5,H220&gt;0),H220*J220,0)</x:f>
        <x:v>0</x:v>
      </x:c>
    </x:row>
    <x:row r="221" ht="21" customHeight="1">
      <x:c r="A221" s="1" t="str">
        <x:v>10</x:v>
      </x:c>
      <x:c r="B221" s="1" t="str">
        <x:v>800BMARASC</x:v>
      </x:c>
      <x:c r="C221" s="1" t="str">
        <x:v>1054834</x:v>
      </x:c>
      <x:c r="D221" s="1" t="str">
        <x:v>4</x:v>
      </x:c>
      <x:c r="E221" s="1"/>
      <x:c r="F221" s="7" t="n">
        <x:v>44915</x:v>
      </x:c>
      <x:c r="G221" s="7" t="n">
        <x:v>44911</x:v>
      </x:c>
      <x:c r="H221" s="8" t="n">
        <x:v>0</x:v>
      </x:c>
      <x:c r="I221" s="8"/>
      <x:c r="J221" s="8" t="n">
        <x:v>1</x:v>
      </x:c>
      <x:c r="K221" s="9" t="n">
        <x:v>13.84</x:v>
      </x:c>
      <x:c r="L221" s="8" t="n">
        <x:v>100</x:v>
      </x:c>
      <x:c r="M221" s="10" t="n">
        <x:v>0</x:v>
      </x:c>
      <x:c r="N221" s="8" t="str">
        <x:v>i</x:v>
      </x:c>
      <x:c r="O221" s="8" t="n">
        <x:v>0</x:v>
      </x:c>
      <x:c r="P221" s="11" t="n">
        <x:f>MIN(X221,MAX(0,SUMIFS('Current inventory'!$D$2:$D$127,'Current inventory'!$A$2:$A$127,A221,'Current inventory'!$B$2:$B$127,B221)-SUMIFS($X$2:X220,$A$2:A220,A221,$B$2:B220,B221)))</x:f>
        <x:v>0</x:v>
      </x:c>
      <x:c r="Q221" s="1" t="str">
        <x:v>Received history</x:v>
      </x:c>
      <x:c r="R221" s="1" t="str">
        <x:v>Receipts data film c400 c800 plastic.csv</x:v>
      </x:c>
      <x:c r="S221" s="12" t="n">
        <x:f>IF(O221=1,I221*J221,0)</x:f>
        <x:v>0</x:v>
      </x:c>
      <x:c r="T221" s="13" t="n">
        <x:f>IF(L221&gt;0,K221/L221,"n.a.")</x:f>
        <x:v>0.1384</x:v>
      </x:c>
      <x:c r="U221" s="12" t="n">
        <x:f>IF(Q221="Old cost",S221,0)</x:f>
        <x:v>0</x:v>
      </x:c>
      <x:c r="V221" s="12" t="n">
        <x:f>IF(Q221="Higher cost",S221,0)</x:f>
        <x:v>0</x:v>
      </x:c>
      <x:c r="W221" s="12" t="n">
        <x:f>IF(Q221="Unclassified",S221,0)</x:f>
        <x:v>0</x:v>
      </x:c>
      <x:c r="X221" s="12" t="n">
        <x:f>IF(AND(ISNUMBER(F221),F221&gt;0,F221&lt;=Summary!$D$5,H221&gt;0),H221*J221,0)</x:f>
        <x:v>0</x:v>
      </x:c>
    </x:row>
    <x:row r="222" ht="21" customHeight="1">
      <x:c r="A222" s="1" t="str">
        <x:v>10</x:v>
      </x:c>
      <x:c r="B222" s="1" t="str">
        <x:v>800NAVE</x:v>
      </x:c>
      <x:c r="C222" s="1" t="str">
        <x:v>1054834</x:v>
      </x:c>
      <x:c r="D222" s="1" t="str">
        <x:v>4</x:v>
      </x:c>
      <x:c r="E222" s="1"/>
      <x:c r="F222" s="7" t="n">
        <x:v>44915</x:v>
      </x:c>
      <x:c r="G222" s="7" t="n">
        <x:v>44911</x:v>
      </x:c>
      <x:c r="H222" s="8" t="n">
        <x:v>0</x:v>
      </x:c>
      <x:c r="I222" s="8"/>
      <x:c r="J222" s="8" t="n">
        <x:v>1</x:v>
      </x:c>
      <x:c r="K222" s="9" t="n">
        <x:v>930</x:v>
      </x:c>
      <x:c r="L222" s="8" t="n">
        <x:v>1000</x:v>
      </x:c>
      <x:c r="M222" s="10" t="n">
        <x:v>0</x:v>
      </x:c>
      <x:c r="N222" s="8" t="str">
        <x:v>i</x:v>
      </x:c>
      <x:c r="O222" s="8" t="n">
        <x:v>0</x:v>
      </x:c>
      <x:c r="P222" s="11" t="n">
        <x:f>MIN(X222,MAX(0,SUMIFS('Current inventory'!$D$2:$D$127,'Current inventory'!$A$2:$A$127,A222,'Current inventory'!$B$2:$B$127,B222)-SUMIFS($X$2:X221,$A$2:A221,A222,$B$2:B221,B222)))</x:f>
        <x:v>0</x:v>
      </x:c>
      <x:c r="Q222" s="1" t="str">
        <x:v>Received history</x:v>
      </x:c>
      <x:c r="R222" s="1" t="str">
        <x:v>Receipts data film c400 c800 plastic.csv</x:v>
      </x:c>
      <x:c r="S222" s="12" t="n">
        <x:f>IF(O222=1,I222*J222,0)</x:f>
        <x:v>0</x:v>
      </x:c>
      <x:c r="T222" s="13" t="n">
        <x:f>IF(L222&gt;0,K222/L222,"n.a.")</x:f>
        <x:v>0.93</x:v>
      </x:c>
      <x:c r="U222" s="12" t="n">
        <x:f>IF(Q222="Old cost",S222,0)</x:f>
        <x:v>0</x:v>
      </x:c>
      <x:c r="V222" s="12" t="n">
        <x:f>IF(Q222="Higher cost",S222,0)</x:f>
        <x:v>0</x:v>
      </x:c>
      <x:c r="W222" s="12" t="n">
        <x:f>IF(Q222="Unclassified",S222,0)</x:f>
        <x:v>0</x:v>
      </x:c>
      <x:c r="X222" s="12" t="n">
        <x:f>IF(AND(ISNUMBER(F222),F222&gt;0,F222&lt;=Summary!$D$5,H222&gt;0),H222*J222,0)</x:f>
        <x:v>0</x:v>
      </x:c>
    </x:row>
    <x:row r="223" ht="21" customHeight="1">
      <x:c r="A223" s="1" t="str">
        <x:v>10</x:v>
      </x:c>
      <x:c r="B223" s="1" t="str">
        <x:v>800MARE</x:v>
      </x:c>
      <x:c r="C223" s="1" t="str">
        <x:v>1054564</x:v>
      </x:c>
      <x:c r="D223" s="1" t="str">
        <x:v>5</x:v>
      </x:c>
      <x:c r="E223" s="1"/>
      <x:c r="F223" s="7" t="n">
        <x:v>44915</x:v>
      </x:c>
      <x:c r="G223" s="7" t="n">
        <x:v>44911</x:v>
      </x:c>
      <x:c r="H223" s="8" t="n">
        <x:v>0</x:v>
      </x:c>
      <x:c r="I223" s="8"/>
      <x:c r="J223" s="8" t="n">
        <x:v>1</x:v>
      </x:c>
      <x:c r="K223" s="9" t="n">
        <x:v>1040</x:v>
      </x:c>
      <x:c r="L223" s="8" t="n">
        <x:v>1000</x:v>
      </x:c>
      <x:c r="M223" s="10" t="n">
        <x:v>0</x:v>
      </x:c>
      <x:c r="N223" s="8" t="str">
        <x:v>i</x:v>
      </x:c>
      <x:c r="O223" s="8" t="n">
        <x:v>0</x:v>
      </x:c>
      <x:c r="P223" s="11" t="n">
        <x:f>MIN(X223,MAX(0,SUMIFS('Current inventory'!$D$2:$D$127,'Current inventory'!$A$2:$A$127,A223,'Current inventory'!$B$2:$B$127,B223)-SUMIFS($X$2:X222,$A$2:A222,A223,$B$2:B222,B223)))</x:f>
        <x:v>0</x:v>
      </x:c>
      <x:c r="Q223" s="1" t="str">
        <x:v>Received history</x:v>
      </x:c>
      <x:c r="R223" s="1" t="str">
        <x:v>Receipts data film c400 c800 plastic.csv</x:v>
      </x:c>
      <x:c r="S223" s="12" t="n">
        <x:f>IF(O223=1,I223*J223,0)</x:f>
        <x:v>0</x:v>
      </x:c>
      <x:c r="T223" s="13" t="n">
        <x:f>IF(L223&gt;0,K223/L223,"n.a.")</x:f>
        <x:v>1.04</x:v>
      </x:c>
      <x:c r="U223" s="12" t="n">
        <x:f>IF(Q223="Old cost",S223,0)</x:f>
        <x:v>0</x:v>
      </x:c>
      <x:c r="V223" s="12" t="n">
        <x:f>IF(Q223="Higher cost",S223,0)</x:f>
        <x:v>0</x:v>
      </x:c>
      <x:c r="W223" s="12" t="n">
        <x:f>IF(Q223="Unclassified",S223,0)</x:f>
        <x:v>0</x:v>
      </x:c>
      <x:c r="X223" s="12" t="n">
        <x:f>IF(AND(ISNUMBER(F223),F223&gt;0,F223&lt;=Summary!$D$5,H223&gt;0),H223*J223,0)</x:f>
        <x:v>0</x:v>
      </x:c>
    </x:row>
    <x:row r="224" ht="21" customHeight="1">
      <x:c r="A224" s="1" t="str">
        <x:v>10</x:v>
      </x:c>
      <x:c r="B224" s="1" t="str">
        <x:v>800NAVE</x:v>
      </x:c>
      <x:c r="C224" s="1" t="str">
        <x:v>1054564</x:v>
      </x:c>
      <x:c r="D224" s="1" t="str">
        <x:v>5</x:v>
      </x:c>
      <x:c r="E224" s="1"/>
      <x:c r="F224" s="7" t="n">
        <x:v>44915</x:v>
      </x:c>
      <x:c r="G224" s="7" t="n">
        <x:v>44911</x:v>
      </x:c>
      <x:c r="H224" s="8" t="n">
        <x:v>4500</x:v>
      </x:c>
      <x:c r="I224" s="8"/>
      <x:c r="J224" s="8" t="n">
        <x:v>1</x:v>
      </x:c>
      <x:c r="K224" s="9" t="n">
        <x:v>990</x:v>
      </x:c>
      <x:c r="L224" s="8" t="n">
        <x:v>1000</x:v>
      </x:c>
      <x:c r="M224" s="10" t="n">
        <x:v>4549.5</x:v>
      </x:c>
      <x:c r="N224" s="8" t="str">
        <x:v>i</x:v>
      </x:c>
      <x:c r="O224" s="8" t="n">
        <x:v>0</x:v>
      </x:c>
      <x:c r="P224" s="11" t="n">
        <x:f>MIN(X224,MAX(0,SUMIFS('Current inventory'!$D$2:$D$127,'Current inventory'!$A$2:$A$127,A224,'Current inventory'!$B$2:$B$127,B224)-SUMIFS($X$2:X223,$A$2:A223,A224,$B$2:B223,B224)))</x:f>
        <x:v>0</x:v>
      </x:c>
      <x:c r="Q224" s="1" t="str">
        <x:v>Received history</x:v>
      </x:c>
      <x:c r="R224" s="1" t="str">
        <x:v>Receipts data film c400 c800 plastic.csv</x:v>
      </x:c>
      <x:c r="S224" s="12" t="n">
        <x:f>IF(O224=1,I224*J224,0)</x:f>
        <x:v>0</x:v>
      </x:c>
      <x:c r="T224" s="13" t="n">
        <x:f>IF(L224&gt;0,K224/L224,"n.a.")</x:f>
        <x:v>0.99</x:v>
      </x:c>
      <x:c r="U224" s="12" t="n">
        <x:f>IF(Q224="Old cost",S224,0)</x:f>
        <x:v>0</x:v>
      </x:c>
      <x:c r="V224" s="12" t="n">
        <x:f>IF(Q224="Higher cost",S224,0)</x:f>
        <x:v>0</x:v>
      </x:c>
      <x:c r="W224" s="12" t="n">
        <x:f>IF(Q224="Unclassified",S224,0)</x:f>
        <x:v>0</x:v>
      </x:c>
      <x:c r="X224" s="12" t="n">
        <x:f>IF(AND(ISNUMBER(F224),F224&gt;0,F224&lt;=Summary!$D$5,H224&gt;0),H224*J224,0)</x:f>
        <x:v>4500</x:v>
      </x:c>
    </x:row>
    <x:row r="225" ht="21" customHeight="1">
      <x:c r="A225" s="1" t="str">
        <x:v>10</x:v>
      </x:c>
      <x:c r="B225" s="1" t="str">
        <x:v>800BBLKDSC</x:v>
      </x:c>
      <x:c r="C225" s="1" t="str">
        <x:v>1054355</x:v>
      </x:c>
      <x:c r="D225" s="1" t="str">
        <x:v>8</x:v>
      </x:c>
      <x:c r="E225" s="1"/>
      <x:c r="F225" s="7" t="n">
        <x:v>44915</x:v>
      </x:c>
      <x:c r="G225" s="7" t="n">
        <x:v>44894</x:v>
      </x:c>
      <x:c r="H225" s="8" t="n">
        <x:v>20000</x:v>
      </x:c>
      <x:c r="I225" s="8"/>
      <x:c r="J225" s="8" t="n">
        <x:v>1</x:v>
      </x:c>
      <x:c r="K225" s="9" t="n">
        <x:v>26.15</x:v>
      </x:c>
      <x:c r="L225" s="8" t="n">
        <x:v>100</x:v>
      </x:c>
      <x:c r="M225" s="10" t="n">
        <x:v>6230</x:v>
      </x:c>
      <x:c r="N225" s="8" t="str">
        <x:v>i</x:v>
      </x:c>
      <x:c r="O225" s="8" t="n">
        <x:v>0</x:v>
      </x:c>
      <x:c r="P225" s="11" t="n">
        <x:f>MIN(X225,MAX(0,SUMIFS('Current inventory'!$D$2:$D$127,'Current inventory'!$A$2:$A$127,A225,'Current inventory'!$B$2:$B$127,B225)-SUMIFS($X$2:X224,$A$2:A224,A225,$B$2:B224,B225)))</x:f>
        <x:v>0</x:v>
      </x:c>
      <x:c r="Q225" s="1" t="str">
        <x:v>Received history</x:v>
      </x:c>
      <x:c r="R225" s="1" t="str">
        <x:v>Receipts data film c400 c800 plastic.csv</x:v>
      </x:c>
      <x:c r="S225" s="12" t="n">
        <x:f>IF(O225=1,I225*J225,0)</x:f>
        <x:v>0</x:v>
      </x:c>
      <x:c r="T225" s="13" t="n">
        <x:f>IF(L225&gt;0,K225/L225,"n.a.")</x:f>
        <x:v>0.2615</x:v>
      </x:c>
      <x:c r="U225" s="12" t="n">
        <x:f>IF(Q225="Old cost",S225,0)</x:f>
        <x:v>0</x:v>
      </x:c>
      <x:c r="V225" s="12" t="n">
        <x:f>IF(Q225="Higher cost",S225,0)</x:f>
        <x:v>0</x:v>
      </x:c>
      <x:c r="W225" s="12" t="n">
        <x:f>IF(Q225="Unclassified",S225,0)</x:f>
        <x:v>0</x:v>
      </x:c>
      <x:c r="X225" s="12" t="n">
        <x:f>IF(AND(ISNUMBER(F225),F225&gt;0,F225&lt;=Summary!$D$5,H225&gt;0),H225*J225,0)</x:f>
        <x:v>20000</x:v>
      </x:c>
    </x:row>
    <x:row r="226" ht="21" customHeight="1">
      <x:c r="A226" s="1" t="str">
        <x:v>60</x:v>
      </x:c>
      <x:c r="B226" s="1" t="str">
        <x:v>800BBLKASC</x:v>
      </x:c>
      <x:c r="C226" s="1" t="str">
        <x:v>6102667</x:v>
      </x:c>
      <x:c r="D226" s="1" t="str">
        <x:v>0</x:v>
      </x:c>
      <x:c r="E226" s="1"/>
      <x:c r="F226" s="7" t="n">
        <x:v>44909</x:v>
      </x:c>
      <x:c r="G226" s="7" t="n">
        <x:v>44946</x:v>
      </x:c>
      <x:c r="H226" s="8" t="n">
        <x:v>0</x:v>
      </x:c>
      <x:c r="I226" s="8"/>
      <x:c r="J226" s="8" t="n">
        <x:v>1</x:v>
      </x:c>
      <x:c r="K226" s="9" t="n">
        <x:v>10.96</x:v>
      </x:c>
      <x:c r="L226" s="8" t="n">
        <x:v>100</x:v>
      </x:c>
      <x:c r="M226" s="10" t="n">
        <x:v>0</x:v>
      </x:c>
      <x:c r="N226" s="8" t="str">
        <x:v>i</x:v>
      </x:c>
      <x:c r="O226" s="8" t="n">
        <x:v>0</x:v>
      </x:c>
      <x:c r="P226" s="11" t="n">
        <x:f>MIN(X226,MAX(0,SUMIFS('Current inventory'!$D$2:$D$127,'Current inventory'!$A$2:$A$127,A226,'Current inventory'!$B$2:$B$127,B226)-SUMIFS($X$2:X225,$A$2:A225,A226,$B$2:B225,B226)))</x:f>
        <x:v>0</x:v>
      </x:c>
      <x:c r="Q226" s="1" t="str">
        <x:v>Received history</x:v>
      </x:c>
      <x:c r="R226" s="1" t="str">
        <x:v>Receipts data film c400 c800 plastic.csv</x:v>
      </x:c>
      <x:c r="S226" s="12" t="n">
        <x:f>IF(O226=1,I226*J226,0)</x:f>
        <x:v>0</x:v>
      </x:c>
      <x:c r="T226" s="13" t="n">
        <x:f>IF(L226&gt;0,K226/L226,"n.a.")</x:f>
        <x:v>0.1096</x:v>
      </x:c>
      <x:c r="U226" s="12" t="n">
        <x:f>IF(Q226="Old cost",S226,0)</x:f>
        <x:v>0</x:v>
      </x:c>
      <x:c r="V226" s="12" t="n">
        <x:f>IF(Q226="Higher cost",S226,0)</x:f>
        <x:v>0</x:v>
      </x:c>
      <x:c r="W226" s="12" t="n">
        <x:f>IF(Q226="Unclassified",S226,0)</x:f>
        <x:v>0</x:v>
      </x:c>
      <x:c r="X226" s="12" t="n">
        <x:f>IF(AND(ISNUMBER(F226),F226&gt;0,F226&lt;=Summary!$D$5,H226&gt;0),H226*J226,0)</x:f>
        <x:v>0</x:v>
      </x:c>
    </x:row>
    <x:row r="227" ht="21" customHeight="1">
      <x:c r="A227" s="1" t="str">
        <x:v>60</x:v>
      </x:c>
      <x:c r="B227" s="1" t="str">
        <x:v>800BBLKDSC</x:v>
      </x:c>
      <x:c r="C227" s="1" t="str">
        <x:v>6102667</x:v>
      </x:c>
      <x:c r="D227" s="1" t="str">
        <x:v>0</x:v>
      </x:c>
      <x:c r="E227" s="1"/>
      <x:c r="F227" s="7" t="n">
        <x:v>44909</x:v>
      </x:c>
      <x:c r="G227" s="7" t="n">
        <x:v>44946</x:v>
      </x:c>
      <x:c r="H227" s="8" t="n">
        <x:v>0</x:v>
      </x:c>
      <x:c r="I227" s="8"/>
      <x:c r="J227" s="8" t="n">
        <x:v>1</x:v>
      </x:c>
      <x:c r="K227" s="9" t="n">
        <x:v>29.14</x:v>
      </x:c>
      <x:c r="L227" s="8" t="n">
        <x:v>100</x:v>
      </x:c>
      <x:c r="M227" s="10" t="n">
        <x:v>0</x:v>
      </x:c>
      <x:c r="N227" s="8" t="str">
        <x:v>i</x:v>
      </x:c>
      <x:c r="O227" s="8" t="n">
        <x:v>0</x:v>
      </x:c>
      <x:c r="P227" s="11" t="n">
        <x:f>MIN(X227,MAX(0,SUMIFS('Current inventory'!$D$2:$D$127,'Current inventory'!$A$2:$A$127,A227,'Current inventory'!$B$2:$B$127,B227)-SUMIFS($X$2:X226,$A$2:A226,A227,$B$2:B226,B227)))</x:f>
        <x:v>0</x:v>
      </x:c>
      <x:c r="Q227" s="1" t="str">
        <x:v>Received history</x:v>
      </x:c>
      <x:c r="R227" s="1" t="str">
        <x:v>Receipts data film c400 c800 plastic.csv</x:v>
      </x:c>
      <x:c r="S227" s="12" t="n">
        <x:f>IF(O227=1,I227*J227,0)</x:f>
        <x:v>0</x:v>
      </x:c>
      <x:c r="T227" s="13" t="n">
        <x:f>IF(L227&gt;0,K227/L227,"n.a.")</x:f>
        <x:v>0.2914</x:v>
      </x:c>
      <x:c r="U227" s="12" t="n">
        <x:f>IF(Q227="Old cost",S227,0)</x:f>
        <x:v>0</x:v>
      </x:c>
      <x:c r="V227" s="12" t="n">
        <x:f>IF(Q227="Higher cost",S227,0)</x:f>
        <x:v>0</x:v>
      </x:c>
      <x:c r="W227" s="12" t="n">
        <x:f>IF(Q227="Unclassified",S227,0)</x:f>
        <x:v>0</x:v>
      </x:c>
      <x:c r="X227" s="12" t="n">
        <x:f>IF(AND(ISNUMBER(F227),F227&gt;0,F227&lt;=Summary!$D$5,H227&gt;0),H227*J227,0)</x:f>
        <x:v>0</x:v>
      </x:c>
    </x:row>
    <x:row r="228" ht="21" customHeight="1">
      <x:c r="A228" s="1" t="str">
        <x:v>60</x:v>
      </x:c>
      <x:c r="B228" s="1" t="str">
        <x:v>800BBLKISC</x:v>
      </x:c>
      <x:c r="C228" s="1" t="str">
        <x:v>6102667</x:v>
      </x:c>
      <x:c r="D228" s="1" t="str">
        <x:v>0</x:v>
      </x:c>
      <x:c r="E228" s="1"/>
      <x:c r="F228" s="7" t="n">
        <x:v>44909</x:v>
      </x:c>
      <x:c r="G228" s="7" t="n">
        <x:v>44946</x:v>
      </x:c>
      <x:c r="H228" s="8" t="n">
        <x:v>0</x:v>
      </x:c>
      <x:c r="I228" s="8"/>
      <x:c r="J228" s="8" t="n">
        <x:v>1</x:v>
      </x:c>
      <x:c r="K228" s="9" t="n">
        <x:v>14.09</x:v>
      </x:c>
      <x:c r="L228" s="8" t="n">
        <x:v>100</x:v>
      </x:c>
      <x:c r="M228" s="10" t="n">
        <x:v>0</x:v>
      </x:c>
      <x:c r="N228" s="8" t="str">
        <x:v>i</x:v>
      </x:c>
      <x:c r="O228" s="8" t="n">
        <x:v>0</x:v>
      </x:c>
      <x:c r="P228" s="11" t="n">
        <x:f>MIN(X228,MAX(0,SUMIFS('Current inventory'!$D$2:$D$127,'Current inventory'!$A$2:$A$127,A228,'Current inventory'!$B$2:$B$127,B228)-SUMIFS($X$2:X227,$A$2:A227,A228,$B$2:B227,B228)))</x:f>
        <x:v>0</x:v>
      </x:c>
      <x:c r="Q228" s="1" t="str">
        <x:v>Received history</x:v>
      </x:c>
      <x:c r="R228" s="1" t="str">
        <x:v>Receipts data film c400 c800 plastic.csv</x:v>
      </x:c>
      <x:c r="S228" s="12" t="n">
        <x:f>IF(O228=1,I228*J228,0)</x:f>
        <x:v>0</x:v>
      </x:c>
      <x:c r="T228" s="13" t="n">
        <x:f>IF(L228&gt;0,K228/L228,"n.a.")</x:f>
        <x:v>0.1409</x:v>
      </x:c>
      <x:c r="U228" s="12" t="n">
        <x:f>IF(Q228="Old cost",S228,0)</x:f>
        <x:v>0</x:v>
      </x:c>
      <x:c r="V228" s="12" t="n">
        <x:f>IF(Q228="Higher cost",S228,0)</x:f>
        <x:v>0</x:v>
      </x:c>
      <x:c r="W228" s="12" t="n">
        <x:f>IF(Q228="Unclassified",S228,0)</x:f>
        <x:v>0</x:v>
      </x:c>
      <x:c r="X228" s="12" t="n">
        <x:f>IF(AND(ISNUMBER(F228),F228&gt;0,F228&lt;=Summary!$D$5,H228&gt;0),H228*J228,0)</x:f>
        <x:v>0</x:v>
      </x:c>
    </x:row>
    <x:row r="229" ht="21" customHeight="1">
      <x:c r="A229" s="1" t="str">
        <x:v>60</x:v>
      </x:c>
      <x:c r="B229" s="1" t="str">
        <x:v>800BLKE</x:v>
      </x:c>
      <x:c r="C229" s="1" t="str">
        <x:v>6102667</x:v>
      </x:c>
      <x:c r="D229" s="1" t="str">
        <x:v>0</x:v>
      </x:c>
      <x:c r="E229" s="1"/>
      <x:c r="F229" s="7" t="n">
        <x:v>44909</x:v>
      </x:c>
      <x:c r="G229" s="7" t="n">
        <x:v>44946</x:v>
      </x:c>
      <x:c r="H229" s="8" t="n">
        <x:v>0</x:v>
      </x:c>
      <x:c r="I229" s="8"/>
      <x:c r="J229" s="8" t="n">
        <x:v>1</x:v>
      </x:c>
      <x:c r="K229" s="9" t="n">
        <x:v>800</x:v>
      </x:c>
      <x:c r="L229" s="8" t="n">
        <x:v>1000</x:v>
      </x:c>
      <x:c r="M229" s="10" t="n">
        <x:v>0</x:v>
      </x:c>
      <x:c r="N229" s="8" t="str">
        <x:v>i</x:v>
      </x:c>
      <x:c r="O229" s="8" t="n">
        <x:v>0</x:v>
      </x:c>
      <x:c r="P229" s="11" t="n">
        <x:f>MIN(X229,MAX(0,SUMIFS('Current inventory'!$D$2:$D$127,'Current inventory'!$A$2:$A$127,A229,'Current inventory'!$B$2:$B$127,B229)-SUMIFS($X$2:X228,$A$2:A228,A229,$B$2:B228,B229)))</x:f>
        <x:v>0</x:v>
      </x:c>
      <x:c r="Q229" s="1" t="str">
        <x:v>Received history</x:v>
      </x:c>
      <x:c r="R229" s="1" t="str">
        <x:v>Receipts data film c400 c800 plastic.csv</x:v>
      </x:c>
      <x:c r="S229" s="12" t="n">
        <x:f>IF(O229=1,I229*J229,0)</x:f>
        <x:v>0</x:v>
      </x:c>
      <x:c r="T229" s="13" t="n">
        <x:f>IF(L229&gt;0,K229/L229,"n.a.")</x:f>
        <x:v>0.8</x:v>
      </x:c>
      <x:c r="U229" s="12" t="n">
        <x:f>IF(Q229="Old cost",S229,0)</x:f>
        <x:v>0</x:v>
      </x:c>
      <x:c r="V229" s="12" t="n">
        <x:f>IF(Q229="Higher cost",S229,0)</x:f>
        <x:v>0</x:v>
      </x:c>
      <x:c r="W229" s="12" t="n">
        <x:f>IF(Q229="Unclassified",S229,0)</x:f>
        <x:v>0</x:v>
      </x:c>
      <x:c r="X229" s="12" t="n">
        <x:f>IF(AND(ISNUMBER(F229),F229&gt;0,F229&lt;=Summary!$D$5,H229&gt;0),H229*J229,0)</x:f>
        <x:v>0</x:v>
      </x:c>
    </x:row>
    <x:row r="230" ht="21" customHeight="1">
      <x:c r="A230" s="1" t="str">
        <x:v>60</x:v>
      </x:c>
      <x:c r="B230" s="1" t="str">
        <x:v>800BNAVASC</x:v>
      </x:c>
      <x:c r="C230" s="1" t="str">
        <x:v>6102667</x:v>
      </x:c>
      <x:c r="D230" s="1" t="str">
        <x:v>0</x:v>
      </x:c>
      <x:c r="E230" s="1"/>
      <x:c r="F230" s="7" t="n">
        <x:v>44909</x:v>
      </x:c>
      <x:c r="G230" s="7" t="n">
        <x:v>44946</x:v>
      </x:c>
      <x:c r="H230" s="8" t="n">
        <x:v>80000</x:v>
      </x:c>
      <x:c r="I230" s="8"/>
      <x:c r="J230" s="8" t="n">
        <x:v>1</x:v>
      </x:c>
      <x:c r="K230" s="9" t="n">
        <x:v>13.1</x:v>
      </x:c>
      <x:c r="L230" s="8" t="n">
        <x:v>100</x:v>
      </x:c>
      <x:c r="M230" s="10" t="n">
        <x:v>11216</x:v>
      </x:c>
      <x:c r="N230" s="8" t="str">
        <x:v>i</x:v>
      </x:c>
      <x:c r="O230" s="8" t="n">
        <x:v>0</x:v>
      </x:c>
      <x:c r="P230" s="11" t="n">
        <x:f>MIN(X230,MAX(0,SUMIFS('Current inventory'!$D$2:$D$127,'Current inventory'!$A$2:$A$127,A230,'Current inventory'!$B$2:$B$127,B230)-SUMIFS($X$2:X229,$A$2:A229,A230,$B$2:B229,B230)))</x:f>
        <x:v>0</x:v>
      </x:c>
      <x:c r="Q230" s="1" t="str">
        <x:v>Received history</x:v>
      </x:c>
      <x:c r="R230" s="1" t="str">
        <x:v>Receipts data film c400 c800 plastic.csv</x:v>
      </x:c>
      <x:c r="S230" s="12" t="n">
        <x:f>IF(O230=1,I230*J230,0)</x:f>
        <x:v>0</x:v>
      </x:c>
      <x:c r="T230" s="13" t="n">
        <x:f>IF(L230&gt;0,K230/L230,"n.a.")</x:f>
        <x:v>0.131</x:v>
      </x:c>
      <x:c r="U230" s="12" t="n">
        <x:f>IF(Q230="Old cost",S230,0)</x:f>
        <x:v>0</x:v>
      </x:c>
      <x:c r="V230" s="12" t="n">
        <x:f>IF(Q230="Higher cost",S230,0)</x:f>
        <x:v>0</x:v>
      </x:c>
      <x:c r="W230" s="12" t="n">
        <x:f>IF(Q230="Unclassified",S230,0)</x:f>
        <x:v>0</x:v>
      </x:c>
      <x:c r="X230" s="12" t="n">
        <x:f>IF(AND(ISNUMBER(F230),F230&gt;0,F230&lt;=Summary!$D$5,H230&gt;0),H230*J230,0)</x:f>
        <x:v>80000</x:v>
      </x:c>
    </x:row>
    <x:row r="231" ht="21" customHeight="1">
      <x:c r="A231" s="1" t="str">
        <x:v>60</x:v>
      </x:c>
      <x:c r="B231" s="1" t="str">
        <x:v>800BBLKASC</x:v>
      </x:c>
      <x:c r="C231" s="1" t="str">
        <x:v>6102652</x:v>
      </x:c>
      <x:c r="D231" s="1" t="str">
        <x:v>3</x:v>
      </x:c>
      <x:c r="E231" s="1"/>
      <x:c r="F231" s="7" t="n">
        <x:v>44909</x:v>
      </x:c>
      <x:c r="G231" s="7" t="n">
        <x:v>44911</x:v>
      </x:c>
      <x:c r="H231" s="8" t="n">
        <x:v>0</x:v>
      </x:c>
      <x:c r="I231" s="8"/>
      <x:c r="J231" s="8" t="n">
        <x:v>1</x:v>
      </x:c>
      <x:c r="K231" s="9" t="n">
        <x:v>10.96</x:v>
      </x:c>
      <x:c r="L231" s="8" t="n">
        <x:v>100</x:v>
      </x:c>
      <x:c r="M231" s="10" t="n">
        <x:v>0</x:v>
      </x:c>
      <x:c r="N231" s="8" t="str">
        <x:v>i</x:v>
      </x:c>
      <x:c r="O231" s="8" t="n">
        <x:v>0</x:v>
      </x:c>
      <x:c r="P231" s="11" t="n">
        <x:f>MIN(X231,MAX(0,SUMIFS('Current inventory'!$D$2:$D$127,'Current inventory'!$A$2:$A$127,A231,'Current inventory'!$B$2:$B$127,B231)-SUMIFS($X$2:X230,$A$2:A230,A231,$B$2:B230,B231)))</x:f>
        <x:v>0</x:v>
      </x:c>
      <x:c r="Q231" s="1" t="str">
        <x:v>Received history</x:v>
      </x:c>
      <x:c r="R231" s="1" t="str">
        <x:v>Receipts data film c400 c800 plastic.csv</x:v>
      </x:c>
      <x:c r="S231" s="12" t="n">
        <x:f>IF(O231=1,I231*J231,0)</x:f>
        <x:v>0</x:v>
      </x:c>
      <x:c r="T231" s="13" t="n">
        <x:f>IF(L231&gt;0,K231/L231,"n.a.")</x:f>
        <x:v>0.1096</x:v>
      </x:c>
      <x:c r="U231" s="12" t="n">
        <x:f>IF(Q231="Old cost",S231,0)</x:f>
        <x:v>0</x:v>
      </x:c>
      <x:c r="V231" s="12" t="n">
        <x:f>IF(Q231="Higher cost",S231,0)</x:f>
        <x:v>0</x:v>
      </x:c>
      <x:c r="W231" s="12" t="n">
        <x:f>IF(Q231="Unclassified",S231,0)</x:f>
        <x:v>0</x:v>
      </x:c>
      <x:c r="X231" s="12" t="n">
        <x:f>IF(AND(ISNUMBER(F231),F231&gt;0,F231&lt;=Summary!$D$5,H231&gt;0),H231*J231,0)</x:f>
        <x:v>0</x:v>
      </x:c>
    </x:row>
    <x:row r="232" ht="21" customHeight="1">
      <x:c r="A232" s="1" t="str">
        <x:v>60</x:v>
      </x:c>
      <x:c r="B232" s="1" t="str">
        <x:v>800BBLKDSC</x:v>
      </x:c>
      <x:c r="C232" s="1" t="str">
        <x:v>6102652</x:v>
      </x:c>
      <x:c r="D232" s="1" t="str">
        <x:v>3</x:v>
      </x:c>
      <x:c r="E232" s="1"/>
      <x:c r="F232" s="7" t="n">
        <x:v>44909</x:v>
      </x:c>
      <x:c r="G232" s="7" t="n">
        <x:v>44911</x:v>
      </x:c>
      <x:c r="H232" s="8" t="n">
        <x:v>0</x:v>
      </x:c>
      <x:c r="I232" s="8"/>
      <x:c r="J232" s="8" t="n">
        <x:v>1</x:v>
      </x:c>
      <x:c r="K232" s="9" t="n">
        <x:v>29.14</x:v>
      </x:c>
      <x:c r="L232" s="8" t="n">
        <x:v>100</x:v>
      </x:c>
      <x:c r="M232" s="10" t="n">
        <x:v>0</x:v>
      </x:c>
      <x:c r="N232" s="8" t="str">
        <x:v>i</x:v>
      </x:c>
      <x:c r="O232" s="8" t="n">
        <x:v>0</x:v>
      </x:c>
      <x:c r="P232" s="11" t="n">
        <x:f>MIN(X232,MAX(0,SUMIFS('Current inventory'!$D$2:$D$127,'Current inventory'!$A$2:$A$127,A232,'Current inventory'!$B$2:$B$127,B232)-SUMIFS($X$2:X231,$A$2:A231,A232,$B$2:B231,B232)))</x:f>
        <x:v>0</x:v>
      </x:c>
      <x:c r="Q232" s="1" t="str">
        <x:v>Received history</x:v>
      </x:c>
      <x:c r="R232" s="1" t="str">
        <x:v>Receipts data film c400 c800 plastic.csv</x:v>
      </x:c>
      <x:c r="S232" s="12" t="n">
        <x:f>IF(O232=1,I232*J232,0)</x:f>
        <x:v>0</x:v>
      </x:c>
      <x:c r="T232" s="13" t="n">
        <x:f>IF(L232&gt;0,K232/L232,"n.a.")</x:f>
        <x:v>0.2914</x:v>
      </x:c>
      <x:c r="U232" s="12" t="n">
        <x:f>IF(Q232="Old cost",S232,0)</x:f>
        <x:v>0</x:v>
      </x:c>
      <x:c r="V232" s="12" t="n">
        <x:f>IF(Q232="Higher cost",S232,0)</x:f>
        <x:v>0</x:v>
      </x:c>
      <x:c r="W232" s="12" t="n">
        <x:f>IF(Q232="Unclassified",S232,0)</x:f>
        <x:v>0</x:v>
      </x:c>
      <x:c r="X232" s="12" t="n">
        <x:f>IF(AND(ISNUMBER(F232),F232&gt;0,F232&lt;=Summary!$D$5,H232&gt;0),H232*J232,0)</x:f>
        <x:v>0</x:v>
      </x:c>
    </x:row>
    <x:row r="233" ht="21" customHeight="1">
      <x:c r="A233" s="1" t="str">
        <x:v>60</x:v>
      </x:c>
      <x:c r="B233" s="1" t="str">
        <x:v>800BBLKISC</x:v>
      </x:c>
      <x:c r="C233" s="1" t="str">
        <x:v>6102652</x:v>
      </x:c>
      <x:c r="D233" s="1" t="str">
        <x:v>3</x:v>
      </x:c>
      <x:c r="E233" s="1"/>
      <x:c r="F233" s="7" t="n">
        <x:v>44909</x:v>
      </x:c>
      <x:c r="G233" s="7" t="n">
        <x:v>44911</x:v>
      </x:c>
      <x:c r="H233" s="8" t="n">
        <x:v>30000</x:v>
      </x:c>
      <x:c r="I233" s="8"/>
      <x:c r="J233" s="8" t="n">
        <x:v>1</x:v>
      </x:c>
      <x:c r="K233" s="9" t="n">
        <x:v>14.97</x:v>
      </x:c>
      <x:c r="L233" s="8" t="n">
        <x:v>100</x:v>
      </x:c>
      <x:c r="M233" s="10" t="n">
        <x:v>4629</x:v>
      </x:c>
      <x:c r="N233" s="8" t="str">
        <x:v>i</x:v>
      </x:c>
      <x:c r="O233" s="8" t="n">
        <x:v>0</x:v>
      </x:c>
      <x:c r="P233" s="11" t="n">
        <x:f>MIN(X233,MAX(0,SUMIFS('Current inventory'!$D$2:$D$127,'Current inventory'!$A$2:$A$127,A233,'Current inventory'!$B$2:$B$127,B233)-SUMIFS($X$2:X232,$A$2:A232,A233,$B$2:B232,B233)))</x:f>
        <x:v>0</x:v>
      </x:c>
      <x:c r="Q233" s="1" t="str">
        <x:v>Received history</x:v>
      </x:c>
      <x:c r="R233" s="1" t="str">
        <x:v>Receipts data film c400 c800 plastic.csv</x:v>
      </x:c>
      <x:c r="S233" s="12" t="n">
        <x:f>IF(O233=1,I233*J233,0)</x:f>
        <x:v>0</x:v>
      </x:c>
      <x:c r="T233" s="13" t="n">
        <x:f>IF(L233&gt;0,K233/L233,"n.a.")</x:f>
        <x:v>0.1497</x:v>
      </x:c>
      <x:c r="U233" s="12" t="n">
        <x:f>IF(Q233="Old cost",S233,0)</x:f>
        <x:v>0</x:v>
      </x:c>
      <x:c r="V233" s="12" t="n">
        <x:f>IF(Q233="Higher cost",S233,0)</x:f>
        <x:v>0</x:v>
      </x:c>
      <x:c r="W233" s="12" t="n">
        <x:f>IF(Q233="Unclassified",S233,0)</x:f>
        <x:v>0</x:v>
      </x:c>
      <x:c r="X233" s="12" t="n">
        <x:f>IF(AND(ISNUMBER(F233),F233&gt;0,F233&lt;=Summary!$D$5,H233&gt;0),H233*J233,0)</x:f>
        <x:v>30000</x:v>
      </x:c>
    </x:row>
    <x:row r="234" ht="21" customHeight="1">
      <x:c r="A234" s="1" t="str">
        <x:v>60</x:v>
      </x:c>
      <x:c r="B234" s="1" t="str">
        <x:v>800BMARASC</x:v>
      </x:c>
      <x:c r="C234" s="1" t="str">
        <x:v>6102652</x:v>
      </x:c>
      <x:c r="D234" s="1" t="str">
        <x:v>3</x:v>
      </x:c>
      <x:c r="E234" s="1"/>
      <x:c r="F234" s="7" t="n">
        <x:v>44909</x:v>
      </x:c>
      <x:c r="G234" s="7" t="n">
        <x:v>44911</x:v>
      </x:c>
      <x:c r="H234" s="8" t="n">
        <x:v>0</x:v>
      </x:c>
      <x:c r="I234" s="8"/>
      <x:c r="J234" s="8" t="n">
        <x:v>1</x:v>
      </x:c>
      <x:c r="K234" s="9" t="n">
        <x:v>13.84</x:v>
      </x:c>
      <x:c r="L234" s="8" t="n">
        <x:v>100</x:v>
      </x:c>
      <x:c r="M234" s="10" t="n">
        <x:v>0</x:v>
      </x:c>
      <x:c r="N234" s="8" t="str">
        <x:v>i</x:v>
      </x:c>
      <x:c r="O234" s="8" t="n">
        <x:v>0</x:v>
      </x:c>
      <x:c r="P234" s="11" t="n">
        <x:f>MIN(X234,MAX(0,SUMIFS('Current inventory'!$D$2:$D$127,'Current inventory'!$A$2:$A$127,A234,'Current inventory'!$B$2:$B$127,B234)-SUMIFS($X$2:X233,$A$2:A233,A234,$B$2:B233,B234)))</x:f>
        <x:v>0</x:v>
      </x:c>
      <x:c r="Q234" s="1" t="str">
        <x:v>Received history</x:v>
      </x:c>
      <x:c r="R234" s="1" t="str">
        <x:v>Receipts data film c400 c800 plastic.csv</x:v>
      </x:c>
      <x:c r="S234" s="12" t="n">
        <x:f>IF(O234=1,I234*J234,0)</x:f>
        <x:v>0</x:v>
      </x:c>
      <x:c r="T234" s="13" t="n">
        <x:f>IF(L234&gt;0,K234/L234,"n.a.")</x:f>
        <x:v>0.1384</x:v>
      </x:c>
      <x:c r="U234" s="12" t="n">
        <x:f>IF(Q234="Old cost",S234,0)</x:f>
        <x:v>0</x:v>
      </x:c>
      <x:c r="V234" s="12" t="n">
        <x:f>IF(Q234="Higher cost",S234,0)</x:f>
        <x:v>0</x:v>
      </x:c>
      <x:c r="W234" s="12" t="n">
        <x:f>IF(Q234="Unclassified",S234,0)</x:f>
        <x:v>0</x:v>
      </x:c>
      <x:c r="X234" s="12" t="n">
        <x:f>IF(AND(ISNUMBER(F234),F234&gt;0,F234&lt;=Summary!$D$5,H234&gt;0),H234*J234,0)</x:f>
        <x:v>0</x:v>
      </x:c>
    </x:row>
    <x:row r="235" ht="21" customHeight="1">
      <x:c r="A235" s="1" t="str">
        <x:v>60</x:v>
      </x:c>
      <x:c r="B235" s="1" t="str">
        <x:v>800NAVE</x:v>
      </x:c>
      <x:c r="C235" s="1" t="str">
        <x:v>6102652</x:v>
      </x:c>
      <x:c r="D235" s="1" t="str">
        <x:v>3</x:v>
      </x:c>
      <x:c r="E235" s="1"/>
      <x:c r="F235" s="7" t="n">
        <x:v>44909</x:v>
      </x:c>
      <x:c r="G235" s="7" t="n">
        <x:v>44911</x:v>
      </x:c>
      <x:c r="H235" s="8" t="n">
        <x:v>3000</x:v>
      </x:c>
      <x:c r="I235" s="8"/>
      <x:c r="J235" s="8" t="n">
        <x:v>1</x:v>
      </x:c>
      <x:c r="K235" s="9" t="n">
        <x:v>930</x:v>
      </x:c>
      <x:c r="L235" s="8" t="n">
        <x:v>1000</x:v>
      </x:c>
      <x:c r="M235" s="10" t="n">
        <x:v>3033</x:v>
      </x:c>
      <x:c r="N235" s="8" t="str">
        <x:v>i</x:v>
      </x:c>
      <x:c r="O235" s="8" t="n">
        <x:v>0</x:v>
      </x:c>
      <x:c r="P235" s="11" t="n">
        <x:f>MIN(X235,MAX(0,SUMIFS('Current inventory'!$D$2:$D$127,'Current inventory'!$A$2:$A$127,A235,'Current inventory'!$B$2:$B$127,B235)-SUMIFS($X$2:X234,$A$2:A234,A235,$B$2:B234,B235)))</x:f>
        <x:v>0</x:v>
      </x:c>
      <x:c r="Q235" s="1" t="str">
        <x:v>Received history</x:v>
      </x:c>
      <x:c r="R235" s="1" t="str">
        <x:v>Receipts data film c400 c800 plastic.csv</x:v>
      </x:c>
      <x:c r="S235" s="12" t="n">
        <x:f>IF(O235=1,I235*J235,0)</x:f>
        <x:v>0</x:v>
      </x:c>
      <x:c r="T235" s="13" t="n">
        <x:f>IF(L235&gt;0,K235/L235,"n.a.")</x:f>
        <x:v>0.93</x:v>
      </x:c>
      <x:c r="U235" s="12" t="n">
        <x:f>IF(Q235="Old cost",S235,0)</x:f>
        <x:v>0</x:v>
      </x:c>
      <x:c r="V235" s="12" t="n">
        <x:f>IF(Q235="Higher cost",S235,0)</x:f>
        <x:v>0</x:v>
      </x:c>
      <x:c r="W235" s="12" t="n">
        <x:f>IF(Q235="Unclassified",S235,0)</x:f>
        <x:v>0</x:v>
      </x:c>
      <x:c r="X235" s="12" t="n">
        <x:f>IF(AND(ISNUMBER(F235),F235&gt;0,F235&lt;=Summary!$D$5,H235&gt;0),H235*J235,0)</x:f>
        <x:v>3000</x:v>
      </x:c>
    </x:row>
    <x:row r="236" ht="21" customHeight="1">
      <x:c r="A236" s="1" t="str">
        <x:v>60</x:v>
      </x:c>
      <x:c r="B236" s="1" t="str">
        <x:v>800MARE</x:v>
      </x:c>
      <x:c r="C236" s="1" t="str">
        <x:v>6102638</x:v>
      </x:c>
      <x:c r="D236" s="1" t="str">
        <x:v>4</x:v>
      </x:c>
      <x:c r="E236" s="1"/>
      <x:c r="F236" s="7" t="n">
        <x:v>44909</x:v>
      </x:c>
      <x:c r="G236" s="7" t="n">
        <x:v>44911</x:v>
      </x:c>
      <x:c r="H236" s="8" t="n">
        <x:v>0</x:v>
      </x:c>
      <x:c r="I236" s="8"/>
      <x:c r="J236" s="8" t="n">
        <x:v>1</x:v>
      </x:c>
      <x:c r="K236" s="9" t="n">
        <x:v>1040</x:v>
      </x:c>
      <x:c r="L236" s="8" t="n">
        <x:v>1000</x:v>
      </x:c>
      <x:c r="M236" s="10" t="n">
        <x:v>0</x:v>
      </x:c>
      <x:c r="N236" s="8" t="str">
        <x:v>i</x:v>
      </x:c>
      <x:c r="O236" s="8" t="n">
        <x:v>0</x:v>
      </x:c>
      <x:c r="P236" s="11" t="n">
        <x:f>MIN(X236,MAX(0,SUMIFS('Current inventory'!$D$2:$D$127,'Current inventory'!$A$2:$A$127,A236,'Current inventory'!$B$2:$B$127,B236)-SUMIFS($X$2:X235,$A$2:A235,A236,$B$2:B235,B236)))</x:f>
        <x:v>0</x:v>
      </x:c>
      <x:c r="Q236" s="1" t="str">
        <x:v>Received history</x:v>
      </x:c>
      <x:c r="R236" s="1" t="str">
        <x:v>Receipts data film c400 c800 plastic.csv</x:v>
      </x:c>
      <x:c r="S236" s="12" t="n">
        <x:f>IF(O236=1,I236*J236,0)</x:f>
        <x:v>0</x:v>
      </x:c>
      <x:c r="T236" s="13" t="n">
        <x:f>IF(L236&gt;0,K236/L236,"n.a.")</x:f>
        <x:v>1.04</x:v>
      </x:c>
      <x:c r="U236" s="12" t="n">
        <x:f>IF(Q236="Old cost",S236,0)</x:f>
        <x:v>0</x:v>
      </x:c>
      <x:c r="V236" s="12" t="n">
        <x:f>IF(Q236="Higher cost",S236,0)</x:f>
        <x:v>0</x:v>
      </x:c>
      <x:c r="W236" s="12" t="n">
        <x:f>IF(Q236="Unclassified",S236,0)</x:f>
        <x:v>0</x:v>
      </x:c>
      <x:c r="X236" s="12" t="n">
        <x:f>IF(AND(ISNUMBER(F236),F236&gt;0,F236&lt;=Summary!$D$5,H236&gt;0),H236*J236,0)</x:f>
        <x:v>0</x:v>
      </x:c>
    </x:row>
    <x:row r="237" ht="21" customHeight="1">
      <x:c r="A237" s="1" t="str">
        <x:v>60</x:v>
      </x:c>
      <x:c r="B237" s="1" t="str">
        <x:v>800NAVE</x:v>
      </x:c>
      <x:c r="C237" s="1" t="str">
        <x:v>6102638</x:v>
      </x:c>
      <x:c r="D237" s="1" t="str">
        <x:v>4</x:v>
      </x:c>
      <x:c r="E237" s="1"/>
      <x:c r="F237" s="7" t="n">
        <x:v>44909</x:v>
      </x:c>
      <x:c r="G237" s="7" t="n">
        <x:v>44911</x:v>
      </x:c>
      <x:c r="H237" s="8" t="n">
        <x:v>1500</x:v>
      </x:c>
      <x:c r="I237" s="8"/>
      <x:c r="J237" s="8" t="n">
        <x:v>1</x:v>
      </x:c>
      <x:c r="K237" s="9" t="n">
        <x:v>990</x:v>
      </x:c>
      <x:c r="L237" s="8" t="n">
        <x:v>1000</x:v>
      </x:c>
      <x:c r="M237" s="10" t="n">
        <x:v>1516.5</x:v>
      </x:c>
      <x:c r="N237" s="8" t="str">
        <x:v>i</x:v>
      </x:c>
      <x:c r="O237" s="8" t="n">
        <x:v>0</x:v>
      </x:c>
      <x:c r="P237" s="11" t="n">
        <x:f>MIN(X237,MAX(0,SUMIFS('Current inventory'!$D$2:$D$127,'Current inventory'!$A$2:$A$127,A237,'Current inventory'!$B$2:$B$127,B237)-SUMIFS($X$2:X236,$A$2:A236,A237,$B$2:B236,B237)))</x:f>
        <x:v>0</x:v>
      </x:c>
      <x:c r="Q237" s="1" t="str">
        <x:v>Received history</x:v>
      </x:c>
      <x:c r="R237" s="1" t="str">
        <x:v>Receipts data film c400 c800 plastic.csv</x:v>
      </x:c>
      <x:c r="S237" s="12" t="n">
        <x:f>IF(O237=1,I237*J237,0)</x:f>
        <x:v>0</x:v>
      </x:c>
      <x:c r="T237" s="13" t="n">
        <x:f>IF(L237&gt;0,K237/L237,"n.a.")</x:f>
        <x:v>0.99</x:v>
      </x:c>
      <x:c r="U237" s="12" t="n">
        <x:f>IF(Q237="Old cost",S237,0)</x:f>
        <x:v>0</x:v>
      </x:c>
      <x:c r="V237" s="12" t="n">
        <x:f>IF(Q237="Higher cost",S237,0)</x:f>
        <x:v>0</x:v>
      </x:c>
      <x:c r="W237" s="12" t="n">
        <x:f>IF(Q237="Unclassified",S237,0)</x:f>
        <x:v>0</x:v>
      </x:c>
      <x:c r="X237" s="12" t="n">
        <x:f>IF(AND(ISNUMBER(F237),F237&gt;0,F237&lt;=Summary!$D$5,H237&gt;0),H237*J237,0)</x:f>
        <x:v>1500</x:v>
      </x:c>
    </x:row>
    <x:row r="238" ht="21" customHeight="1">
      <x:c r="A238" s="1" t="str">
        <x:v>60</x:v>
      </x:c>
      <x:c r="B238" s="1" t="str">
        <x:v>800BBLKDSC</x:v>
      </x:c>
      <x:c r="C238" s="1" t="str">
        <x:v>6102635</x:v>
      </x:c>
      <x:c r="D238" s="1" t="str">
        <x:v>5</x:v>
      </x:c>
      <x:c r="E238" s="1"/>
      <x:c r="F238" s="7" t="n">
        <x:v>44909</x:v>
      </x:c>
      <x:c r="G238" s="7" t="n">
        <x:v>44893</x:v>
      </x:c>
      <x:c r="H238" s="8" t="n">
        <x:v>20000</x:v>
      </x:c>
      <x:c r="I238" s="8"/>
      <x:c r="J238" s="8" t="n">
        <x:v>1</x:v>
      </x:c>
      <x:c r="K238" s="9" t="n">
        <x:v>26.15</x:v>
      </x:c>
      <x:c r="L238" s="8" t="n">
        <x:v>100</x:v>
      </x:c>
      <x:c r="M238" s="10" t="n">
        <x:v>6230</x:v>
      </x:c>
      <x:c r="N238" s="8" t="str">
        <x:v>i</x:v>
      </x:c>
      <x:c r="O238" s="8" t="n">
        <x:v>0</x:v>
      </x:c>
      <x:c r="P238" s="11" t="n">
        <x:f>MIN(X238,MAX(0,SUMIFS('Current inventory'!$D$2:$D$127,'Current inventory'!$A$2:$A$127,A238,'Current inventory'!$B$2:$B$127,B238)-SUMIFS($X$2:X237,$A$2:A237,A238,$B$2:B237,B238)))</x:f>
        <x:v>0</x:v>
      </x:c>
      <x:c r="Q238" s="1" t="str">
        <x:v>Received history</x:v>
      </x:c>
      <x:c r="R238" s="1" t="str">
        <x:v>Receipts data film c400 c800 plastic.csv</x:v>
      </x:c>
      <x:c r="S238" s="12" t="n">
        <x:f>IF(O238=1,I238*J238,0)</x:f>
        <x:v>0</x:v>
      </x:c>
      <x:c r="T238" s="13" t="n">
        <x:f>IF(L238&gt;0,K238/L238,"n.a.")</x:f>
        <x:v>0.2615</x:v>
      </x:c>
      <x:c r="U238" s="12" t="n">
        <x:f>IF(Q238="Old cost",S238,0)</x:f>
        <x:v>0</x:v>
      </x:c>
      <x:c r="V238" s="12" t="n">
        <x:f>IF(Q238="Higher cost",S238,0)</x:f>
        <x:v>0</x:v>
      </x:c>
      <x:c r="W238" s="12" t="n">
        <x:f>IF(Q238="Unclassified",S238,0)</x:f>
        <x:v>0</x:v>
      </x:c>
      <x:c r="X238" s="12" t="n">
        <x:f>IF(AND(ISNUMBER(F238),F238&gt;0,F238&lt;=Summary!$D$5,H238&gt;0),H238*J238,0)</x:f>
        <x:v>20000</x:v>
      </x:c>
    </x:row>
    <x:row r="239" ht="21" customHeight="1">
      <x:c r="A239" s="1" t="str">
        <x:v>60</x:v>
      </x:c>
      <x:c r="B239" s="1" t="str">
        <x:v>800BBLKASC</x:v>
      </x:c>
      <x:c r="C239" s="1" t="str">
        <x:v>6102652</x:v>
      </x:c>
      <x:c r="D239" s="1" t="str">
        <x:v>2</x:v>
      </x:c>
      <x:c r="E239" s="1"/>
      <x:c r="F239" s="7" t="n">
        <x:v>44907</x:v>
      </x:c>
      <x:c r="G239" s="7" t="n">
        <x:v>44911</x:v>
      </x:c>
      <x:c r="H239" s="8" t="n">
        <x:v>0</x:v>
      </x:c>
      <x:c r="I239" s="8"/>
      <x:c r="J239" s="8" t="n">
        <x:v>1</x:v>
      </x:c>
      <x:c r="K239" s="9" t="n">
        <x:v>10.96</x:v>
      </x:c>
      <x:c r="L239" s="8" t="n">
        <x:v>100</x:v>
      </x:c>
      <x:c r="M239" s="10" t="n">
        <x:v>0</x:v>
      </x:c>
      <x:c r="N239" s="8" t="str">
        <x:v>i</x:v>
      </x:c>
      <x:c r="O239" s="8" t="n">
        <x:v>0</x:v>
      </x:c>
      <x:c r="P239" s="11" t="n">
        <x:f>MIN(X239,MAX(0,SUMIFS('Current inventory'!$D$2:$D$127,'Current inventory'!$A$2:$A$127,A239,'Current inventory'!$B$2:$B$127,B239)-SUMIFS($X$2:X238,$A$2:A238,A239,$B$2:B238,B239)))</x:f>
        <x:v>0</x:v>
      </x:c>
      <x:c r="Q239" s="1" t="str">
        <x:v>Received history</x:v>
      </x:c>
      <x:c r="R239" s="1" t="str">
        <x:v>Receipts data film c400 c800 plastic.csv</x:v>
      </x:c>
      <x:c r="S239" s="12" t="n">
        <x:f>IF(O239=1,I239*J239,0)</x:f>
        <x:v>0</x:v>
      </x:c>
      <x:c r="T239" s="13" t="n">
        <x:f>IF(L239&gt;0,K239/L239,"n.a.")</x:f>
        <x:v>0.1096</x:v>
      </x:c>
      <x:c r="U239" s="12" t="n">
        <x:f>IF(Q239="Old cost",S239,0)</x:f>
        <x:v>0</x:v>
      </x:c>
      <x:c r="V239" s="12" t="n">
        <x:f>IF(Q239="Higher cost",S239,0)</x:f>
        <x:v>0</x:v>
      </x:c>
      <x:c r="W239" s="12" t="n">
        <x:f>IF(Q239="Unclassified",S239,0)</x:f>
        <x:v>0</x:v>
      </x:c>
      <x:c r="X239" s="12" t="n">
        <x:f>IF(AND(ISNUMBER(F239),F239&gt;0,F239&lt;=Summary!$D$5,H239&gt;0),H239*J239,0)</x:f>
        <x:v>0</x:v>
      </x:c>
    </x:row>
    <x:row r="240" ht="21" customHeight="1">
      <x:c r="A240" s="1" t="str">
        <x:v>60</x:v>
      </x:c>
      <x:c r="B240" s="1" t="str">
        <x:v>800BBLKDSC</x:v>
      </x:c>
      <x:c r="C240" s="1" t="str">
        <x:v>6102652</x:v>
      </x:c>
      <x:c r="D240" s="1" t="str">
        <x:v>2</x:v>
      </x:c>
      <x:c r="E240" s="1"/>
      <x:c r="F240" s="7" t="n">
        <x:v>44907</x:v>
      </x:c>
      <x:c r="G240" s="7" t="n">
        <x:v>44911</x:v>
      </x:c>
      <x:c r="H240" s="8" t="n">
        <x:v>0</x:v>
      </x:c>
      <x:c r="I240" s="8"/>
      <x:c r="J240" s="8" t="n">
        <x:v>1</x:v>
      </x:c>
      <x:c r="K240" s="9" t="n">
        <x:v>29.14</x:v>
      </x:c>
      <x:c r="L240" s="8" t="n">
        <x:v>100</x:v>
      </x:c>
      <x:c r="M240" s="10" t="n">
        <x:v>0</x:v>
      </x:c>
      <x:c r="N240" s="8" t="str">
        <x:v>i</x:v>
      </x:c>
      <x:c r="O240" s="8" t="n">
        <x:v>0</x:v>
      </x:c>
      <x:c r="P240" s="11" t="n">
        <x:f>MIN(X240,MAX(0,SUMIFS('Current inventory'!$D$2:$D$127,'Current inventory'!$A$2:$A$127,A240,'Current inventory'!$B$2:$B$127,B240)-SUMIFS($X$2:X239,$A$2:A239,A240,$B$2:B239,B240)))</x:f>
        <x:v>0</x:v>
      </x:c>
      <x:c r="Q240" s="1" t="str">
        <x:v>Received history</x:v>
      </x:c>
      <x:c r="R240" s="1" t="str">
        <x:v>Receipts data film c400 c800 plastic.csv</x:v>
      </x:c>
      <x:c r="S240" s="12" t="n">
        <x:f>IF(O240=1,I240*J240,0)</x:f>
        <x:v>0</x:v>
      </x:c>
      <x:c r="T240" s="13" t="n">
        <x:f>IF(L240&gt;0,K240/L240,"n.a.")</x:f>
        <x:v>0.2914</x:v>
      </x:c>
      <x:c r="U240" s="12" t="n">
        <x:f>IF(Q240="Old cost",S240,0)</x:f>
        <x:v>0</x:v>
      </x:c>
      <x:c r="V240" s="12" t="n">
        <x:f>IF(Q240="Higher cost",S240,0)</x:f>
        <x:v>0</x:v>
      </x:c>
      <x:c r="W240" s="12" t="n">
        <x:f>IF(Q240="Unclassified",S240,0)</x:f>
        <x:v>0</x:v>
      </x:c>
      <x:c r="X240" s="12" t="n">
        <x:f>IF(AND(ISNUMBER(F240),F240&gt;0,F240&lt;=Summary!$D$5,H240&gt;0),H240*J240,0)</x:f>
        <x:v>0</x:v>
      </x:c>
    </x:row>
    <x:row r="241" ht="21" customHeight="1">
      <x:c r="A241" s="1" t="str">
        <x:v>60</x:v>
      </x:c>
      <x:c r="B241" s="1" t="str">
        <x:v>800BBLKISC</x:v>
      </x:c>
      <x:c r="C241" s="1" t="str">
        <x:v>6102652</x:v>
      </x:c>
      <x:c r="D241" s="1" t="str">
        <x:v>2</x:v>
      </x:c>
      <x:c r="E241" s="1"/>
      <x:c r="F241" s="7" t="n">
        <x:v>44907</x:v>
      </x:c>
      <x:c r="G241" s="7" t="n">
        <x:v>44911</x:v>
      </x:c>
      <x:c r="H241" s="8" t="n">
        <x:v>0</x:v>
      </x:c>
      <x:c r="I241" s="8"/>
      <x:c r="J241" s="8" t="n">
        <x:v>1</x:v>
      </x:c>
      <x:c r="K241" s="9" t="n">
        <x:v>14.97</x:v>
      </x:c>
      <x:c r="L241" s="8" t="n">
        <x:v>100</x:v>
      </x:c>
      <x:c r="M241" s="10" t="n">
        <x:v>0</x:v>
      </x:c>
      <x:c r="N241" s="8" t="str">
        <x:v>i</x:v>
      </x:c>
      <x:c r="O241" s="8" t="n">
        <x:v>0</x:v>
      </x:c>
      <x:c r="P241" s="11" t="n">
        <x:f>MIN(X241,MAX(0,SUMIFS('Current inventory'!$D$2:$D$127,'Current inventory'!$A$2:$A$127,A241,'Current inventory'!$B$2:$B$127,B241)-SUMIFS($X$2:X240,$A$2:A240,A241,$B$2:B240,B241)))</x:f>
        <x:v>0</x:v>
      </x:c>
      <x:c r="Q241" s="1" t="str">
        <x:v>Received history</x:v>
      </x:c>
      <x:c r="R241" s="1" t="str">
        <x:v>Receipts data film c400 c800 plastic.csv</x:v>
      </x:c>
      <x:c r="S241" s="12" t="n">
        <x:f>IF(O241=1,I241*J241,0)</x:f>
        <x:v>0</x:v>
      </x:c>
      <x:c r="T241" s="13" t="n">
        <x:f>IF(L241&gt;0,K241/L241,"n.a.")</x:f>
        <x:v>0.1497</x:v>
      </x:c>
      <x:c r="U241" s="12" t="n">
        <x:f>IF(Q241="Old cost",S241,0)</x:f>
        <x:v>0</x:v>
      </x:c>
      <x:c r="V241" s="12" t="n">
        <x:f>IF(Q241="Higher cost",S241,0)</x:f>
        <x:v>0</x:v>
      </x:c>
      <x:c r="W241" s="12" t="n">
        <x:f>IF(Q241="Unclassified",S241,0)</x:f>
        <x:v>0</x:v>
      </x:c>
      <x:c r="X241" s="12" t="n">
        <x:f>IF(AND(ISNUMBER(F241),F241&gt;0,F241&lt;=Summary!$D$5,H241&gt;0),H241*J241,0)</x:f>
        <x:v>0</x:v>
      </x:c>
    </x:row>
    <x:row r="242" ht="21" customHeight="1">
      <x:c r="A242" s="1" t="str">
        <x:v>60</x:v>
      </x:c>
      <x:c r="B242" s="1" t="str">
        <x:v>800BMARASC</x:v>
      </x:c>
      <x:c r="C242" s="1" t="str">
        <x:v>6102652</x:v>
      </x:c>
      <x:c r="D242" s="1" t="str">
        <x:v>2</x:v>
      </x:c>
      <x:c r="E242" s="1"/>
      <x:c r="F242" s="7" t="n">
        <x:v>44907</x:v>
      </x:c>
      <x:c r="G242" s="7" t="n">
        <x:v>44911</x:v>
      </x:c>
      <x:c r="H242" s="8" t="n">
        <x:v>0</x:v>
      </x:c>
      <x:c r="I242" s="8"/>
      <x:c r="J242" s="8" t="n">
        <x:v>1</x:v>
      </x:c>
      <x:c r="K242" s="9" t="n">
        <x:v>13.84</x:v>
      </x:c>
      <x:c r="L242" s="8" t="n">
        <x:v>100</x:v>
      </x:c>
      <x:c r="M242" s="10" t="n">
        <x:v>0</x:v>
      </x:c>
      <x:c r="N242" s="8" t="str">
        <x:v>i</x:v>
      </x:c>
      <x:c r="O242" s="8" t="n">
        <x:v>0</x:v>
      </x:c>
      <x:c r="P242" s="11" t="n">
        <x:f>MIN(X242,MAX(0,SUMIFS('Current inventory'!$D$2:$D$127,'Current inventory'!$A$2:$A$127,A242,'Current inventory'!$B$2:$B$127,B242)-SUMIFS($X$2:X241,$A$2:A241,A242,$B$2:B241,B242)))</x:f>
        <x:v>0</x:v>
      </x:c>
      <x:c r="Q242" s="1" t="str">
        <x:v>Received history</x:v>
      </x:c>
      <x:c r="R242" s="1" t="str">
        <x:v>Receipts data film c400 c800 plastic.csv</x:v>
      </x:c>
      <x:c r="S242" s="12" t="n">
        <x:f>IF(O242=1,I242*J242,0)</x:f>
        <x:v>0</x:v>
      </x:c>
      <x:c r="T242" s="13" t="n">
        <x:f>IF(L242&gt;0,K242/L242,"n.a.")</x:f>
        <x:v>0.1384</x:v>
      </x:c>
      <x:c r="U242" s="12" t="n">
        <x:f>IF(Q242="Old cost",S242,0)</x:f>
        <x:v>0</x:v>
      </x:c>
      <x:c r="V242" s="12" t="n">
        <x:f>IF(Q242="Higher cost",S242,0)</x:f>
        <x:v>0</x:v>
      </x:c>
      <x:c r="W242" s="12" t="n">
        <x:f>IF(Q242="Unclassified",S242,0)</x:f>
        <x:v>0</x:v>
      </x:c>
      <x:c r="X242" s="12" t="n">
        <x:f>IF(AND(ISNUMBER(F242),F242&gt;0,F242&lt;=Summary!$D$5,H242&gt;0),H242*J242,0)</x:f>
        <x:v>0</x:v>
      </x:c>
    </x:row>
    <x:row r="243" ht="21" customHeight="1">
      <x:c r="A243" s="1" t="str">
        <x:v>60</x:v>
      </x:c>
      <x:c r="B243" s="1" t="str">
        <x:v>800BNAVASC</x:v>
      </x:c>
      <x:c r="C243" s="1" t="str">
        <x:v>6102652</x:v>
      </x:c>
      <x:c r="D243" s="1" t="str">
        <x:v>2</x:v>
      </x:c>
      <x:c r="E243" s="1"/>
      <x:c r="F243" s="7" t="n">
        <x:v>44907</x:v>
      </x:c>
      <x:c r="G243" s="7" t="n">
        <x:v>44911</x:v>
      </x:c>
      <x:c r="H243" s="8" t="n">
        <x:v>20000</x:v>
      </x:c>
      <x:c r="I243" s="8"/>
      <x:c r="J243" s="8" t="n">
        <x:v>1</x:v>
      </x:c>
      <x:c r="K243" s="9" t="n">
        <x:v>13.1</x:v>
      </x:c>
      <x:c r="L243" s="8" t="n">
        <x:v>100</x:v>
      </x:c>
      <x:c r="M243" s="10" t="n">
        <x:v>2804</x:v>
      </x:c>
      <x:c r="N243" s="8" t="str">
        <x:v>i</x:v>
      </x:c>
      <x:c r="O243" s="8" t="n">
        <x:v>0</x:v>
      </x:c>
      <x:c r="P243" s="11" t="n">
        <x:f>MIN(X243,MAX(0,SUMIFS('Current inventory'!$D$2:$D$127,'Current inventory'!$A$2:$A$127,A243,'Current inventory'!$B$2:$B$127,B243)-SUMIFS($X$2:X242,$A$2:A242,A243,$B$2:B242,B243)))</x:f>
        <x:v>0</x:v>
      </x:c>
      <x:c r="Q243" s="1" t="str">
        <x:v>Received history</x:v>
      </x:c>
      <x:c r="R243" s="1" t="str">
        <x:v>Receipts data film c400 c800 plastic.csv</x:v>
      </x:c>
      <x:c r="S243" s="12" t="n">
        <x:f>IF(O243=1,I243*J243,0)</x:f>
        <x:v>0</x:v>
      </x:c>
      <x:c r="T243" s="13" t="n">
        <x:f>IF(L243&gt;0,K243/L243,"n.a.")</x:f>
        <x:v>0.131</x:v>
      </x:c>
      <x:c r="U243" s="12" t="n">
        <x:f>IF(Q243="Old cost",S243,0)</x:f>
        <x:v>0</x:v>
      </x:c>
      <x:c r="V243" s="12" t="n">
        <x:f>IF(Q243="Higher cost",S243,0)</x:f>
        <x:v>0</x:v>
      </x:c>
      <x:c r="W243" s="12" t="n">
        <x:f>IF(Q243="Unclassified",S243,0)</x:f>
        <x:v>0</x:v>
      </x:c>
      <x:c r="X243" s="12" t="n">
        <x:f>IF(AND(ISNUMBER(F243),F243&gt;0,F243&lt;=Summary!$D$5,H243&gt;0),H243*J243,0)</x:f>
        <x:v>20000</x:v>
      </x:c>
    </x:row>
    <x:row r="244" ht="21" customHeight="1">
      <x:c r="A244" s="1" t="str">
        <x:v>60</x:v>
      </x:c>
      <x:c r="B244" s="1" t="str">
        <x:v>800NAVE</x:v>
      </x:c>
      <x:c r="C244" s="1" t="str">
        <x:v>6102652</x:v>
      </x:c>
      <x:c r="D244" s="1" t="str">
        <x:v>2</x:v>
      </x:c>
      <x:c r="E244" s="1"/>
      <x:c r="F244" s="7" t="n">
        <x:v>44907</x:v>
      </x:c>
      <x:c r="G244" s="7" t="n">
        <x:v>44911</x:v>
      </x:c>
      <x:c r="H244" s="8" t="n">
        <x:v>0</x:v>
      </x:c>
      <x:c r="I244" s="8"/>
      <x:c r="J244" s="8" t="n">
        <x:v>1</x:v>
      </x:c>
      <x:c r="K244" s="9" t="n">
        <x:v>930</x:v>
      </x:c>
      <x:c r="L244" s="8" t="n">
        <x:v>1000</x:v>
      </x:c>
      <x:c r="M244" s="10" t="n">
        <x:v>0</x:v>
      </x:c>
      <x:c r="N244" s="8" t="str">
        <x:v>i</x:v>
      </x:c>
      <x:c r="O244" s="8" t="n">
        <x:v>0</x:v>
      </x:c>
      <x:c r="P244" s="11" t="n">
        <x:f>MIN(X244,MAX(0,SUMIFS('Current inventory'!$D$2:$D$127,'Current inventory'!$A$2:$A$127,A244,'Current inventory'!$B$2:$B$127,B244)-SUMIFS($X$2:X243,$A$2:A243,A244,$B$2:B243,B244)))</x:f>
        <x:v>0</x:v>
      </x:c>
      <x:c r="Q244" s="1" t="str">
        <x:v>Received history</x:v>
      </x:c>
      <x:c r="R244" s="1" t="str">
        <x:v>Receipts data film c400 c800 plastic.csv</x:v>
      </x:c>
      <x:c r="S244" s="12" t="n">
        <x:f>IF(O244=1,I244*J244,0)</x:f>
        <x:v>0</x:v>
      </x:c>
      <x:c r="T244" s="13" t="n">
        <x:f>IF(L244&gt;0,K244/L244,"n.a.")</x:f>
        <x:v>0.93</x:v>
      </x:c>
      <x:c r="U244" s="12" t="n">
        <x:f>IF(Q244="Old cost",S244,0)</x:f>
        <x:v>0</x:v>
      </x:c>
      <x:c r="V244" s="12" t="n">
        <x:f>IF(Q244="Higher cost",S244,0)</x:f>
        <x:v>0</x:v>
      </x:c>
      <x:c r="W244" s="12" t="n">
        <x:f>IF(Q244="Unclassified",S244,0)</x:f>
        <x:v>0</x:v>
      </x:c>
      <x:c r="X244" s="12" t="n">
        <x:f>IF(AND(ISNUMBER(F244),F244&gt;0,F244&lt;=Summary!$D$5,H244&gt;0),H244*J244,0)</x:f>
        <x:v>0</x:v>
      </x:c>
    </x:row>
    <x:row r="245" ht="21" customHeight="1">
      <x:c r="A245" s="1" t="str">
        <x:v>30</x:v>
      </x:c>
      <x:c r="B245" s="1" t="str">
        <x:v>800BBLKASC</x:v>
      </x:c>
      <x:c r="C245" s="1" t="str">
        <x:v>3003748</x:v>
      </x:c>
      <x:c r="D245" s="1" t="str">
        <x:v>0</x:v>
      </x:c>
      <x:c r="E245" s="1"/>
      <x:c r="F245" s="7" t="n">
        <x:v>44907</x:v>
      </x:c>
      <x:c r="G245" s="7" t="n">
        <x:v>44946</x:v>
      </x:c>
      <x:c r="H245" s="8" t="n">
        <x:v>0</x:v>
      </x:c>
      <x:c r="I245" s="8"/>
      <x:c r="J245" s="8" t="n">
        <x:v>1</x:v>
      </x:c>
      <x:c r="K245" s="9" t="n">
        <x:v>10.96</x:v>
      </x:c>
      <x:c r="L245" s="8" t="n">
        <x:v>100</x:v>
      </x:c>
      <x:c r="M245" s="10" t="n">
        <x:v>0</x:v>
      </x:c>
      <x:c r="N245" s="8" t="str">
        <x:v>i</x:v>
      </x:c>
      <x:c r="O245" s="8" t="n">
        <x:v>0</x:v>
      </x:c>
      <x:c r="P245" s="11" t="n">
        <x:f>MIN(X245,MAX(0,SUMIFS('Current inventory'!$D$2:$D$127,'Current inventory'!$A$2:$A$127,A245,'Current inventory'!$B$2:$B$127,B245)-SUMIFS($X$2:X244,$A$2:A244,A245,$B$2:B244,B245)))</x:f>
        <x:v>0</x:v>
      </x:c>
      <x:c r="Q245" s="1" t="str">
        <x:v>Received history</x:v>
      </x:c>
      <x:c r="R245" s="1" t="str">
        <x:v>Receipts data film c400 c800 plastic.csv</x:v>
      </x:c>
      <x:c r="S245" s="12" t="n">
        <x:f>IF(O245=1,I245*J245,0)</x:f>
        <x:v>0</x:v>
      </x:c>
      <x:c r="T245" s="13" t="n">
        <x:f>IF(L245&gt;0,K245/L245,"n.a.")</x:f>
        <x:v>0.1096</x:v>
      </x:c>
      <x:c r="U245" s="12" t="n">
        <x:f>IF(Q245="Old cost",S245,0)</x:f>
        <x:v>0</x:v>
      </x:c>
      <x:c r="V245" s="12" t="n">
        <x:f>IF(Q245="Higher cost",S245,0)</x:f>
        <x:v>0</x:v>
      </x:c>
      <x:c r="W245" s="12" t="n">
        <x:f>IF(Q245="Unclassified",S245,0)</x:f>
        <x:v>0</x:v>
      </x:c>
      <x:c r="X245" s="12" t="n">
        <x:f>IF(AND(ISNUMBER(F245),F245&gt;0,F245&lt;=Summary!$D$5,H245&gt;0),H245*J245,0)</x:f>
        <x:v>0</x:v>
      </x:c>
    </x:row>
    <x:row r="246" ht="21" customHeight="1">
      <x:c r="A246" s="1" t="str">
        <x:v>30</x:v>
      </x:c>
      <x:c r="B246" s="1" t="str">
        <x:v>800BBLKDSC</x:v>
      </x:c>
      <x:c r="C246" s="1" t="str">
        <x:v>3003748</x:v>
      </x:c>
      <x:c r="D246" s="1" t="str">
        <x:v>0</x:v>
      </x:c>
      <x:c r="E246" s="1"/>
      <x:c r="F246" s="7" t="n">
        <x:v>44907</x:v>
      </x:c>
      <x:c r="G246" s="7" t="n">
        <x:v>44946</x:v>
      </x:c>
      <x:c r="H246" s="8" t="n">
        <x:v>0</x:v>
      </x:c>
      <x:c r="I246" s="8"/>
      <x:c r="J246" s="8" t="n">
        <x:v>1</x:v>
      </x:c>
      <x:c r="K246" s="9" t="n">
        <x:v>29.14</x:v>
      </x:c>
      <x:c r="L246" s="8" t="n">
        <x:v>100</x:v>
      </x:c>
      <x:c r="M246" s="10" t="n">
        <x:v>0</x:v>
      </x:c>
      <x:c r="N246" s="8" t="str">
        <x:v>i</x:v>
      </x:c>
      <x:c r="O246" s="8" t="n">
        <x:v>0</x:v>
      </x:c>
      <x:c r="P246" s="11" t="n">
        <x:f>MIN(X246,MAX(0,SUMIFS('Current inventory'!$D$2:$D$127,'Current inventory'!$A$2:$A$127,A246,'Current inventory'!$B$2:$B$127,B246)-SUMIFS($X$2:X245,$A$2:A245,A246,$B$2:B245,B246)))</x:f>
        <x:v>0</x:v>
      </x:c>
      <x:c r="Q246" s="1" t="str">
        <x:v>Received history</x:v>
      </x:c>
      <x:c r="R246" s="1" t="str">
        <x:v>Receipts data film c400 c800 plastic.csv</x:v>
      </x:c>
      <x:c r="S246" s="12" t="n">
        <x:f>IF(O246=1,I246*J246,0)</x:f>
        <x:v>0</x:v>
      </x:c>
      <x:c r="T246" s="13" t="n">
        <x:f>IF(L246&gt;0,K246/L246,"n.a.")</x:f>
        <x:v>0.2914</x:v>
      </x:c>
      <x:c r="U246" s="12" t="n">
        <x:f>IF(Q246="Old cost",S246,0)</x:f>
        <x:v>0</x:v>
      </x:c>
      <x:c r="V246" s="12" t="n">
        <x:f>IF(Q246="Higher cost",S246,0)</x:f>
        <x:v>0</x:v>
      </x:c>
      <x:c r="W246" s="12" t="n">
        <x:f>IF(Q246="Unclassified",S246,0)</x:f>
        <x:v>0</x:v>
      </x:c>
      <x:c r="X246" s="12" t="n">
        <x:f>IF(AND(ISNUMBER(F246),F246&gt;0,F246&lt;=Summary!$D$5,H246&gt;0),H246*J246,0)</x:f>
        <x:v>0</x:v>
      </x:c>
    </x:row>
    <x:row r="247" ht="21" customHeight="1">
      <x:c r="A247" s="1" t="str">
        <x:v>30</x:v>
      </x:c>
      <x:c r="B247" s="1" t="str">
        <x:v>800BNAVASC</x:v>
      </x:c>
      <x:c r="C247" s="1" t="str">
        <x:v>3003748</x:v>
      </x:c>
      <x:c r="D247" s="1" t="str">
        <x:v>0</x:v>
      </x:c>
      <x:c r="E247" s="1"/>
      <x:c r="F247" s="7" t="n">
        <x:v>44907</x:v>
      </x:c>
      <x:c r="G247" s="7" t="n">
        <x:v>44946</x:v>
      </x:c>
      <x:c r="H247" s="8" t="n">
        <x:v>40000</x:v>
      </x:c>
      <x:c r="I247" s="8"/>
      <x:c r="J247" s="8" t="n">
        <x:v>1</x:v>
      </x:c>
      <x:c r="K247" s="9" t="n">
        <x:v>13.1</x:v>
      </x:c>
      <x:c r="L247" s="8" t="n">
        <x:v>100</x:v>
      </x:c>
      <x:c r="M247" s="10" t="n">
        <x:v>5608</x:v>
      </x:c>
      <x:c r="N247" s="8" t="str">
        <x:v>i</x:v>
      </x:c>
      <x:c r="O247" s="8" t="n">
        <x:v>0</x:v>
      </x:c>
      <x:c r="P247" s="11" t="n">
        <x:f>MIN(X247,MAX(0,SUMIFS('Current inventory'!$D$2:$D$127,'Current inventory'!$A$2:$A$127,A247,'Current inventory'!$B$2:$B$127,B247)-SUMIFS($X$2:X246,$A$2:A246,A247,$B$2:B246,B247)))</x:f>
        <x:v>0</x:v>
      </x:c>
      <x:c r="Q247" s="1" t="str">
        <x:v>Received history</x:v>
      </x:c>
      <x:c r="R247" s="1" t="str">
        <x:v>Receipts data film c400 c800 plastic.csv</x:v>
      </x:c>
      <x:c r="S247" s="12" t="n">
        <x:f>IF(O247=1,I247*J247,0)</x:f>
        <x:v>0</x:v>
      </x:c>
      <x:c r="T247" s="13" t="n">
        <x:f>IF(L247&gt;0,K247/L247,"n.a.")</x:f>
        <x:v>0.131</x:v>
      </x:c>
      <x:c r="U247" s="12" t="n">
        <x:f>IF(Q247="Old cost",S247,0)</x:f>
        <x:v>0</x:v>
      </x:c>
      <x:c r="V247" s="12" t="n">
        <x:f>IF(Q247="Higher cost",S247,0)</x:f>
        <x:v>0</x:v>
      </x:c>
      <x:c r="W247" s="12" t="n">
        <x:f>IF(Q247="Unclassified",S247,0)</x:f>
        <x:v>0</x:v>
      </x:c>
      <x:c r="X247" s="12" t="n">
        <x:f>IF(AND(ISNUMBER(F247),F247&gt;0,F247&lt;=Summary!$D$5,H247&gt;0),H247*J247,0)</x:f>
        <x:v>40000</x:v>
      </x:c>
    </x:row>
    <x:row r="248" ht="21" customHeight="1">
      <x:c r="A248" s="1" t="str">
        <x:v>30</x:v>
      </x:c>
      <x:c r="B248" s="1" t="str">
        <x:v>800BBLKDSC</x:v>
      </x:c>
      <x:c r="C248" s="1" t="str">
        <x:v>3003735</x:v>
      </x:c>
      <x:c r="D248" s="1" t="str">
        <x:v>1</x:v>
      </x:c>
      <x:c r="E248" s="1"/>
      <x:c r="F248" s="7" t="n">
        <x:v>44907</x:v>
      </x:c>
      <x:c r="G248" s="7" t="n">
        <x:v>44911</x:v>
      </x:c>
      <x:c r="H248" s="8" t="n">
        <x:v>0</x:v>
      </x:c>
      <x:c r="I248" s="8"/>
      <x:c r="J248" s="8" t="n">
        <x:v>1</x:v>
      </x:c>
      <x:c r="K248" s="9" t="n">
        <x:v>29.14</x:v>
      </x:c>
      <x:c r="L248" s="8" t="n">
        <x:v>100</x:v>
      </x:c>
      <x:c r="M248" s="10" t="n">
        <x:v>0</x:v>
      </x:c>
      <x:c r="N248" s="8" t="str">
        <x:v>i</x:v>
      </x:c>
      <x:c r="O248" s="8" t="n">
        <x:v>0</x:v>
      </x:c>
      <x:c r="P248" s="11" t="n">
        <x:f>MIN(X248,MAX(0,SUMIFS('Current inventory'!$D$2:$D$127,'Current inventory'!$A$2:$A$127,A248,'Current inventory'!$B$2:$B$127,B248)-SUMIFS($X$2:X247,$A$2:A247,A248,$B$2:B247,B248)))</x:f>
        <x:v>0</x:v>
      </x:c>
      <x:c r="Q248" s="1" t="str">
        <x:v>Received history</x:v>
      </x:c>
      <x:c r="R248" s="1" t="str">
        <x:v>Receipts data film c400 c800 plastic.csv</x:v>
      </x:c>
      <x:c r="S248" s="12" t="n">
        <x:f>IF(O248=1,I248*J248,0)</x:f>
        <x:v>0</x:v>
      </x:c>
      <x:c r="T248" s="13" t="n">
        <x:f>IF(L248&gt;0,K248/L248,"n.a.")</x:f>
        <x:v>0.2914</x:v>
      </x:c>
      <x:c r="U248" s="12" t="n">
        <x:f>IF(Q248="Old cost",S248,0)</x:f>
        <x:v>0</x:v>
      </x:c>
      <x:c r="V248" s="12" t="n">
        <x:f>IF(Q248="Higher cost",S248,0)</x:f>
        <x:v>0</x:v>
      </x:c>
      <x:c r="W248" s="12" t="n">
        <x:f>IF(Q248="Unclassified",S248,0)</x:f>
        <x:v>0</x:v>
      </x:c>
      <x:c r="X248" s="12" t="n">
        <x:f>IF(AND(ISNUMBER(F248),F248&gt;0,F248&lt;=Summary!$D$5,H248&gt;0),H248*J248,0)</x:f>
        <x:v>0</x:v>
      </x:c>
    </x:row>
    <x:row r="249" ht="21" customHeight="1">
      <x:c r="A249" s="1" t="str">
        <x:v>30</x:v>
      </x:c>
      <x:c r="B249" s="1" t="str">
        <x:v>800BMARASC</x:v>
      </x:c>
      <x:c r="C249" s="1" t="str">
        <x:v>3003735</x:v>
      </x:c>
      <x:c r="D249" s="1" t="str">
        <x:v>1</x:v>
      </x:c>
      <x:c r="E249" s="1"/>
      <x:c r="F249" s="7" t="n">
        <x:v>44907</x:v>
      </x:c>
      <x:c r="G249" s="7" t="n">
        <x:v>44911</x:v>
      </x:c>
      <x:c r="H249" s="8" t="n">
        <x:v>0</x:v>
      </x:c>
      <x:c r="I249" s="8"/>
      <x:c r="J249" s="8" t="n">
        <x:v>1</x:v>
      </x:c>
      <x:c r="K249" s="9" t="n">
        <x:v>13.84</x:v>
      </x:c>
      <x:c r="L249" s="8" t="n">
        <x:v>100</x:v>
      </x:c>
      <x:c r="M249" s="10" t="n">
        <x:v>0</x:v>
      </x:c>
      <x:c r="N249" s="8" t="str">
        <x:v>i</x:v>
      </x:c>
      <x:c r="O249" s="8" t="n">
        <x:v>0</x:v>
      </x:c>
      <x:c r="P249" s="11" t="n">
        <x:f>MIN(X249,MAX(0,SUMIFS('Current inventory'!$D$2:$D$127,'Current inventory'!$A$2:$A$127,A249,'Current inventory'!$B$2:$B$127,B249)-SUMIFS($X$2:X248,$A$2:A248,A249,$B$2:B248,B249)))</x:f>
        <x:v>0</x:v>
      </x:c>
      <x:c r="Q249" s="1" t="str">
        <x:v>Received history</x:v>
      </x:c>
      <x:c r="R249" s="1" t="str">
        <x:v>Receipts data film c400 c800 plastic.csv</x:v>
      </x:c>
      <x:c r="S249" s="12" t="n">
        <x:f>IF(O249=1,I249*J249,0)</x:f>
        <x:v>0</x:v>
      </x:c>
      <x:c r="T249" s="13" t="n">
        <x:f>IF(L249&gt;0,K249/L249,"n.a.")</x:f>
        <x:v>0.1384</x:v>
      </x:c>
      <x:c r="U249" s="12" t="n">
        <x:f>IF(Q249="Old cost",S249,0)</x:f>
        <x:v>0</x:v>
      </x:c>
      <x:c r="V249" s="12" t="n">
        <x:f>IF(Q249="Higher cost",S249,0)</x:f>
        <x:v>0</x:v>
      </x:c>
      <x:c r="W249" s="12" t="n">
        <x:f>IF(Q249="Unclassified",S249,0)</x:f>
        <x:v>0</x:v>
      </x:c>
      <x:c r="X249" s="12" t="n">
        <x:f>IF(AND(ISNUMBER(F249),F249&gt;0,F249&lt;=Summary!$D$5,H249&gt;0),H249*J249,0)</x:f>
        <x:v>0</x:v>
      </x:c>
    </x:row>
    <x:row r="250" ht="21" customHeight="1">
      <x:c r="A250" s="1" t="str">
        <x:v>30</x:v>
      </x:c>
      <x:c r="B250" s="1" t="str">
        <x:v>800BNAVASC</x:v>
      </x:c>
      <x:c r="C250" s="1" t="str">
        <x:v>3003735</x:v>
      </x:c>
      <x:c r="D250" s="1" t="str">
        <x:v>1</x:v>
      </x:c>
      <x:c r="E250" s="1"/>
      <x:c r="F250" s="7" t="n">
        <x:v>44907</x:v>
      </x:c>
      <x:c r="G250" s="7" t="n">
        <x:v>44911</x:v>
      </x:c>
      <x:c r="H250" s="8" t="n">
        <x:v>60000</x:v>
      </x:c>
      <x:c r="I250" s="8"/>
      <x:c r="J250" s="8" t="n">
        <x:v>1</x:v>
      </x:c>
      <x:c r="K250" s="9" t="n">
        <x:v>13.1</x:v>
      </x:c>
      <x:c r="L250" s="8" t="n">
        <x:v>100</x:v>
      </x:c>
      <x:c r="M250" s="10" t="n">
        <x:v>8412</x:v>
      </x:c>
      <x:c r="N250" s="8" t="str">
        <x:v>i</x:v>
      </x:c>
      <x:c r="O250" s="8" t="n">
        <x:v>0</x:v>
      </x:c>
      <x:c r="P250" s="11" t="n">
        <x:f>MIN(X250,MAX(0,SUMIFS('Current inventory'!$D$2:$D$127,'Current inventory'!$A$2:$A$127,A250,'Current inventory'!$B$2:$B$127,B250)-SUMIFS($X$2:X249,$A$2:A249,A250,$B$2:B249,B250)))</x:f>
        <x:v>0</x:v>
      </x:c>
      <x:c r="Q250" s="1" t="str">
        <x:v>Received history</x:v>
      </x:c>
      <x:c r="R250" s="1" t="str">
        <x:v>Receipts data film c400 c800 plastic.csv</x:v>
      </x:c>
      <x:c r="S250" s="12" t="n">
        <x:f>IF(O250=1,I250*J250,0)</x:f>
        <x:v>0</x:v>
      </x:c>
      <x:c r="T250" s="13" t="n">
        <x:f>IF(L250&gt;0,K250/L250,"n.a.")</x:f>
        <x:v>0.131</x:v>
      </x:c>
      <x:c r="U250" s="12" t="n">
        <x:f>IF(Q250="Old cost",S250,0)</x:f>
        <x:v>0</x:v>
      </x:c>
      <x:c r="V250" s="12" t="n">
        <x:f>IF(Q250="Higher cost",S250,0)</x:f>
        <x:v>0</x:v>
      </x:c>
      <x:c r="W250" s="12" t="n">
        <x:f>IF(Q250="Unclassified",S250,0)</x:f>
        <x:v>0</x:v>
      </x:c>
      <x:c r="X250" s="12" t="n">
        <x:f>IF(AND(ISNUMBER(F250),F250&gt;0,F250&lt;=Summary!$D$5,H250&gt;0),H250*J250,0)</x:f>
        <x:v>60000</x:v>
      </x:c>
    </x:row>
    <x:row r="251" ht="21" customHeight="1">
      <x:c r="A251" s="1" t="str">
        <x:v>30</x:v>
      </x:c>
      <x:c r="B251" s="1" t="str">
        <x:v>800BBLKDSC</x:v>
      </x:c>
      <x:c r="C251" s="1" t="str">
        <x:v>3003712</x:v>
      </x:c>
      <x:c r="D251" s="1" t="str">
        <x:v>4</x:v>
      </x:c>
      <x:c r="E251" s="1"/>
      <x:c r="F251" s="7" t="n">
        <x:v>44907</x:v>
      </x:c>
      <x:c r="G251" s="7" t="n">
        <x:v>44911</x:v>
      </x:c>
      <x:c r="H251" s="8" t="n">
        <x:v>20000</x:v>
      </x:c>
      <x:c r="I251" s="8"/>
      <x:c r="J251" s="8" t="n">
        <x:v>1</x:v>
      </x:c>
      <x:c r="K251" s="9" t="n">
        <x:v>26.15</x:v>
      </x:c>
      <x:c r="L251" s="8" t="n">
        <x:v>100</x:v>
      </x:c>
      <x:c r="M251" s="10" t="n">
        <x:v>6230</x:v>
      </x:c>
      <x:c r="N251" s="8" t="str">
        <x:v>i</x:v>
      </x:c>
      <x:c r="O251" s="8" t="n">
        <x:v>0</x:v>
      </x:c>
      <x:c r="P251" s="11" t="n">
        <x:f>MIN(X251,MAX(0,SUMIFS('Current inventory'!$D$2:$D$127,'Current inventory'!$A$2:$A$127,A251,'Current inventory'!$B$2:$B$127,B251)-SUMIFS($X$2:X250,$A$2:A250,A251,$B$2:B250,B251)))</x:f>
        <x:v>0</x:v>
      </x:c>
      <x:c r="Q251" s="1" t="str">
        <x:v>Received history</x:v>
      </x:c>
      <x:c r="R251" s="1" t="str">
        <x:v>Receipts data film c400 c800 plastic.csv</x:v>
      </x:c>
      <x:c r="S251" s="12" t="n">
        <x:f>IF(O251=1,I251*J251,0)</x:f>
        <x:v>0</x:v>
      </x:c>
      <x:c r="T251" s="13" t="n">
        <x:f>IF(L251&gt;0,K251/L251,"n.a.")</x:f>
        <x:v>0.2615</x:v>
      </x:c>
      <x:c r="U251" s="12" t="n">
        <x:f>IF(Q251="Old cost",S251,0)</x:f>
        <x:v>0</x:v>
      </x:c>
      <x:c r="V251" s="12" t="n">
        <x:f>IF(Q251="Higher cost",S251,0)</x:f>
        <x:v>0</x:v>
      </x:c>
      <x:c r="W251" s="12" t="n">
        <x:f>IF(Q251="Unclassified",S251,0)</x:f>
        <x:v>0</x:v>
      </x:c>
      <x:c r="X251" s="12" t="n">
        <x:f>IF(AND(ISNUMBER(F251),F251&gt;0,F251&lt;=Summary!$D$5,H251&gt;0),H251*J251,0)</x:f>
        <x:v>20000</x:v>
      </x:c>
    </x:row>
    <x:row r="252" ht="21" customHeight="1">
      <x:c r="A252" s="1" t="str">
        <x:v>10</x:v>
      </x:c>
      <x:c r="B252" s="1" t="str">
        <x:v>800BBLKDSC</x:v>
      </x:c>
      <x:c r="C252" s="1" t="str">
        <x:v>1054834</x:v>
      </x:c>
      <x:c r="D252" s="1" t="str">
        <x:v>3</x:v>
      </x:c>
      <x:c r="E252" s="1"/>
      <x:c r="F252" s="7" t="n">
        <x:v>44907</x:v>
      </x:c>
      <x:c r="G252" s="7" t="n">
        <x:v>44911</x:v>
      </x:c>
      <x:c r="H252" s="8" t="n">
        <x:v>0</x:v>
      </x:c>
      <x:c r="I252" s="8"/>
      <x:c r="J252" s="8" t="n">
        <x:v>1</x:v>
      </x:c>
      <x:c r="K252" s="9" t="n">
        <x:v>29.14</x:v>
      </x:c>
      <x:c r="L252" s="8" t="n">
        <x:v>100</x:v>
      </x:c>
      <x:c r="M252" s="10" t="n">
        <x:v>0</x:v>
      </x:c>
      <x:c r="N252" s="8" t="str">
        <x:v>i</x:v>
      </x:c>
      <x:c r="O252" s="8" t="n">
        <x:v>0</x:v>
      </x:c>
      <x:c r="P252" s="11" t="n">
        <x:f>MIN(X252,MAX(0,SUMIFS('Current inventory'!$D$2:$D$127,'Current inventory'!$A$2:$A$127,A252,'Current inventory'!$B$2:$B$127,B252)-SUMIFS($X$2:X251,$A$2:A251,A252,$B$2:B251,B252)))</x:f>
        <x:v>0</x:v>
      </x:c>
      <x:c r="Q252" s="1" t="str">
        <x:v>Received history</x:v>
      </x:c>
      <x:c r="R252" s="1" t="str">
        <x:v>Receipts data film c400 c800 plastic.csv</x:v>
      </x:c>
      <x:c r="S252" s="12" t="n">
        <x:f>IF(O252=1,I252*J252,0)</x:f>
        <x:v>0</x:v>
      </x:c>
      <x:c r="T252" s="13" t="n">
        <x:f>IF(L252&gt;0,K252/L252,"n.a.")</x:f>
        <x:v>0.2914</x:v>
      </x:c>
      <x:c r="U252" s="12" t="n">
        <x:f>IF(Q252="Old cost",S252,0)</x:f>
        <x:v>0</x:v>
      </x:c>
      <x:c r="V252" s="12" t="n">
        <x:f>IF(Q252="Higher cost",S252,0)</x:f>
        <x:v>0</x:v>
      </x:c>
      <x:c r="W252" s="12" t="n">
        <x:f>IF(Q252="Unclassified",S252,0)</x:f>
        <x:v>0</x:v>
      </x:c>
      <x:c r="X252" s="12" t="n">
        <x:f>IF(AND(ISNUMBER(F252),F252&gt;0,F252&lt;=Summary!$D$5,H252&gt;0),H252*J252,0)</x:f>
        <x:v>0</x:v>
      </x:c>
    </x:row>
    <x:row r="253" ht="21" customHeight="1">
      <x:c r="A253" s="1" t="str">
        <x:v>10</x:v>
      </x:c>
      <x:c r="B253" s="1" t="str">
        <x:v>800BLKE</x:v>
      </x:c>
      <x:c r="C253" s="1" t="str">
        <x:v>1054834</x:v>
      </x:c>
      <x:c r="D253" s="1" t="str">
        <x:v>3</x:v>
      </x:c>
      <x:c r="E253" s="1"/>
      <x:c r="F253" s="7" t="n">
        <x:v>44907</x:v>
      </x:c>
      <x:c r="G253" s="7" t="n">
        <x:v>44879</x:v>
      </x:c>
      <x:c r="H253" s="8" t="n">
        <x:v>0</x:v>
      </x:c>
      <x:c r="I253" s="8"/>
      <x:c r="J253" s="8" t="n">
        <x:v>1</x:v>
      </x:c>
      <x:c r="K253" s="9" t="n">
        <x:v>750</x:v>
      </x:c>
      <x:c r="L253" s="8" t="n">
        <x:v>1000</x:v>
      </x:c>
      <x:c r="M253" s="10" t="n">
        <x:v>0</x:v>
      </x:c>
      <x:c r="N253" s="8" t="str">
        <x:v>i</x:v>
      </x:c>
      <x:c r="O253" s="8" t="n">
        <x:v>0</x:v>
      </x:c>
      <x:c r="P253" s="11" t="n">
        <x:f>MIN(X253,MAX(0,SUMIFS('Current inventory'!$D$2:$D$127,'Current inventory'!$A$2:$A$127,A253,'Current inventory'!$B$2:$B$127,B253)-SUMIFS($X$2:X252,$A$2:A252,A253,$B$2:B252,B253)))</x:f>
        <x:v>0</x:v>
      </x:c>
      <x:c r="Q253" s="1" t="str">
        <x:v>Received history</x:v>
      </x:c>
      <x:c r="R253" s="1" t="str">
        <x:v>Receipts data film c400 c800 plastic.csv</x:v>
      </x:c>
      <x:c r="S253" s="12" t="n">
        <x:f>IF(O253=1,I253*J253,0)</x:f>
        <x:v>0</x:v>
      </x:c>
      <x:c r="T253" s="13" t="n">
        <x:f>IF(L253&gt;0,K253/L253,"n.a.")</x:f>
        <x:v>0.75</x:v>
      </x:c>
      <x:c r="U253" s="12" t="n">
        <x:f>IF(Q253="Old cost",S253,0)</x:f>
        <x:v>0</x:v>
      </x:c>
      <x:c r="V253" s="12" t="n">
        <x:f>IF(Q253="Higher cost",S253,0)</x:f>
        <x:v>0</x:v>
      </x:c>
      <x:c r="W253" s="12" t="n">
        <x:f>IF(Q253="Unclassified",S253,0)</x:f>
        <x:v>0</x:v>
      </x:c>
      <x:c r="X253" s="12" t="n">
        <x:f>IF(AND(ISNUMBER(F253),F253&gt;0,F253&lt;=Summary!$D$5,H253&gt;0),H253*J253,0)</x:f>
        <x:v>0</x:v>
      </x:c>
    </x:row>
    <x:row r="254" ht="21" customHeight="1">
      <x:c r="A254" s="1" t="str">
        <x:v>10</x:v>
      </x:c>
      <x:c r="B254" s="1" t="str">
        <x:v>800BMARASC</x:v>
      </x:c>
      <x:c r="C254" s="1" t="str">
        <x:v>1054834</x:v>
      </x:c>
      <x:c r="D254" s="1" t="str">
        <x:v>3</x:v>
      </x:c>
      <x:c r="E254" s="1"/>
      <x:c r="F254" s="7" t="n">
        <x:v>44907</x:v>
      </x:c>
      <x:c r="G254" s="7" t="n">
        <x:v>44911</x:v>
      </x:c>
      <x:c r="H254" s="8" t="n">
        <x:v>0</x:v>
      </x:c>
      <x:c r="I254" s="8"/>
      <x:c r="J254" s="8" t="n">
        <x:v>1</x:v>
      </x:c>
      <x:c r="K254" s="9" t="n">
        <x:v>13.84</x:v>
      </x:c>
      <x:c r="L254" s="8" t="n">
        <x:v>100</x:v>
      </x:c>
      <x:c r="M254" s="10" t="n">
        <x:v>0</x:v>
      </x:c>
      <x:c r="N254" s="8" t="str">
        <x:v>i</x:v>
      </x:c>
      <x:c r="O254" s="8" t="n">
        <x:v>0</x:v>
      </x:c>
      <x:c r="P254" s="11" t="n">
        <x:f>MIN(X254,MAX(0,SUMIFS('Current inventory'!$D$2:$D$127,'Current inventory'!$A$2:$A$127,A254,'Current inventory'!$B$2:$B$127,B254)-SUMIFS($X$2:X253,$A$2:A253,A254,$B$2:B253,B254)))</x:f>
        <x:v>0</x:v>
      </x:c>
      <x:c r="Q254" s="1" t="str">
        <x:v>Received history</x:v>
      </x:c>
      <x:c r="R254" s="1" t="str">
        <x:v>Receipts data film c400 c800 plastic.csv</x:v>
      </x:c>
      <x:c r="S254" s="12" t="n">
        <x:f>IF(O254=1,I254*J254,0)</x:f>
        <x:v>0</x:v>
      </x:c>
      <x:c r="T254" s="13" t="n">
        <x:f>IF(L254&gt;0,K254/L254,"n.a.")</x:f>
        <x:v>0.1384</x:v>
      </x:c>
      <x:c r="U254" s="12" t="n">
        <x:f>IF(Q254="Old cost",S254,0)</x:f>
        <x:v>0</x:v>
      </x:c>
      <x:c r="V254" s="12" t="n">
        <x:f>IF(Q254="Higher cost",S254,0)</x:f>
        <x:v>0</x:v>
      </x:c>
      <x:c r="W254" s="12" t="n">
        <x:f>IF(Q254="Unclassified",S254,0)</x:f>
        <x:v>0</x:v>
      </x:c>
      <x:c r="X254" s="12" t="n">
        <x:f>IF(AND(ISNUMBER(F254),F254&gt;0,F254&lt;=Summary!$D$5,H254&gt;0),H254*J254,0)</x:f>
        <x:v>0</x:v>
      </x:c>
    </x:row>
    <x:row r="255" ht="21" customHeight="1">
      <x:c r="A255" s="1" t="str">
        <x:v>10</x:v>
      </x:c>
      <x:c r="B255" s="1" t="str">
        <x:v>800BNAVASC</x:v>
      </x:c>
      <x:c r="C255" s="1" t="str">
        <x:v>1054834</x:v>
      </x:c>
      <x:c r="D255" s="1" t="str">
        <x:v>3</x:v>
      </x:c>
      <x:c r="E255" s="1"/>
      <x:c r="F255" s="7" t="n">
        <x:v>44907</x:v>
      </x:c>
      <x:c r="G255" s="7" t="n">
        <x:v>44911</x:v>
      </x:c>
      <x:c r="H255" s="8" t="n">
        <x:v>40000</x:v>
      </x:c>
      <x:c r="I255" s="8"/>
      <x:c r="J255" s="8" t="n">
        <x:v>1</x:v>
      </x:c>
      <x:c r="K255" s="9" t="n">
        <x:v>13.1</x:v>
      </x:c>
      <x:c r="L255" s="8" t="n">
        <x:v>100</x:v>
      </x:c>
      <x:c r="M255" s="10" t="n">
        <x:v>5608</x:v>
      </x:c>
      <x:c r="N255" s="8" t="str">
        <x:v>i</x:v>
      </x:c>
      <x:c r="O255" s="8" t="n">
        <x:v>0</x:v>
      </x:c>
      <x:c r="P255" s="11" t="n">
        <x:f>MIN(X255,MAX(0,SUMIFS('Current inventory'!$D$2:$D$127,'Current inventory'!$A$2:$A$127,A255,'Current inventory'!$B$2:$B$127,B255)-SUMIFS($X$2:X254,$A$2:A254,A255,$B$2:B254,B255)))</x:f>
        <x:v>0</x:v>
      </x:c>
      <x:c r="Q255" s="1" t="str">
        <x:v>Received history</x:v>
      </x:c>
      <x:c r="R255" s="1" t="str">
        <x:v>Receipts data film c400 c800 plastic.csv</x:v>
      </x:c>
      <x:c r="S255" s="12" t="n">
        <x:f>IF(O255=1,I255*J255,0)</x:f>
        <x:v>0</x:v>
      </x:c>
      <x:c r="T255" s="13" t="n">
        <x:f>IF(L255&gt;0,K255/L255,"n.a.")</x:f>
        <x:v>0.131</x:v>
      </x:c>
      <x:c r="U255" s="12" t="n">
        <x:f>IF(Q255="Old cost",S255,0)</x:f>
        <x:v>0</x:v>
      </x:c>
      <x:c r="V255" s="12" t="n">
        <x:f>IF(Q255="Higher cost",S255,0)</x:f>
        <x:v>0</x:v>
      </x:c>
      <x:c r="W255" s="12" t="n">
        <x:f>IF(Q255="Unclassified",S255,0)</x:f>
        <x:v>0</x:v>
      </x:c>
      <x:c r="X255" s="12" t="n">
        <x:f>IF(AND(ISNUMBER(F255),F255&gt;0,F255&lt;=Summary!$D$5,H255&gt;0),H255*J255,0)</x:f>
        <x:v>40000</x:v>
      </x:c>
    </x:row>
    <x:row r="256" ht="21" customHeight="1">
      <x:c r="A256" s="1" t="str">
        <x:v>10</x:v>
      </x:c>
      <x:c r="B256" s="1" t="str">
        <x:v>800NAVE</x:v>
      </x:c>
      <x:c r="C256" s="1" t="str">
        <x:v>1054834</x:v>
      </x:c>
      <x:c r="D256" s="1" t="str">
        <x:v>3</x:v>
      </x:c>
      <x:c r="E256" s="1"/>
      <x:c r="F256" s="7" t="n">
        <x:v>44907</x:v>
      </x:c>
      <x:c r="G256" s="7" t="n">
        <x:v>44911</x:v>
      </x:c>
      <x:c r="H256" s="8" t="n">
        <x:v>0</x:v>
      </x:c>
      <x:c r="I256" s="8"/>
      <x:c r="J256" s="8" t="n">
        <x:v>1</x:v>
      </x:c>
      <x:c r="K256" s="9" t="n">
        <x:v>930</x:v>
      </x:c>
      <x:c r="L256" s="8" t="n">
        <x:v>1000</x:v>
      </x:c>
      <x:c r="M256" s="10" t="n">
        <x:v>0</x:v>
      </x:c>
      <x:c r="N256" s="8" t="str">
        <x:v>i</x:v>
      </x:c>
      <x:c r="O256" s="8" t="n">
        <x:v>0</x:v>
      </x:c>
      <x:c r="P256" s="11" t="n">
        <x:f>MIN(X256,MAX(0,SUMIFS('Current inventory'!$D$2:$D$127,'Current inventory'!$A$2:$A$127,A256,'Current inventory'!$B$2:$B$127,B256)-SUMIFS($X$2:X255,$A$2:A255,A256,$B$2:B255,B256)))</x:f>
        <x:v>0</x:v>
      </x:c>
      <x:c r="Q256" s="1" t="str">
        <x:v>Received history</x:v>
      </x:c>
      <x:c r="R256" s="1" t="str">
        <x:v>Receipts data film c400 c800 plastic.csv</x:v>
      </x:c>
      <x:c r="S256" s="12" t="n">
        <x:f>IF(O256=1,I256*J256,0)</x:f>
        <x:v>0</x:v>
      </x:c>
      <x:c r="T256" s="13" t="n">
        <x:f>IF(L256&gt;0,K256/L256,"n.a.")</x:f>
        <x:v>0.93</x:v>
      </x:c>
      <x:c r="U256" s="12" t="n">
        <x:f>IF(Q256="Old cost",S256,0)</x:f>
        <x:v>0</x:v>
      </x:c>
      <x:c r="V256" s="12" t="n">
        <x:f>IF(Q256="Higher cost",S256,0)</x:f>
        <x:v>0</x:v>
      </x:c>
      <x:c r="W256" s="12" t="n">
        <x:f>IF(Q256="Unclassified",S256,0)</x:f>
        <x:v>0</x:v>
      </x:c>
      <x:c r="X256" s="12" t="n">
        <x:f>IF(AND(ISNUMBER(F256),F256&gt;0,F256&lt;=Summary!$D$5,H256&gt;0),H256*J256,0)</x:f>
        <x:v>0</x:v>
      </x:c>
    </x:row>
    <x:row r="257" ht="21" customHeight="1">
      <x:c r="A257" s="1" t="str">
        <x:v>60</x:v>
      </x:c>
      <x:c r="B257" s="1" t="str">
        <x:v>800BBLKDSC</x:v>
      </x:c>
      <x:c r="C257" s="1" t="str">
        <x:v>6102635</x:v>
      </x:c>
      <x:c r="D257" s="1" t="str">
        <x:v>4</x:v>
      </x:c>
      <x:c r="E257" s="1"/>
      <x:c r="F257" s="7" t="n">
        <x:v>44894</x:v>
      </x:c>
      <x:c r="G257" s="7" t="n">
        <x:v>44893</x:v>
      </x:c>
      <x:c r="H257" s="8" t="n">
        <x:v>20000</x:v>
      </x:c>
      <x:c r="I257" s="8"/>
      <x:c r="J257" s="8" t="n">
        <x:v>1</x:v>
      </x:c>
      <x:c r="K257" s="9" t="n">
        <x:v>26.15</x:v>
      </x:c>
      <x:c r="L257" s="8" t="n">
        <x:v>100</x:v>
      </x:c>
      <x:c r="M257" s="10" t="n">
        <x:v>6230</x:v>
      </x:c>
      <x:c r="N257" s="8" t="str">
        <x:v>i</x:v>
      </x:c>
      <x:c r="O257" s="8" t="n">
        <x:v>0</x:v>
      </x:c>
      <x:c r="P257" s="11" t="n">
        <x:f>MIN(X257,MAX(0,SUMIFS('Current inventory'!$D$2:$D$127,'Current inventory'!$A$2:$A$127,A257,'Current inventory'!$B$2:$B$127,B257)-SUMIFS($X$2:X256,$A$2:A256,A257,$B$2:B256,B257)))</x:f>
        <x:v>0</x:v>
      </x:c>
      <x:c r="Q257" s="1" t="str">
        <x:v>Received history</x:v>
      </x:c>
      <x:c r="R257" s="1" t="str">
        <x:v>Receipts data film c400 c800 plastic.csv</x:v>
      </x:c>
      <x:c r="S257" s="12" t="n">
        <x:f>IF(O257=1,I257*J257,0)</x:f>
        <x:v>0</x:v>
      </x:c>
      <x:c r="T257" s="13" t="n">
        <x:f>IF(L257&gt;0,K257/L257,"n.a.")</x:f>
        <x:v>0.2615</x:v>
      </x:c>
      <x:c r="U257" s="12" t="n">
        <x:f>IF(Q257="Old cost",S257,0)</x:f>
        <x:v>0</x:v>
      </x:c>
      <x:c r="V257" s="12" t="n">
        <x:f>IF(Q257="Higher cost",S257,0)</x:f>
        <x:v>0</x:v>
      </x:c>
      <x:c r="W257" s="12" t="n">
        <x:f>IF(Q257="Unclassified",S257,0)</x:f>
        <x:v>0</x:v>
      </x:c>
      <x:c r="X257" s="12" t="n">
        <x:f>IF(AND(ISNUMBER(F257),F257&gt;0,F257&lt;=Summary!$D$5,H257&gt;0),H257*J257,0)</x:f>
        <x:v>20000</x:v>
      </x:c>
    </x:row>
    <x:row r="258" ht="21" customHeight="1">
      <x:c r="A258" s="1" t="str">
        <x:v>10</x:v>
      </x:c>
      <x:c r="B258" s="1" t="str">
        <x:v>800BBLKDSC</x:v>
      </x:c>
      <x:c r="C258" s="1" t="str">
        <x:v>1054355</x:v>
      </x:c>
      <x:c r="D258" s="1" t="str">
        <x:v>7</x:v>
      </x:c>
      <x:c r="E258" s="1"/>
      <x:c r="F258" s="7" t="n">
        <x:v>44894</x:v>
      </x:c>
      <x:c r="G258" s="7" t="n">
        <x:v>44894</x:v>
      </x:c>
      <x:c r="H258" s="8" t="n">
        <x:v>20000</x:v>
      </x:c>
      <x:c r="I258" s="8"/>
      <x:c r="J258" s="8" t="n">
        <x:v>1</x:v>
      </x:c>
      <x:c r="K258" s="9" t="n">
        <x:v>26.15</x:v>
      </x:c>
      <x:c r="L258" s="8" t="n">
        <x:v>100</x:v>
      </x:c>
      <x:c r="M258" s="10" t="n">
        <x:v>6230</x:v>
      </x:c>
      <x:c r="N258" s="8" t="str">
        <x:v>i</x:v>
      </x:c>
      <x:c r="O258" s="8" t="n">
        <x:v>0</x:v>
      </x:c>
      <x:c r="P258" s="11" t="n">
        <x:f>MIN(X258,MAX(0,SUMIFS('Current inventory'!$D$2:$D$127,'Current inventory'!$A$2:$A$127,A258,'Current inventory'!$B$2:$B$127,B258)-SUMIFS($X$2:X257,$A$2:A257,A258,$B$2:B257,B258)))</x:f>
        <x:v>0</x:v>
      </x:c>
      <x:c r="Q258" s="1" t="str">
        <x:v>Received history</x:v>
      </x:c>
      <x:c r="R258" s="1" t="str">
        <x:v>Receipts data film c400 c800 plastic.csv</x:v>
      </x:c>
      <x:c r="S258" s="12" t="n">
        <x:f>IF(O258=1,I258*J258,0)</x:f>
        <x:v>0</x:v>
      </x:c>
      <x:c r="T258" s="13" t="n">
        <x:f>IF(L258&gt;0,K258/L258,"n.a.")</x:f>
        <x:v>0.2615</x:v>
      </x:c>
      <x:c r="U258" s="12" t="n">
        <x:f>IF(Q258="Old cost",S258,0)</x:f>
        <x:v>0</x:v>
      </x:c>
      <x:c r="V258" s="12" t="n">
        <x:f>IF(Q258="Higher cost",S258,0)</x:f>
        <x:v>0</x:v>
      </x:c>
      <x:c r="W258" s="12" t="n">
        <x:f>IF(Q258="Unclassified",S258,0)</x:f>
        <x:v>0</x:v>
      </x:c>
      <x:c r="X258" s="12" t="n">
        <x:f>IF(AND(ISNUMBER(F258),F258&gt;0,F258&lt;=Summary!$D$5,H258&gt;0),H258*J258,0)</x:f>
        <x:v>20000</x:v>
      </x:c>
    </x:row>
    <x:row r="259" ht="21" customHeight="1">
      <x:c r="A259" s="1" t="str">
        <x:v>10</x:v>
      </x:c>
      <x:c r="B259" s="1" t="str">
        <x:v>800BBLKASC</x:v>
      </x:c>
      <x:c r="C259" s="1" t="str">
        <x:v>1054834</x:v>
      </x:c>
      <x:c r="D259" s="1" t="str">
        <x:v>2</x:v>
      </x:c>
      <x:c r="E259" s="1"/>
      <x:c r="F259" s="7" t="n">
        <x:v>44876</x:v>
      </x:c>
      <x:c r="G259" s="7" t="n">
        <x:v>44879</x:v>
      </x:c>
      <x:c r="H259" s="8" t="n">
        <x:v>360000</x:v>
      </x:c>
      <x:c r="I259" s="8"/>
      <x:c r="J259" s="8" t="n">
        <x:v>1</x:v>
      </x:c>
      <x:c r="K259" s="9" t="n">
        <x:v>10.96</x:v>
      </x:c>
      <x:c r="L259" s="8" t="n">
        <x:v>100</x:v>
      </x:c>
      <x:c r="M259" s="10" t="n">
        <x:v>43416</x:v>
      </x:c>
      <x:c r="N259" s="8" t="str">
        <x:v>i</x:v>
      </x:c>
      <x:c r="O259" s="8" t="n">
        <x:v>0</x:v>
      </x:c>
      <x:c r="P259" s="11" t="n">
        <x:f>MIN(X259,MAX(0,SUMIFS('Current inventory'!$D$2:$D$127,'Current inventory'!$A$2:$A$127,A259,'Current inventory'!$B$2:$B$127,B259)-SUMIFS($X$2:X258,$A$2:A258,A259,$B$2:B258,B259)))</x:f>
        <x:v>0</x:v>
      </x:c>
      <x:c r="Q259" s="1" t="str">
        <x:v>Received history</x:v>
      </x:c>
      <x:c r="R259" s="1" t="str">
        <x:v>Receipts data film c400 c800 plastic.csv</x:v>
      </x:c>
      <x:c r="S259" s="12" t="n">
        <x:f>IF(O259=1,I259*J259,0)</x:f>
        <x:v>0</x:v>
      </x:c>
      <x:c r="T259" s="13" t="n">
        <x:f>IF(L259&gt;0,K259/L259,"n.a.")</x:f>
        <x:v>0.1096</x:v>
      </x:c>
      <x:c r="U259" s="12" t="n">
        <x:f>IF(Q259="Old cost",S259,0)</x:f>
        <x:v>0</x:v>
      </x:c>
      <x:c r="V259" s="12" t="n">
        <x:f>IF(Q259="Higher cost",S259,0)</x:f>
        <x:v>0</x:v>
      </x:c>
      <x:c r="W259" s="12" t="n">
        <x:f>IF(Q259="Unclassified",S259,0)</x:f>
        <x:v>0</x:v>
      </x:c>
      <x:c r="X259" s="12" t="n">
        <x:f>IF(AND(ISNUMBER(F259),F259&gt;0,F259&lt;=Summary!$D$5,H259&gt;0),H259*J259,0)</x:f>
        <x:v>360000</x:v>
      </x:c>
    </x:row>
    <x:row r="260" ht="21" customHeight="1">
      <x:c r="A260" s="1" t="str">
        <x:v>10</x:v>
      </x:c>
      <x:c r="B260" s="1" t="str">
        <x:v>800BBLKDSC</x:v>
      </x:c>
      <x:c r="C260" s="1" t="str">
        <x:v>1054834</x:v>
      </x:c>
      <x:c r="D260" s="1" t="str">
        <x:v>2</x:v>
      </x:c>
      <x:c r="E260" s="1"/>
      <x:c r="F260" s="7" t="n">
        <x:v>44876</x:v>
      </x:c>
      <x:c r="G260" s="7" t="n">
        <x:v>44911</x:v>
      </x:c>
      <x:c r="H260" s="8" t="n">
        <x:v>0</x:v>
      </x:c>
      <x:c r="I260" s="8"/>
      <x:c r="J260" s="8" t="n">
        <x:v>1</x:v>
      </x:c>
      <x:c r="K260" s="9" t="n">
        <x:v>29.14</x:v>
      </x:c>
      <x:c r="L260" s="8" t="n">
        <x:v>100</x:v>
      </x:c>
      <x:c r="M260" s="10" t="n">
        <x:v>0</x:v>
      </x:c>
      <x:c r="N260" s="8" t="str">
        <x:v>i</x:v>
      </x:c>
      <x:c r="O260" s="8" t="n">
        <x:v>0</x:v>
      </x:c>
      <x:c r="P260" s="11" t="n">
        <x:f>MIN(X260,MAX(0,SUMIFS('Current inventory'!$D$2:$D$127,'Current inventory'!$A$2:$A$127,A260,'Current inventory'!$B$2:$B$127,B260)-SUMIFS($X$2:X259,$A$2:A259,A260,$B$2:B259,B260)))</x:f>
        <x:v>0</x:v>
      </x:c>
      <x:c r="Q260" s="1" t="str">
        <x:v>Received history</x:v>
      </x:c>
      <x:c r="R260" s="1" t="str">
        <x:v>Receipts data film c400 c800 plastic.csv</x:v>
      </x:c>
      <x:c r="S260" s="12" t="n">
        <x:f>IF(O260=1,I260*J260,0)</x:f>
        <x:v>0</x:v>
      </x:c>
      <x:c r="T260" s="13" t="n">
        <x:f>IF(L260&gt;0,K260/L260,"n.a.")</x:f>
        <x:v>0.2914</x:v>
      </x:c>
      <x:c r="U260" s="12" t="n">
        <x:f>IF(Q260="Old cost",S260,0)</x:f>
        <x:v>0</x:v>
      </x:c>
      <x:c r="V260" s="12" t="n">
        <x:f>IF(Q260="Higher cost",S260,0)</x:f>
        <x:v>0</x:v>
      </x:c>
      <x:c r="W260" s="12" t="n">
        <x:f>IF(Q260="Unclassified",S260,0)</x:f>
        <x:v>0</x:v>
      </x:c>
      <x:c r="X260" s="12" t="n">
        <x:f>IF(AND(ISNUMBER(F260),F260&gt;0,F260&lt;=Summary!$D$5,H260&gt;0),H260*J260,0)</x:f>
        <x:v>0</x:v>
      </x:c>
    </x:row>
    <x:row r="261" ht="21" customHeight="1">
      <x:c r="A261" s="1" t="str">
        <x:v>10</x:v>
      </x:c>
      <x:c r="B261" s="1" t="str">
        <x:v>800BLKE</x:v>
      </x:c>
      <x:c r="C261" s="1" t="str">
        <x:v>1054834</x:v>
      </x:c>
      <x:c r="D261" s="1" t="str">
        <x:v>2</x:v>
      </x:c>
      <x:c r="E261" s="1"/>
      <x:c r="F261" s="7" t="n">
        <x:v>44876</x:v>
      </x:c>
      <x:c r="G261" s="7" t="n">
        <x:v>44879</x:v>
      </x:c>
      <x:c r="H261" s="8" t="n">
        <x:v>9300</x:v>
      </x:c>
      <x:c r="I261" s="8"/>
      <x:c r="J261" s="8" t="n">
        <x:v>1</x:v>
      </x:c>
      <x:c r="K261" s="9" t="n">
        <x:v>750</x:v>
      </x:c>
      <x:c r="L261" s="8" t="n">
        <x:v>1000</x:v>
      </x:c>
      <x:c r="M261" s="10" t="n">
        <x:v>7616.7</x:v>
      </x:c>
      <x:c r="N261" s="8" t="str">
        <x:v>i</x:v>
      </x:c>
      <x:c r="O261" s="8" t="n">
        <x:v>0</x:v>
      </x:c>
      <x:c r="P261" s="11" t="n">
        <x:f>MIN(X261,MAX(0,SUMIFS('Current inventory'!$D$2:$D$127,'Current inventory'!$A$2:$A$127,A261,'Current inventory'!$B$2:$B$127,B261)-SUMIFS($X$2:X260,$A$2:A260,A261,$B$2:B260,B261)))</x:f>
        <x:v>0</x:v>
      </x:c>
      <x:c r="Q261" s="1" t="str">
        <x:v>Received history</x:v>
      </x:c>
      <x:c r="R261" s="1" t="str">
        <x:v>Receipts data film c400 c800 plastic.csv</x:v>
      </x:c>
      <x:c r="S261" s="12" t="n">
        <x:f>IF(O261=1,I261*J261,0)</x:f>
        <x:v>0</x:v>
      </x:c>
      <x:c r="T261" s="13" t="n">
        <x:f>IF(L261&gt;0,K261/L261,"n.a.")</x:f>
        <x:v>0.75</x:v>
      </x:c>
      <x:c r="U261" s="12" t="n">
        <x:f>IF(Q261="Old cost",S261,0)</x:f>
        <x:v>0</x:v>
      </x:c>
      <x:c r="V261" s="12" t="n">
        <x:f>IF(Q261="Higher cost",S261,0)</x:f>
        <x:v>0</x:v>
      </x:c>
      <x:c r="W261" s="12" t="n">
        <x:f>IF(Q261="Unclassified",S261,0)</x:f>
        <x:v>0</x:v>
      </x:c>
      <x:c r="X261" s="12" t="n">
        <x:f>IF(AND(ISNUMBER(F261),F261&gt;0,F261&lt;=Summary!$D$5,H261&gt;0),H261*J261,0)</x:f>
        <x:v>9300</x:v>
      </x:c>
    </x:row>
    <x:row r="262" ht="21" customHeight="1">
      <x:c r="A262" s="1" t="str">
        <x:v>10</x:v>
      </x:c>
      <x:c r="B262" s="1" t="str">
        <x:v>800BMARASC</x:v>
      </x:c>
      <x:c r="C262" s="1" t="str">
        <x:v>1054834</x:v>
      </x:c>
      <x:c r="D262" s="1" t="str">
        <x:v>2</x:v>
      </x:c>
      <x:c r="E262" s="1"/>
      <x:c r="F262" s="7" t="n">
        <x:v>44876</x:v>
      </x:c>
      <x:c r="G262" s="7" t="n">
        <x:v>44911</x:v>
      </x:c>
      <x:c r="H262" s="8" t="n">
        <x:v>0</x:v>
      </x:c>
      <x:c r="I262" s="8"/>
      <x:c r="J262" s="8" t="n">
        <x:v>1</x:v>
      </x:c>
      <x:c r="K262" s="9" t="n">
        <x:v>13.84</x:v>
      </x:c>
      <x:c r="L262" s="8" t="n">
        <x:v>100</x:v>
      </x:c>
      <x:c r="M262" s="10" t="n">
        <x:v>0</x:v>
      </x:c>
      <x:c r="N262" s="8" t="str">
        <x:v>i</x:v>
      </x:c>
      <x:c r="O262" s="8" t="n">
        <x:v>0</x:v>
      </x:c>
      <x:c r="P262" s="11" t="n">
        <x:f>MIN(X262,MAX(0,SUMIFS('Current inventory'!$D$2:$D$127,'Current inventory'!$A$2:$A$127,A262,'Current inventory'!$B$2:$B$127,B262)-SUMIFS($X$2:X261,$A$2:A261,A262,$B$2:B261,B262)))</x:f>
        <x:v>0</x:v>
      </x:c>
      <x:c r="Q262" s="1" t="str">
        <x:v>Received history</x:v>
      </x:c>
      <x:c r="R262" s="1" t="str">
        <x:v>Receipts data film c400 c800 plastic.csv</x:v>
      </x:c>
      <x:c r="S262" s="12" t="n">
        <x:f>IF(O262=1,I262*J262,0)</x:f>
        <x:v>0</x:v>
      </x:c>
      <x:c r="T262" s="13" t="n">
        <x:f>IF(L262&gt;0,K262/L262,"n.a.")</x:f>
        <x:v>0.1384</x:v>
      </x:c>
      <x:c r="U262" s="12" t="n">
        <x:f>IF(Q262="Old cost",S262,0)</x:f>
        <x:v>0</x:v>
      </x:c>
      <x:c r="V262" s="12" t="n">
        <x:f>IF(Q262="Higher cost",S262,0)</x:f>
        <x:v>0</x:v>
      </x:c>
      <x:c r="W262" s="12" t="n">
        <x:f>IF(Q262="Unclassified",S262,0)</x:f>
        <x:v>0</x:v>
      </x:c>
      <x:c r="X262" s="12" t="n">
        <x:f>IF(AND(ISNUMBER(F262),F262&gt;0,F262&lt;=Summary!$D$5,H262&gt;0),H262*J262,0)</x:f>
        <x:v>0</x:v>
      </x:c>
    </x:row>
    <x:row r="263" ht="21" customHeight="1">
      <x:c r="A263" s="1" t="str">
        <x:v>10</x:v>
      </x:c>
      <x:c r="B263" s="1" t="str">
        <x:v>800BNAVASC</x:v>
      </x:c>
      <x:c r="C263" s="1" t="str">
        <x:v>1054834</x:v>
      </x:c>
      <x:c r="D263" s="1" t="str">
        <x:v>2</x:v>
      </x:c>
      <x:c r="E263" s="1"/>
      <x:c r="F263" s="7" t="n">
        <x:v>44876</x:v>
      </x:c>
      <x:c r="G263" s="7" t="n">
        <x:v>44911</x:v>
      </x:c>
      <x:c r="H263" s="8" t="n">
        <x:v>0</x:v>
      </x:c>
      <x:c r="I263" s="8"/>
      <x:c r="J263" s="8" t="n">
        <x:v>1</x:v>
      </x:c>
      <x:c r="K263" s="9" t="n">
        <x:v>13.1</x:v>
      </x:c>
      <x:c r="L263" s="8" t="n">
        <x:v>100</x:v>
      </x:c>
      <x:c r="M263" s="10" t="n">
        <x:v>0</x:v>
      </x:c>
      <x:c r="N263" s="8" t="str">
        <x:v>i</x:v>
      </x:c>
      <x:c r="O263" s="8" t="n">
        <x:v>0</x:v>
      </x:c>
      <x:c r="P263" s="11" t="n">
        <x:f>MIN(X263,MAX(0,SUMIFS('Current inventory'!$D$2:$D$127,'Current inventory'!$A$2:$A$127,A263,'Current inventory'!$B$2:$B$127,B263)-SUMIFS($X$2:X262,$A$2:A262,A263,$B$2:B262,B263)))</x:f>
        <x:v>0</x:v>
      </x:c>
      <x:c r="Q263" s="1" t="str">
        <x:v>Received history</x:v>
      </x:c>
      <x:c r="R263" s="1" t="str">
        <x:v>Receipts data film c400 c800 plastic.csv</x:v>
      </x:c>
      <x:c r="S263" s="12" t="n">
        <x:f>IF(O263=1,I263*J263,0)</x:f>
        <x:v>0</x:v>
      </x:c>
      <x:c r="T263" s="13" t="n">
        <x:f>IF(L263&gt;0,K263/L263,"n.a.")</x:f>
        <x:v>0.131</x:v>
      </x:c>
      <x:c r="U263" s="12" t="n">
        <x:f>IF(Q263="Old cost",S263,0)</x:f>
        <x:v>0</x:v>
      </x:c>
      <x:c r="V263" s="12" t="n">
        <x:f>IF(Q263="Higher cost",S263,0)</x:f>
        <x:v>0</x:v>
      </x:c>
      <x:c r="W263" s="12" t="n">
        <x:f>IF(Q263="Unclassified",S263,0)</x:f>
        <x:v>0</x:v>
      </x:c>
      <x:c r="X263" s="12" t="n">
        <x:f>IF(AND(ISNUMBER(F263),F263&gt;0,F263&lt;=Summary!$D$5,H263&gt;0),H263*J263,0)</x:f>
        <x:v>0</x:v>
      </x:c>
    </x:row>
    <x:row r="264" ht="21" customHeight="1">
      <x:c r="A264" s="1" t="str">
        <x:v>10</x:v>
      </x:c>
      <x:c r="B264" s="1" t="str">
        <x:v>800NAVE</x:v>
      </x:c>
      <x:c r="C264" s="1" t="str">
        <x:v>1054834</x:v>
      </x:c>
      <x:c r="D264" s="1" t="str">
        <x:v>2</x:v>
      </x:c>
      <x:c r="E264" s="1"/>
      <x:c r="F264" s="7" t="n">
        <x:v>44876</x:v>
      </x:c>
      <x:c r="G264" s="7" t="n">
        <x:v>44911</x:v>
      </x:c>
      <x:c r="H264" s="8" t="n">
        <x:v>0</x:v>
      </x:c>
      <x:c r="I264" s="8"/>
      <x:c r="J264" s="8" t="n">
        <x:v>1</x:v>
      </x:c>
      <x:c r="K264" s="9" t="n">
        <x:v>930</x:v>
      </x:c>
      <x:c r="L264" s="8" t="n">
        <x:v>1000</x:v>
      </x:c>
      <x:c r="M264" s="10" t="n">
        <x:v>0</x:v>
      </x:c>
      <x:c r="N264" s="8" t="str">
        <x:v>i</x:v>
      </x:c>
      <x:c r="O264" s="8" t="n">
        <x:v>0</x:v>
      </x:c>
      <x:c r="P264" s="11" t="n">
        <x:f>MIN(X264,MAX(0,SUMIFS('Current inventory'!$D$2:$D$127,'Current inventory'!$A$2:$A$127,A264,'Current inventory'!$B$2:$B$127,B264)-SUMIFS($X$2:X263,$A$2:A263,A264,$B$2:B263,B264)))</x:f>
        <x:v>0</x:v>
      </x:c>
      <x:c r="Q264" s="1" t="str">
        <x:v>Received history</x:v>
      </x:c>
      <x:c r="R264" s="1" t="str">
        <x:v>Receipts data film c400 c800 plastic.csv</x:v>
      </x:c>
      <x:c r="S264" s="12" t="n">
        <x:f>IF(O264=1,I264*J264,0)</x:f>
        <x:v>0</x:v>
      </x:c>
      <x:c r="T264" s="13" t="n">
        <x:f>IF(L264&gt;0,K264/L264,"n.a.")</x:f>
        <x:v>0.93</x:v>
      </x:c>
      <x:c r="U264" s="12" t="n">
        <x:f>IF(Q264="Old cost",S264,0)</x:f>
        <x:v>0</x:v>
      </x:c>
      <x:c r="V264" s="12" t="n">
        <x:f>IF(Q264="Higher cost",S264,0)</x:f>
        <x:v>0</x:v>
      </x:c>
      <x:c r="W264" s="12" t="n">
        <x:f>IF(Q264="Unclassified",S264,0)</x:f>
        <x:v>0</x:v>
      </x:c>
      <x:c r="X264" s="12" t="n">
        <x:f>IF(AND(ISNUMBER(F264),F264&gt;0,F264&lt;=Summary!$D$5,H264&gt;0),H264*J264,0)</x:f>
        <x:v>0</x:v>
      </x:c>
    </x:row>
    <x:row r="265" ht="21" customHeight="1">
      <x:c r="A265" s="1" t="str">
        <x:v>10</x:v>
      </x:c>
      <x:c r="B265" s="1" t="str">
        <x:v>800BLKE</x:v>
      </x:c>
      <x:c r="C265" s="1" t="str">
        <x:v>1054564</x:v>
      </x:c>
      <x:c r="D265" s="1" t="str">
        <x:v>4</x:v>
      </x:c>
      <x:c r="E265" s="1"/>
      <x:c r="F265" s="7" t="n">
        <x:v>44876</x:v>
      </x:c>
      <x:c r="G265" s="7" t="n">
        <x:v>44879</x:v>
      </x:c>
      <x:c r="H265" s="8" t="n">
        <x:v>3000</x:v>
      </x:c>
      <x:c r="I265" s="8"/>
      <x:c r="J265" s="8" t="n">
        <x:v>1</x:v>
      </x:c>
      <x:c r="K265" s="9" t="n">
        <x:v>760</x:v>
      </x:c>
      <x:c r="L265" s="8" t="n">
        <x:v>1000</x:v>
      </x:c>
      <x:c r="M265" s="10" t="n">
        <x:v>2457</x:v>
      </x:c>
      <x:c r="N265" s="8" t="str">
        <x:v>i</x:v>
      </x:c>
      <x:c r="O265" s="8" t="n">
        <x:v>0</x:v>
      </x:c>
      <x:c r="P265" s="11" t="n">
        <x:f>MIN(X265,MAX(0,SUMIFS('Current inventory'!$D$2:$D$127,'Current inventory'!$A$2:$A$127,A265,'Current inventory'!$B$2:$B$127,B265)-SUMIFS($X$2:X264,$A$2:A264,A265,$B$2:B264,B265)))</x:f>
        <x:v>0</x:v>
      </x:c>
      <x:c r="Q265" s="1" t="str">
        <x:v>Received history</x:v>
      </x:c>
      <x:c r="R265" s="1" t="str">
        <x:v>Receipts data film c400 c800 plastic.csv</x:v>
      </x:c>
      <x:c r="S265" s="12" t="n">
        <x:f>IF(O265=1,I265*J265,0)</x:f>
        <x:v>0</x:v>
      </x:c>
      <x:c r="T265" s="13" t="n">
        <x:f>IF(L265&gt;0,K265/L265,"n.a.")</x:f>
        <x:v>0.76</x:v>
      </x:c>
      <x:c r="U265" s="12" t="n">
        <x:f>IF(Q265="Old cost",S265,0)</x:f>
        <x:v>0</x:v>
      </x:c>
      <x:c r="V265" s="12" t="n">
        <x:f>IF(Q265="Higher cost",S265,0)</x:f>
        <x:v>0</x:v>
      </x:c>
      <x:c r="W265" s="12" t="n">
        <x:f>IF(Q265="Unclassified",S265,0)</x:f>
        <x:v>0</x:v>
      </x:c>
      <x:c r="X265" s="12" t="n">
        <x:f>IF(AND(ISNUMBER(F265),F265&gt;0,F265&lt;=Summary!$D$5,H265&gt;0),H265*J265,0)</x:f>
        <x:v>3000</x:v>
      </x:c>
    </x:row>
    <x:row r="266" ht="21" customHeight="1">
      <x:c r="A266" s="1" t="str">
        <x:v>10</x:v>
      </x:c>
      <x:c r="B266" s="1" t="str">
        <x:v>800MARE</x:v>
      </x:c>
      <x:c r="C266" s="1" t="str">
        <x:v>1054564</x:v>
      </x:c>
      <x:c r="D266" s="1" t="str">
        <x:v>4</x:v>
      </x:c>
      <x:c r="E266" s="1"/>
      <x:c r="F266" s="7" t="n">
        <x:v>44876</x:v>
      </x:c>
      <x:c r="G266" s="7" t="n">
        <x:v>44911</x:v>
      </x:c>
      <x:c r="H266" s="8" t="n">
        <x:v>0</x:v>
      </x:c>
      <x:c r="I266" s="8"/>
      <x:c r="J266" s="8" t="n">
        <x:v>1</x:v>
      </x:c>
      <x:c r="K266" s="9" t="n">
        <x:v>1040</x:v>
      </x:c>
      <x:c r="L266" s="8" t="n">
        <x:v>1000</x:v>
      </x:c>
      <x:c r="M266" s="10" t="n">
        <x:v>0</x:v>
      </x:c>
      <x:c r="N266" s="8" t="str">
        <x:v>i</x:v>
      </x:c>
      <x:c r="O266" s="8" t="n">
        <x:v>0</x:v>
      </x:c>
      <x:c r="P266" s="11" t="n">
        <x:f>MIN(X266,MAX(0,SUMIFS('Current inventory'!$D$2:$D$127,'Current inventory'!$A$2:$A$127,A266,'Current inventory'!$B$2:$B$127,B266)-SUMIFS($X$2:X265,$A$2:A265,A266,$B$2:B265,B266)))</x:f>
        <x:v>0</x:v>
      </x:c>
      <x:c r="Q266" s="1" t="str">
        <x:v>Received history</x:v>
      </x:c>
      <x:c r="R266" s="1" t="str">
        <x:v>Receipts data film c400 c800 plastic.csv</x:v>
      </x:c>
      <x:c r="S266" s="12" t="n">
        <x:f>IF(O266=1,I266*J266,0)</x:f>
        <x:v>0</x:v>
      </x:c>
      <x:c r="T266" s="13" t="n">
        <x:f>IF(L266&gt;0,K266/L266,"n.a.")</x:f>
        <x:v>1.04</x:v>
      </x:c>
      <x:c r="U266" s="12" t="n">
        <x:f>IF(Q266="Old cost",S266,0)</x:f>
        <x:v>0</x:v>
      </x:c>
      <x:c r="V266" s="12" t="n">
        <x:f>IF(Q266="Higher cost",S266,0)</x:f>
        <x:v>0</x:v>
      </x:c>
      <x:c r="W266" s="12" t="n">
        <x:f>IF(Q266="Unclassified",S266,0)</x:f>
        <x:v>0</x:v>
      </x:c>
      <x:c r="X266" s="12" t="n">
        <x:f>IF(AND(ISNUMBER(F266),F266&gt;0,F266&lt;=Summary!$D$5,H266&gt;0),H266*J266,0)</x:f>
        <x:v>0</x:v>
      </x:c>
    </x:row>
    <x:row r="267" ht="21" customHeight="1">
      <x:c r="A267" s="1" t="str">
        <x:v>10</x:v>
      </x:c>
      <x:c r="B267" s="1" t="str">
        <x:v>800NAVE</x:v>
      </x:c>
      <x:c r="C267" s="1" t="str">
        <x:v>1054564</x:v>
      </x:c>
      <x:c r="D267" s="1" t="str">
        <x:v>4</x:v>
      </x:c>
      <x:c r="E267" s="1"/>
      <x:c r="F267" s="7" t="n">
        <x:v>44876</x:v>
      </x:c>
      <x:c r="G267" s="7" t="n">
        <x:v>44911</x:v>
      </x:c>
      <x:c r="H267" s="8" t="n">
        <x:v>0</x:v>
      </x:c>
      <x:c r="I267" s="8"/>
      <x:c r="J267" s="8" t="n">
        <x:v>1</x:v>
      </x:c>
      <x:c r="K267" s="9" t="n">
        <x:v>990</x:v>
      </x:c>
      <x:c r="L267" s="8" t="n">
        <x:v>1000</x:v>
      </x:c>
      <x:c r="M267" s="10" t="n">
        <x:v>0</x:v>
      </x:c>
      <x:c r="N267" s="8" t="str">
        <x:v>i</x:v>
      </x:c>
      <x:c r="O267" s="8" t="n">
        <x:v>0</x:v>
      </x:c>
      <x:c r="P267" s="11" t="n">
        <x:f>MIN(X267,MAX(0,SUMIFS('Current inventory'!$D$2:$D$127,'Current inventory'!$A$2:$A$127,A267,'Current inventory'!$B$2:$B$127,B267)-SUMIFS($X$2:X266,$A$2:A266,A267,$B$2:B266,B267)))</x:f>
        <x:v>0</x:v>
      </x:c>
      <x:c r="Q267" s="1" t="str">
        <x:v>Received history</x:v>
      </x:c>
      <x:c r="R267" s="1" t="str">
        <x:v>Receipts data film c400 c800 plastic.csv</x:v>
      </x:c>
      <x:c r="S267" s="12" t="n">
        <x:f>IF(O267=1,I267*J267,0)</x:f>
        <x:v>0</x:v>
      </x:c>
      <x:c r="T267" s="13" t="n">
        <x:f>IF(L267&gt;0,K267/L267,"n.a.")</x:f>
        <x:v>0.99</x:v>
      </x:c>
      <x:c r="U267" s="12" t="n">
        <x:f>IF(Q267="Old cost",S267,0)</x:f>
        <x:v>0</x:v>
      </x:c>
      <x:c r="V267" s="12" t="n">
        <x:f>IF(Q267="Higher cost",S267,0)</x:f>
        <x:v>0</x:v>
      </x:c>
      <x:c r="W267" s="12" t="n">
        <x:f>IF(Q267="Unclassified",S267,0)</x:f>
        <x:v>0</x:v>
      </x:c>
      <x:c r="X267" s="12" t="n">
        <x:f>IF(AND(ISNUMBER(F267),F267&gt;0,F267&lt;=Summary!$D$5,H267&gt;0),H267*J267,0)</x:f>
        <x:v>0</x:v>
      </x:c>
    </x:row>
    <x:row r="268" ht="21" customHeight="1">
      <x:c r="A268" s="1" t="str">
        <x:v>60</x:v>
      </x:c>
      <x:c r="B268" s="1" t="str">
        <x:v>800BBLKASC</x:v>
      </x:c>
      <x:c r="C268" s="1" t="str">
        <x:v>6102652</x:v>
      </x:c>
      <x:c r="D268" s="1" t="str">
        <x:v>1</x:v>
      </x:c>
      <x:c r="E268" s="1"/>
      <x:c r="F268" s="7" t="n">
        <x:v>44875</x:v>
      </x:c>
      <x:c r="G268" s="7" t="n">
        <x:v>44879</x:v>
      </x:c>
      <x:c r="H268" s="8" t="n">
        <x:v>200000</x:v>
      </x:c>
      <x:c r="I268" s="8"/>
      <x:c r="J268" s="8" t="n">
        <x:v>1</x:v>
      </x:c>
      <x:c r="K268" s="9" t="n">
        <x:v>10.96</x:v>
      </x:c>
      <x:c r="L268" s="8" t="n">
        <x:v>100</x:v>
      </x:c>
      <x:c r="M268" s="10" t="n">
        <x:v>24120</x:v>
      </x:c>
      <x:c r="N268" s="8" t="str">
        <x:v>i</x:v>
      </x:c>
      <x:c r="O268" s="8" t="n">
        <x:v>0</x:v>
      </x:c>
      <x:c r="P268" s="11" t="n">
        <x:f>MIN(X268,MAX(0,SUMIFS('Current inventory'!$D$2:$D$127,'Current inventory'!$A$2:$A$127,A268,'Current inventory'!$B$2:$B$127,B268)-SUMIFS($X$2:X267,$A$2:A267,A268,$B$2:B267,B268)))</x:f>
        <x:v>0</x:v>
      </x:c>
      <x:c r="Q268" s="1" t="str">
        <x:v>Received history</x:v>
      </x:c>
      <x:c r="R268" s="1" t="str">
        <x:v>Receipts data film c400 c800 plastic.csv</x:v>
      </x:c>
      <x:c r="S268" s="12" t="n">
        <x:f>IF(O268=1,I268*J268,0)</x:f>
        <x:v>0</x:v>
      </x:c>
      <x:c r="T268" s="13" t="n">
        <x:f>IF(L268&gt;0,K268/L268,"n.a.")</x:f>
        <x:v>0.1096</x:v>
      </x:c>
      <x:c r="U268" s="12" t="n">
        <x:f>IF(Q268="Old cost",S268,0)</x:f>
        <x:v>0</x:v>
      </x:c>
      <x:c r="V268" s="12" t="n">
        <x:f>IF(Q268="Higher cost",S268,0)</x:f>
        <x:v>0</x:v>
      </x:c>
      <x:c r="W268" s="12" t="n">
        <x:f>IF(Q268="Unclassified",S268,0)</x:f>
        <x:v>0</x:v>
      </x:c>
      <x:c r="X268" s="12" t="n">
        <x:f>IF(AND(ISNUMBER(F268),F268&gt;0,F268&lt;=Summary!$D$5,H268&gt;0),H268*J268,0)</x:f>
        <x:v>200000</x:v>
      </x:c>
    </x:row>
    <x:row r="269" ht="21" customHeight="1">
      <x:c r="A269" s="1" t="str">
        <x:v>60</x:v>
      </x:c>
      <x:c r="B269" s="1" t="str">
        <x:v>800BBLKDSC</x:v>
      </x:c>
      <x:c r="C269" s="1" t="str">
        <x:v>6102652</x:v>
      </x:c>
      <x:c r="D269" s="1" t="str">
        <x:v>1</x:v>
      </x:c>
      <x:c r="E269" s="1"/>
      <x:c r="F269" s="7" t="n">
        <x:v>44875</x:v>
      </x:c>
      <x:c r="G269" s="7" t="n">
        <x:v>44911</x:v>
      </x:c>
      <x:c r="H269" s="8" t="n">
        <x:v>0</x:v>
      </x:c>
      <x:c r="I269" s="8"/>
      <x:c r="J269" s="8" t="n">
        <x:v>1</x:v>
      </x:c>
      <x:c r="K269" s="9" t="n">
        <x:v>29.14</x:v>
      </x:c>
      <x:c r="L269" s="8" t="n">
        <x:v>100</x:v>
      </x:c>
      <x:c r="M269" s="10" t="n">
        <x:v>0</x:v>
      </x:c>
      <x:c r="N269" s="8" t="str">
        <x:v>i</x:v>
      </x:c>
      <x:c r="O269" s="8" t="n">
        <x:v>0</x:v>
      </x:c>
      <x:c r="P269" s="11" t="n">
        <x:f>MIN(X269,MAX(0,SUMIFS('Current inventory'!$D$2:$D$127,'Current inventory'!$A$2:$A$127,A269,'Current inventory'!$B$2:$B$127,B269)-SUMIFS($X$2:X268,$A$2:A268,A269,$B$2:B268,B269)))</x:f>
        <x:v>0</x:v>
      </x:c>
      <x:c r="Q269" s="1" t="str">
        <x:v>Received history</x:v>
      </x:c>
      <x:c r="R269" s="1" t="str">
        <x:v>Receipts data film c400 c800 plastic.csv</x:v>
      </x:c>
      <x:c r="S269" s="12" t="n">
        <x:f>IF(O269=1,I269*J269,0)</x:f>
        <x:v>0</x:v>
      </x:c>
      <x:c r="T269" s="13" t="n">
        <x:f>IF(L269&gt;0,K269/L269,"n.a.")</x:f>
        <x:v>0.2914</x:v>
      </x:c>
      <x:c r="U269" s="12" t="n">
        <x:f>IF(Q269="Old cost",S269,0)</x:f>
        <x:v>0</x:v>
      </x:c>
      <x:c r="V269" s="12" t="n">
        <x:f>IF(Q269="Higher cost",S269,0)</x:f>
        <x:v>0</x:v>
      </x:c>
      <x:c r="W269" s="12" t="n">
        <x:f>IF(Q269="Unclassified",S269,0)</x:f>
        <x:v>0</x:v>
      </x:c>
      <x:c r="X269" s="12" t="n">
        <x:f>IF(AND(ISNUMBER(F269),F269&gt;0,F269&lt;=Summary!$D$5,H269&gt;0),H269*J269,0)</x:f>
        <x:v>0</x:v>
      </x:c>
    </x:row>
    <x:row r="270" ht="21" customHeight="1">
      <x:c r="A270" s="1" t="str">
        <x:v>60</x:v>
      </x:c>
      <x:c r="B270" s="1" t="str">
        <x:v>800BBLKISC</x:v>
      </x:c>
      <x:c r="C270" s="1" t="str">
        <x:v>6102652</x:v>
      </x:c>
      <x:c r="D270" s="1" t="str">
        <x:v>1</x:v>
      </x:c>
      <x:c r="E270" s="1"/>
      <x:c r="F270" s="7" t="n">
        <x:v>44875</x:v>
      </x:c>
      <x:c r="G270" s="7" t="n">
        <x:v>44911</x:v>
      </x:c>
      <x:c r="H270" s="8" t="n">
        <x:v>0</x:v>
      </x:c>
      <x:c r="I270" s="8"/>
      <x:c r="J270" s="8" t="n">
        <x:v>1</x:v>
      </x:c>
      <x:c r="K270" s="9" t="n">
        <x:v>14.97</x:v>
      </x:c>
      <x:c r="L270" s="8" t="n">
        <x:v>100</x:v>
      </x:c>
      <x:c r="M270" s="10" t="n">
        <x:v>0</x:v>
      </x:c>
      <x:c r="N270" s="8" t="str">
        <x:v>i</x:v>
      </x:c>
      <x:c r="O270" s="8" t="n">
        <x:v>0</x:v>
      </x:c>
      <x:c r="P270" s="11" t="n">
        <x:f>MIN(X270,MAX(0,SUMIFS('Current inventory'!$D$2:$D$127,'Current inventory'!$A$2:$A$127,A270,'Current inventory'!$B$2:$B$127,B270)-SUMIFS($X$2:X269,$A$2:A269,A270,$B$2:B269,B270)))</x:f>
        <x:v>0</x:v>
      </x:c>
      <x:c r="Q270" s="1" t="str">
        <x:v>Received history</x:v>
      </x:c>
      <x:c r="R270" s="1" t="str">
        <x:v>Receipts data film c400 c800 plastic.csv</x:v>
      </x:c>
      <x:c r="S270" s="12" t="n">
        <x:f>IF(O270=1,I270*J270,0)</x:f>
        <x:v>0</x:v>
      </x:c>
      <x:c r="T270" s="13" t="n">
        <x:f>IF(L270&gt;0,K270/L270,"n.a.")</x:f>
        <x:v>0.1497</x:v>
      </x:c>
      <x:c r="U270" s="12" t="n">
        <x:f>IF(Q270="Old cost",S270,0)</x:f>
        <x:v>0</x:v>
      </x:c>
      <x:c r="V270" s="12" t="n">
        <x:f>IF(Q270="Higher cost",S270,0)</x:f>
        <x:v>0</x:v>
      </x:c>
      <x:c r="W270" s="12" t="n">
        <x:f>IF(Q270="Unclassified",S270,0)</x:f>
        <x:v>0</x:v>
      </x:c>
      <x:c r="X270" s="12" t="n">
        <x:f>IF(AND(ISNUMBER(F270),F270&gt;0,F270&lt;=Summary!$D$5,H270&gt;0),H270*J270,0)</x:f>
        <x:v>0</x:v>
      </x:c>
    </x:row>
    <x:row r="271" ht="21" customHeight="1">
      <x:c r="A271" s="1" t="str">
        <x:v>60</x:v>
      </x:c>
      <x:c r="B271" s="1" t="str">
        <x:v>800BLKE</x:v>
      </x:c>
      <x:c r="C271" s="1" t="str">
        <x:v>6102652</x:v>
      </x:c>
      <x:c r="D271" s="1" t="str">
        <x:v>1</x:v>
      </x:c>
      <x:c r="E271" s="1"/>
      <x:c r="F271" s="7" t="n">
        <x:v>44875</x:v>
      </x:c>
      <x:c r="G271" s="7" t="n">
        <x:v>44879</x:v>
      </x:c>
      <x:c r="H271" s="8" t="n">
        <x:v>6000</x:v>
      </x:c>
      <x:c r="I271" s="8"/>
      <x:c r="J271" s="8" t="n">
        <x:v>1</x:v>
      </x:c>
      <x:c r="K271" s="9" t="n">
        <x:v>750</x:v>
      </x:c>
      <x:c r="L271" s="8" t="n">
        <x:v>1000</x:v>
      </x:c>
      <x:c r="M271" s="10" t="n">
        <x:v>4914</x:v>
      </x:c>
      <x:c r="N271" s="8" t="str">
        <x:v>i</x:v>
      </x:c>
      <x:c r="O271" s="8" t="n">
        <x:v>0</x:v>
      </x:c>
      <x:c r="P271" s="11" t="n">
        <x:f>MIN(X271,MAX(0,SUMIFS('Current inventory'!$D$2:$D$127,'Current inventory'!$A$2:$A$127,A271,'Current inventory'!$B$2:$B$127,B271)-SUMIFS($X$2:X270,$A$2:A270,A271,$B$2:B270,B271)))</x:f>
        <x:v>0</x:v>
      </x:c>
      <x:c r="Q271" s="1" t="str">
        <x:v>Received history</x:v>
      </x:c>
      <x:c r="R271" s="1" t="str">
        <x:v>Receipts data film c400 c800 plastic.csv</x:v>
      </x:c>
      <x:c r="S271" s="12" t="n">
        <x:f>IF(O271=1,I271*J271,0)</x:f>
        <x:v>0</x:v>
      </x:c>
      <x:c r="T271" s="13" t="n">
        <x:f>IF(L271&gt;0,K271/L271,"n.a.")</x:f>
        <x:v>0.75</x:v>
      </x:c>
      <x:c r="U271" s="12" t="n">
        <x:f>IF(Q271="Old cost",S271,0)</x:f>
        <x:v>0</x:v>
      </x:c>
      <x:c r="V271" s="12" t="n">
        <x:f>IF(Q271="Higher cost",S271,0)</x:f>
        <x:v>0</x:v>
      </x:c>
      <x:c r="W271" s="12" t="n">
        <x:f>IF(Q271="Unclassified",S271,0)</x:f>
        <x:v>0</x:v>
      </x:c>
      <x:c r="X271" s="12" t="n">
        <x:f>IF(AND(ISNUMBER(F271),F271&gt;0,F271&lt;=Summary!$D$5,H271&gt;0),H271*J271,0)</x:f>
        <x:v>6000</x:v>
      </x:c>
    </x:row>
    <x:row r="272" ht="21" customHeight="1">
      <x:c r="A272" s="1" t="str">
        <x:v>60</x:v>
      </x:c>
      <x:c r="B272" s="1" t="str">
        <x:v>800BMARASC</x:v>
      </x:c>
      <x:c r="C272" s="1" t="str">
        <x:v>6102652</x:v>
      </x:c>
      <x:c r="D272" s="1" t="str">
        <x:v>1</x:v>
      </x:c>
      <x:c r="E272" s="1"/>
      <x:c r="F272" s="7" t="n">
        <x:v>44875</x:v>
      </x:c>
      <x:c r="G272" s="7" t="n">
        <x:v>44911</x:v>
      </x:c>
      <x:c r="H272" s="8" t="n">
        <x:v>0</x:v>
      </x:c>
      <x:c r="I272" s="8"/>
      <x:c r="J272" s="8" t="n">
        <x:v>1</x:v>
      </x:c>
      <x:c r="K272" s="9" t="n">
        <x:v>13.84</x:v>
      </x:c>
      <x:c r="L272" s="8" t="n">
        <x:v>100</x:v>
      </x:c>
      <x:c r="M272" s="10" t="n">
        <x:v>0</x:v>
      </x:c>
      <x:c r="N272" s="8" t="str">
        <x:v>i</x:v>
      </x:c>
      <x:c r="O272" s="8" t="n">
        <x:v>0</x:v>
      </x:c>
      <x:c r="P272" s="11" t="n">
        <x:f>MIN(X272,MAX(0,SUMIFS('Current inventory'!$D$2:$D$127,'Current inventory'!$A$2:$A$127,A272,'Current inventory'!$B$2:$B$127,B272)-SUMIFS($X$2:X271,$A$2:A271,A272,$B$2:B271,B272)))</x:f>
        <x:v>0</x:v>
      </x:c>
      <x:c r="Q272" s="1" t="str">
        <x:v>Received history</x:v>
      </x:c>
      <x:c r="R272" s="1" t="str">
        <x:v>Receipts data film c400 c800 plastic.csv</x:v>
      </x:c>
      <x:c r="S272" s="12" t="n">
        <x:f>IF(O272=1,I272*J272,0)</x:f>
        <x:v>0</x:v>
      </x:c>
      <x:c r="T272" s="13" t="n">
        <x:f>IF(L272&gt;0,K272/L272,"n.a.")</x:f>
        <x:v>0.1384</x:v>
      </x:c>
      <x:c r="U272" s="12" t="n">
        <x:f>IF(Q272="Old cost",S272,0)</x:f>
        <x:v>0</x:v>
      </x:c>
      <x:c r="V272" s="12" t="n">
        <x:f>IF(Q272="Higher cost",S272,0)</x:f>
        <x:v>0</x:v>
      </x:c>
      <x:c r="W272" s="12" t="n">
        <x:f>IF(Q272="Unclassified",S272,0)</x:f>
        <x:v>0</x:v>
      </x:c>
      <x:c r="X272" s="12" t="n">
        <x:f>IF(AND(ISNUMBER(F272),F272&gt;0,F272&lt;=Summary!$D$5,H272&gt;0),H272*J272,0)</x:f>
        <x:v>0</x:v>
      </x:c>
    </x:row>
    <x:row r="273" ht="21" customHeight="1">
      <x:c r="A273" s="1" t="str">
        <x:v>60</x:v>
      </x:c>
      <x:c r="B273" s="1" t="str">
        <x:v>800BNAVASC</x:v>
      </x:c>
      <x:c r="C273" s="1" t="str">
        <x:v>6102652</x:v>
      </x:c>
      <x:c r="D273" s="1" t="str">
        <x:v>1</x:v>
      </x:c>
      <x:c r="E273" s="1"/>
      <x:c r="F273" s="7" t="n">
        <x:v>44875</x:v>
      </x:c>
      <x:c r="G273" s="7" t="n">
        <x:v>44911</x:v>
      </x:c>
      <x:c r="H273" s="8" t="n">
        <x:v>0</x:v>
      </x:c>
      <x:c r="I273" s="8"/>
      <x:c r="J273" s="8" t="n">
        <x:v>1</x:v>
      </x:c>
      <x:c r="K273" s="9" t="n">
        <x:v>13.1</x:v>
      </x:c>
      <x:c r="L273" s="8" t="n">
        <x:v>100</x:v>
      </x:c>
      <x:c r="M273" s="10" t="n">
        <x:v>0</x:v>
      </x:c>
      <x:c r="N273" s="8" t="str">
        <x:v>i</x:v>
      </x:c>
      <x:c r="O273" s="8" t="n">
        <x:v>0</x:v>
      </x:c>
      <x:c r="P273" s="11" t="n">
        <x:f>MIN(X273,MAX(0,SUMIFS('Current inventory'!$D$2:$D$127,'Current inventory'!$A$2:$A$127,A273,'Current inventory'!$B$2:$B$127,B273)-SUMIFS($X$2:X272,$A$2:A272,A273,$B$2:B272,B273)))</x:f>
        <x:v>0</x:v>
      </x:c>
      <x:c r="Q273" s="1" t="str">
        <x:v>Received history</x:v>
      </x:c>
      <x:c r="R273" s="1" t="str">
        <x:v>Receipts data film c400 c800 plastic.csv</x:v>
      </x:c>
      <x:c r="S273" s="12" t="n">
        <x:f>IF(O273=1,I273*J273,0)</x:f>
        <x:v>0</x:v>
      </x:c>
      <x:c r="T273" s="13" t="n">
        <x:f>IF(L273&gt;0,K273/L273,"n.a.")</x:f>
        <x:v>0.131</x:v>
      </x:c>
      <x:c r="U273" s="12" t="n">
        <x:f>IF(Q273="Old cost",S273,0)</x:f>
        <x:v>0</x:v>
      </x:c>
      <x:c r="V273" s="12" t="n">
        <x:f>IF(Q273="Higher cost",S273,0)</x:f>
        <x:v>0</x:v>
      </x:c>
      <x:c r="W273" s="12" t="n">
        <x:f>IF(Q273="Unclassified",S273,0)</x:f>
        <x:v>0</x:v>
      </x:c>
      <x:c r="X273" s="12" t="n">
        <x:f>IF(AND(ISNUMBER(F273),F273&gt;0,F273&lt;=Summary!$D$5,H273&gt;0),H273*J273,0)</x:f>
        <x:v>0</x:v>
      </x:c>
    </x:row>
    <x:row r="274" ht="21" customHeight="1">
      <x:c r="A274" s="1" t="str">
        <x:v>60</x:v>
      </x:c>
      <x:c r="B274" s="1" t="str">
        <x:v>800NAVE</x:v>
      </x:c>
      <x:c r="C274" s="1" t="str">
        <x:v>6102652</x:v>
      </x:c>
      <x:c r="D274" s="1" t="str">
        <x:v>1</x:v>
      </x:c>
      <x:c r="E274" s="1"/>
      <x:c r="F274" s="7" t="n">
        <x:v>44875</x:v>
      </x:c>
      <x:c r="G274" s="7" t="n">
        <x:v>44911</x:v>
      </x:c>
      <x:c r="H274" s="8" t="n">
        <x:v>0</x:v>
      </x:c>
      <x:c r="I274" s="8"/>
      <x:c r="J274" s="8" t="n">
        <x:v>1</x:v>
      </x:c>
      <x:c r="K274" s="9" t="n">
        <x:v>930</x:v>
      </x:c>
      <x:c r="L274" s="8" t="n">
        <x:v>1000</x:v>
      </x:c>
      <x:c r="M274" s="10" t="n">
        <x:v>0</x:v>
      </x:c>
      <x:c r="N274" s="8" t="str">
        <x:v>i</x:v>
      </x:c>
      <x:c r="O274" s="8" t="n">
        <x:v>0</x:v>
      </x:c>
      <x:c r="P274" s="11" t="n">
        <x:f>MIN(X274,MAX(0,SUMIFS('Current inventory'!$D$2:$D$127,'Current inventory'!$A$2:$A$127,A274,'Current inventory'!$B$2:$B$127,B274)-SUMIFS($X$2:X273,$A$2:A273,A274,$B$2:B273,B274)))</x:f>
        <x:v>0</x:v>
      </x:c>
      <x:c r="Q274" s="1" t="str">
        <x:v>Received history</x:v>
      </x:c>
      <x:c r="R274" s="1" t="str">
        <x:v>Receipts data film c400 c800 plastic.csv</x:v>
      </x:c>
      <x:c r="S274" s="12" t="n">
        <x:f>IF(O274=1,I274*J274,0)</x:f>
        <x:v>0</x:v>
      </x:c>
      <x:c r="T274" s="13" t="n">
        <x:f>IF(L274&gt;0,K274/L274,"n.a.")</x:f>
        <x:v>0.93</x:v>
      </x:c>
      <x:c r="U274" s="12" t="n">
        <x:f>IF(Q274="Old cost",S274,0)</x:f>
        <x:v>0</x:v>
      </x:c>
      <x:c r="V274" s="12" t="n">
        <x:f>IF(Q274="Higher cost",S274,0)</x:f>
        <x:v>0</x:v>
      </x:c>
      <x:c r="W274" s="12" t="n">
        <x:f>IF(Q274="Unclassified",S274,0)</x:f>
        <x:v>0</x:v>
      </x:c>
      <x:c r="X274" s="12" t="n">
        <x:f>IF(AND(ISNUMBER(F274),F274&gt;0,F274&lt;=Summary!$D$5,H274&gt;0),H274*J274,0)</x:f>
        <x:v>0</x:v>
      </x:c>
    </x:row>
    <x:row r="275" ht="21" customHeight="1">
      <x:c r="A275" s="1" t="str">
        <x:v>30</x:v>
      </x:c>
      <x:c r="B275" s="1" t="str">
        <x:v>800BBLKASC</x:v>
      </x:c>
      <x:c r="C275" s="1" t="str">
        <x:v>3003735</x:v>
      </x:c>
      <x:c r="D275" s="1" t="str">
        <x:v>0</x:v>
      </x:c>
      <x:c r="E275" s="1"/>
      <x:c r="F275" s="7" t="n">
        <x:v>44873</x:v>
      </x:c>
      <x:c r="G275" s="7" t="n">
        <x:v>44855</x:v>
      </x:c>
      <x:c r="H275" s="8" t="n">
        <x:v>120000</x:v>
      </x:c>
      <x:c r="I275" s="8"/>
      <x:c r="J275" s="8" t="n">
        <x:v>1</x:v>
      </x:c>
      <x:c r="K275" s="9" t="n">
        <x:v>10.96</x:v>
      </x:c>
      <x:c r="L275" s="8" t="n">
        <x:v>100</x:v>
      </x:c>
      <x:c r="M275" s="10" t="n">
        <x:v>14472</x:v>
      </x:c>
      <x:c r="N275" s="8" t="str">
        <x:v>i</x:v>
      </x:c>
      <x:c r="O275" s="8" t="n">
        <x:v>0</x:v>
      </x:c>
      <x:c r="P275" s="11" t="n">
        <x:f>MIN(X275,MAX(0,SUMIFS('Current inventory'!$D$2:$D$127,'Current inventory'!$A$2:$A$127,A275,'Current inventory'!$B$2:$B$127,B275)-SUMIFS($X$2:X274,$A$2:A274,A275,$B$2:B274,B275)))</x:f>
        <x:v>0</x:v>
      </x:c>
      <x:c r="Q275" s="1" t="str">
        <x:v>Received history</x:v>
      </x:c>
      <x:c r="R275" s="1" t="str">
        <x:v>Receipts data film c400 c800 plastic.csv</x:v>
      </x:c>
      <x:c r="S275" s="12" t="n">
        <x:f>IF(O275=1,I275*J275,0)</x:f>
        <x:v>0</x:v>
      </x:c>
      <x:c r="T275" s="13" t="n">
        <x:f>IF(L275&gt;0,K275/L275,"n.a.")</x:f>
        <x:v>0.1096</x:v>
      </x:c>
      <x:c r="U275" s="12" t="n">
        <x:f>IF(Q275="Old cost",S275,0)</x:f>
        <x:v>0</x:v>
      </x:c>
      <x:c r="V275" s="12" t="n">
        <x:f>IF(Q275="Higher cost",S275,0)</x:f>
        <x:v>0</x:v>
      </x:c>
      <x:c r="W275" s="12" t="n">
        <x:f>IF(Q275="Unclassified",S275,0)</x:f>
        <x:v>0</x:v>
      </x:c>
      <x:c r="X275" s="12" t="n">
        <x:f>IF(AND(ISNUMBER(F275),F275&gt;0,F275&lt;=Summary!$D$5,H275&gt;0),H275*J275,0)</x:f>
        <x:v>120000</x:v>
      </x:c>
    </x:row>
    <x:row r="276" ht="21" customHeight="1">
      <x:c r="A276" s="1" t="str">
        <x:v>30</x:v>
      </x:c>
      <x:c r="B276" s="1" t="str">
        <x:v>800BBLKDSC</x:v>
      </x:c>
      <x:c r="C276" s="1" t="str">
        <x:v>3003735</x:v>
      </x:c>
      <x:c r="D276" s="1" t="str">
        <x:v>0</x:v>
      </x:c>
      <x:c r="E276" s="1"/>
      <x:c r="F276" s="7" t="n">
        <x:v>44873</x:v>
      </x:c>
      <x:c r="G276" s="7" t="n">
        <x:v>44855</x:v>
      </x:c>
      <x:c r="H276" s="8" t="n">
        <x:v>0</x:v>
      </x:c>
      <x:c r="I276" s="8"/>
      <x:c r="J276" s="8" t="n">
        <x:v>1</x:v>
      </x:c>
      <x:c r="K276" s="9" t="n">
        <x:v>29.14</x:v>
      </x:c>
      <x:c r="L276" s="8" t="n">
        <x:v>100</x:v>
      </x:c>
      <x:c r="M276" s="10" t="n">
        <x:v>0</x:v>
      </x:c>
      <x:c r="N276" s="8" t="str">
        <x:v>i</x:v>
      </x:c>
      <x:c r="O276" s="8" t="n">
        <x:v>0</x:v>
      </x:c>
      <x:c r="P276" s="11" t="n">
        <x:f>MIN(X276,MAX(0,SUMIFS('Current inventory'!$D$2:$D$127,'Current inventory'!$A$2:$A$127,A276,'Current inventory'!$B$2:$B$127,B276)-SUMIFS($X$2:X275,$A$2:A275,A276,$B$2:B275,B276)))</x:f>
        <x:v>0</x:v>
      </x:c>
      <x:c r="Q276" s="1" t="str">
        <x:v>Received history</x:v>
      </x:c>
      <x:c r="R276" s="1" t="str">
        <x:v>Receipts data film c400 c800 plastic.csv</x:v>
      </x:c>
      <x:c r="S276" s="12" t="n">
        <x:f>IF(O276=1,I276*J276,0)</x:f>
        <x:v>0</x:v>
      </x:c>
      <x:c r="T276" s="13" t="n">
        <x:f>IF(L276&gt;0,K276/L276,"n.a.")</x:f>
        <x:v>0.2914</x:v>
      </x:c>
      <x:c r="U276" s="12" t="n">
        <x:f>IF(Q276="Old cost",S276,0)</x:f>
        <x:v>0</x:v>
      </x:c>
      <x:c r="V276" s="12" t="n">
        <x:f>IF(Q276="Higher cost",S276,0)</x:f>
        <x:v>0</x:v>
      </x:c>
      <x:c r="W276" s="12" t="n">
        <x:f>IF(Q276="Unclassified",S276,0)</x:f>
        <x:v>0</x:v>
      </x:c>
      <x:c r="X276" s="12" t="n">
        <x:f>IF(AND(ISNUMBER(F276),F276&gt;0,F276&lt;=Summary!$D$5,H276&gt;0),H276*J276,0)</x:f>
        <x:v>0</x:v>
      </x:c>
    </x:row>
    <x:row r="277" ht="21" customHeight="1">
      <x:c r="A277" s="1" t="str">
        <x:v>30</x:v>
      </x:c>
      <x:c r="B277" s="1" t="str">
        <x:v>800BMARASC</x:v>
      </x:c>
      <x:c r="C277" s="1" t="str">
        <x:v>3003735</x:v>
      </x:c>
      <x:c r="D277" s="1" t="str">
        <x:v>0</x:v>
      </x:c>
      <x:c r="E277" s="1"/>
      <x:c r="F277" s="7" t="n">
        <x:v>44873</x:v>
      </x:c>
      <x:c r="G277" s="7" t="n">
        <x:v>44855</x:v>
      </x:c>
      <x:c r="H277" s="8" t="n">
        <x:v>0</x:v>
      </x:c>
      <x:c r="I277" s="8"/>
      <x:c r="J277" s="8" t="n">
        <x:v>1</x:v>
      </x:c>
      <x:c r="K277" s="9" t="n">
        <x:v>13.84</x:v>
      </x:c>
      <x:c r="L277" s="8" t="n">
        <x:v>100</x:v>
      </x:c>
      <x:c r="M277" s="10" t="n">
        <x:v>0</x:v>
      </x:c>
      <x:c r="N277" s="8" t="str">
        <x:v>i</x:v>
      </x:c>
      <x:c r="O277" s="8" t="n">
        <x:v>0</x:v>
      </x:c>
      <x:c r="P277" s="11" t="n">
        <x:f>MIN(X277,MAX(0,SUMIFS('Current inventory'!$D$2:$D$127,'Current inventory'!$A$2:$A$127,A277,'Current inventory'!$B$2:$B$127,B277)-SUMIFS($X$2:X276,$A$2:A276,A277,$B$2:B276,B277)))</x:f>
        <x:v>0</x:v>
      </x:c>
      <x:c r="Q277" s="1" t="str">
        <x:v>Received history</x:v>
      </x:c>
      <x:c r="R277" s="1" t="str">
        <x:v>Receipts data film c400 c800 plastic.csv</x:v>
      </x:c>
      <x:c r="S277" s="12" t="n">
        <x:f>IF(O277=1,I277*J277,0)</x:f>
        <x:v>0</x:v>
      </x:c>
      <x:c r="T277" s="13" t="n">
        <x:f>IF(L277&gt;0,K277/L277,"n.a.")</x:f>
        <x:v>0.1384</x:v>
      </x:c>
      <x:c r="U277" s="12" t="n">
        <x:f>IF(Q277="Old cost",S277,0)</x:f>
        <x:v>0</x:v>
      </x:c>
      <x:c r="V277" s="12" t="n">
        <x:f>IF(Q277="Higher cost",S277,0)</x:f>
        <x:v>0</x:v>
      </x:c>
      <x:c r="W277" s="12" t="n">
        <x:f>IF(Q277="Unclassified",S277,0)</x:f>
        <x:v>0</x:v>
      </x:c>
      <x:c r="X277" s="12" t="n">
        <x:f>IF(AND(ISNUMBER(F277),F277&gt;0,F277&lt;=Summary!$D$5,H277&gt;0),H277*J277,0)</x:f>
        <x:v>0</x:v>
      </x:c>
    </x:row>
    <x:row r="278" ht="21" customHeight="1">
      <x:c r="A278" s="1" t="str">
        <x:v>30</x:v>
      </x:c>
      <x:c r="B278" s="1" t="str">
        <x:v>800BNAVASC</x:v>
      </x:c>
      <x:c r="C278" s="1" t="str">
        <x:v>3003735</x:v>
      </x:c>
      <x:c r="D278" s="1" t="str">
        <x:v>0</x:v>
      </x:c>
      <x:c r="E278" s="1"/>
      <x:c r="F278" s="7" t="n">
        <x:v>44873</x:v>
      </x:c>
      <x:c r="G278" s="7" t="n">
        <x:v>44855</x:v>
      </x:c>
      <x:c r="H278" s="8" t="n">
        <x:v>0</x:v>
      </x:c>
      <x:c r="I278" s="8"/>
      <x:c r="J278" s="8" t="n">
        <x:v>1</x:v>
      </x:c>
      <x:c r="K278" s="9" t="n">
        <x:v>13.1</x:v>
      </x:c>
      <x:c r="L278" s="8" t="n">
        <x:v>100</x:v>
      </x:c>
      <x:c r="M278" s="10" t="n">
        <x:v>0</x:v>
      </x:c>
      <x:c r="N278" s="8" t="str">
        <x:v>i</x:v>
      </x:c>
      <x:c r="O278" s="8" t="n">
        <x:v>0</x:v>
      </x:c>
      <x:c r="P278" s="11" t="n">
        <x:f>MIN(X278,MAX(0,SUMIFS('Current inventory'!$D$2:$D$127,'Current inventory'!$A$2:$A$127,A278,'Current inventory'!$B$2:$B$127,B278)-SUMIFS($X$2:X277,$A$2:A277,A278,$B$2:B277,B278)))</x:f>
        <x:v>0</x:v>
      </x:c>
      <x:c r="Q278" s="1" t="str">
        <x:v>Received history</x:v>
      </x:c>
      <x:c r="R278" s="1" t="str">
        <x:v>Receipts data film c400 c800 plastic.csv</x:v>
      </x:c>
      <x:c r="S278" s="12" t="n">
        <x:f>IF(O278=1,I278*J278,0)</x:f>
        <x:v>0</x:v>
      </x:c>
      <x:c r="T278" s="13" t="n">
        <x:f>IF(L278&gt;0,K278/L278,"n.a.")</x:f>
        <x:v>0.131</x:v>
      </x:c>
      <x:c r="U278" s="12" t="n">
        <x:f>IF(Q278="Old cost",S278,0)</x:f>
        <x:v>0</x:v>
      </x:c>
      <x:c r="V278" s="12" t="n">
        <x:f>IF(Q278="Higher cost",S278,0)</x:f>
        <x:v>0</x:v>
      </x:c>
      <x:c r="W278" s="12" t="n">
        <x:f>IF(Q278="Unclassified",S278,0)</x:f>
        <x:v>0</x:v>
      </x:c>
      <x:c r="X278" s="12" t="n">
        <x:f>IF(AND(ISNUMBER(F278),F278&gt;0,F278&lt;=Summary!$D$5,H278&gt;0),H278*J278,0)</x:f>
        <x:v>0</x:v>
      </x:c>
    </x:row>
    <x:row r="279" ht="21" customHeight="1">
      <x:c r="A279" s="1" t="str">
        <x:v>30</x:v>
      </x:c>
      <x:c r="B279" s="1" t="str">
        <x:v>800BBLKASC</x:v>
      </x:c>
      <x:c r="C279" s="1" t="str">
        <x:v>3003721</x:v>
      </x:c>
      <x:c r="D279" s="1" t="str">
        <x:v>1</x:v>
      </x:c>
      <x:c r="E279" s="1"/>
      <x:c r="F279" s="7" t="n">
        <x:v>44873</x:v>
      </x:c>
      <x:c r="G279" s="7" t="n">
        <x:v>44876</x:v>
      </x:c>
      <x:c r="H279" s="8" t="n">
        <x:v>120000</x:v>
      </x:c>
      <x:c r="I279" s="8"/>
      <x:c r="J279" s="8" t="n">
        <x:v>1</x:v>
      </x:c>
      <x:c r="K279" s="9" t="n">
        <x:v>10.44</x:v>
      </x:c>
      <x:c r="L279" s="8" t="n">
        <x:v>100</x:v>
      </x:c>
      <x:c r="M279" s="10" t="n">
        <x:v>14472</x:v>
      </x:c>
      <x:c r="N279" s="8" t="str">
        <x:v>i</x:v>
      </x:c>
      <x:c r="O279" s="8" t="n">
        <x:v>0</x:v>
      </x:c>
      <x:c r="P279" s="11" t="n">
        <x:f>MIN(X279,MAX(0,SUMIFS('Current inventory'!$D$2:$D$127,'Current inventory'!$A$2:$A$127,A279,'Current inventory'!$B$2:$B$127,B279)-SUMIFS($X$2:X278,$A$2:A278,A279,$B$2:B278,B279)))</x:f>
        <x:v>0</x:v>
      </x:c>
      <x:c r="Q279" s="1" t="str">
        <x:v>Received history</x:v>
      </x:c>
      <x:c r="R279" s="1" t="str">
        <x:v>Receipts data film c400 c800 plastic.csv</x:v>
      </x:c>
      <x:c r="S279" s="12" t="n">
        <x:f>IF(O279=1,I279*J279,0)</x:f>
        <x:v>0</x:v>
      </x:c>
      <x:c r="T279" s="13" t="n">
        <x:f>IF(L279&gt;0,K279/L279,"n.a.")</x:f>
        <x:v>0.10439999999999999</x:v>
      </x:c>
      <x:c r="U279" s="12" t="n">
        <x:f>IF(Q279="Old cost",S279,0)</x:f>
        <x:v>0</x:v>
      </x:c>
      <x:c r="V279" s="12" t="n">
        <x:f>IF(Q279="Higher cost",S279,0)</x:f>
        <x:v>0</x:v>
      </x:c>
      <x:c r="W279" s="12" t="n">
        <x:f>IF(Q279="Unclassified",S279,0)</x:f>
        <x:v>0</x:v>
      </x:c>
      <x:c r="X279" s="12" t="n">
        <x:f>IF(AND(ISNUMBER(F279),F279&gt;0,F279&lt;=Summary!$D$5,H279&gt;0),H279*J279,0)</x:f>
        <x:v>120000</x:v>
      </x:c>
    </x:row>
    <x:row r="280" ht="21" customHeight="1">
      <x:c r="A280" s="1" t="str">
        <x:v>30</x:v>
      </x:c>
      <x:c r="B280" s="1" t="str">
        <x:v>800BBLKASC</x:v>
      </x:c>
      <x:c r="C280" s="1" t="str">
        <x:v>3003721</x:v>
      </x:c>
      <x:c r="D280" s="1" t="str">
        <x:v>0</x:v>
      </x:c>
      <x:c r="E280" s="1"/>
      <x:c r="F280" s="7" t="n">
        <x:v>44823</x:v>
      </x:c>
      <x:c r="G280" s="7" t="n">
        <x:v>44834</x:v>
      </x:c>
      <x:c r="H280" s="8" t="n">
        <x:v>40000</x:v>
      </x:c>
      <x:c r="I280" s="8"/>
      <x:c r="J280" s="8" t="n">
        <x:v>1</x:v>
      </x:c>
      <x:c r="K280" s="9" t="n">
        <x:v>10.44</x:v>
      </x:c>
      <x:c r="L280" s="8" t="n">
        <x:v>100</x:v>
      </x:c>
      <x:c r="M280" s="10" t="n">
        <x:v>4596</x:v>
      </x:c>
      <x:c r="N280" s="8" t="str">
        <x:v>i</x:v>
      </x:c>
      <x:c r="O280" s="8" t="n">
        <x:v>0</x:v>
      </x:c>
      <x:c r="P280" s="11" t="n">
        <x:f>MIN(X280,MAX(0,SUMIFS('Current inventory'!$D$2:$D$127,'Current inventory'!$A$2:$A$127,A280,'Current inventory'!$B$2:$B$127,B280)-SUMIFS($X$2:X279,$A$2:A279,A280,$B$2:B279,B280)))</x:f>
        <x:v>0</x:v>
      </x:c>
      <x:c r="Q280" s="1" t="str">
        <x:v>Received history</x:v>
      </x:c>
      <x:c r="R280" s="1" t="str">
        <x:v>Receipts data film c400 c800 plastic.csv</x:v>
      </x:c>
      <x:c r="S280" s="12" t="n">
        <x:f>IF(O280=1,I280*J280,0)</x:f>
        <x:v>0</x:v>
      </x:c>
      <x:c r="T280" s="13" t="n">
        <x:f>IF(L280&gt;0,K280/L280,"n.a.")</x:f>
        <x:v>0.10439999999999999</x:v>
      </x:c>
      <x:c r="U280" s="12" t="n">
        <x:f>IF(Q280="Old cost",S280,0)</x:f>
        <x:v>0</x:v>
      </x:c>
      <x:c r="V280" s="12" t="n">
        <x:f>IF(Q280="Higher cost",S280,0)</x:f>
        <x:v>0</x:v>
      </x:c>
      <x:c r="W280" s="12" t="n">
        <x:f>IF(Q280="Unclassified",S280,0)</x:f>
        <x:v>0</x:v>
      </x:c>
      <x:c r="X280" s="12" t="n">
        <x:f>IF(AND(ISNUMBER(F280),F280&gt;0,F280&lt;=Summary!$D$5,H280&gt;0),H280*J280,0)</x:f>
        <x:v>40000</x:v>
      </x:c>
    </x:row>
    <x:row r="281" ht="21" customHeight="1">
      <x:c r="A281" s="1" t="str">
        <x:v>30</x:v>
      </x:c>
      <x:c r="B281" s="1" t="str">
        <x:v>800BBLKDSC</x:v>
      </x:c>
      <x:c r="C281" s="1" t="str">
        <x:v>3003712</x:v>
      </x:c>
      <x:c r="D281" s="1" t="str">
        <x:v>3</x:v>
      </x:c>
      <x:c r="E281" s="1"/>
      <x:c r="F281" s="7" t="n">
        <x:v>44823</x:v>
      </x:c>
      <x:c r="G281" s="7" t="n">
        <x:v>44827</x:v>
      </x:c>
      <x:c r="H281" s="8" t="n">
        <x:v>6000</x:v>
      </x:c>
      <x:c r="I281" s="8"/>
      <x:c r="J281" s="8" t="n">
        <x:v>1</x:v>
      </x:c>
      <x:c r="K281" s="9" t="n">
        <x:v>26.15</x:v>
      </x:c>
      <x:c r="L281" s="8" t="n">
        <x:v>100</x:v>
      </x:c>
      <x:c r="M281" s="10" t="n">
        <x:v>1726.2</x:v>
      </x:c>
      <x:c r="N281" s="8" t="str">
        <x:v>i</x:v>
      </x:c>
      <x:c r="O281" s="8" t="n">
        <x:v>0</x:v>
      </x:c>
      <x:c r="P281" s="11" t="n">
        <x:f>MIN(X281,MAX(0,SUMIFS('Current inventory'!$D$2:$D$127,'Current inventory'!$A$2:$A$127,A281,'Current inventory'!$B$2:$B$127,B281)-SUMIFS($X$2:X280,$A$2:A280,A281,$B$2:B280,B281)))</x:f>
        <x:v>0</x:v>
      </x:c>
      <x:c r="Q281" s="1" t="str">
        <x:v>Received history</x:v>
      </x:c>
      <x:c r="R281" s="1" t="str">
        <x:v>Receipts data film c400 c800 plastic.csv</x:v>
      </x:c>
      <x:c r="S281" s="12" t="n">
        <x:f>IF(O281=1,I281*J281,0)</x:f>
        <x:v>0</x:v>
      </x:c>
      <x:c r="T281" s="13" t="n">
        <x:f>IF(L281&gt;0,K281/L281,"n.a.")</x:f>
        <x:v>0.2615</x:v>
      </x:c>
      <x:c r="U281" s="12" t="n">
        <x:f>IF(Q281="Old cost",S281,0)</x:f>
        <x:v>0</x:v>
      </x:c>
      <x:c r="V281" s="12" t="n">
        <x:f>IF(Q281="Higher cost",S281,0)</x:f>
        <x:v>0</x:v>
      </x:c>
      <x:c r="W281" s="12" t="n">
        <x:f>IF(Q281="Unclassified",S281,0)</x:f>
        <x:v>0</x:v>
      </x:c>
      <x:c r="X281" s="12" t="n">
        <x:f>IF(AND(ISNUMBER(F281),F281&gt;0,F281&lt;=Summary!$D$5,H281&gt;0),H281*J281,0)</x:f>
        <x:v>6000</x:v>
      </x:c>
    </x:row>
    <x:row r="282" ht="21" customHeight="1">
      <x:c r="A282" s="1" t="str">
        <x:v>30</x:v>
      </x:c>
      <x:c r="B282" s="1" t="str">
        <x:v>800BBLKDSC</x:v>
      </x:c>
      <x:c r="C282" s="1" t="str">
        <x:v>3003711</x:v>
      </x:c>
      <x:c r="D282" s="1" t="str">
        <x:v>3</x:v>
      </x:c>
      <x:c r="E282" s="1"/>
      <x:c r="F282" s="7" t="n">
        <x:v>44823</x:v>
      </x:c>
      <x:c r="G282" s="7" t="n">
        <x:v>44827</x:v>
      </x:c>
      <x:c r="H282" s="8" t="n">
        <x:v>14000</x:v>
      </x:c>
      <x:c r="I282" s="8"/>
      <x:c r="J282" s="8" t="n">
        <x:v>1</x:v>
      </x:c>
      <x:c r="K282" s="9" t="n">
        <x:v>26.15</x:v>
      </x:c>
      <x:c r="L282" s="8" t="n">
        <x:v>100</x:v>
      </x:c>
      <x:c r="M282" s="10" t="n">
        <x:v>4027.8</x:v>
      </x:c>
      <x:c r="N282" s="8" t="str">
        <x:v>i</x:v>
      </x:c>
      <x:c r="O282" s="8" t="n">
        <x:v>0</x:v>
      </x:c>
      <x:c r="P282" s="11" t="n">
        <x:f>MIN(X282,MAX(0,SUMIFS('Current inventory'!$D$2:$D$127,'Current inventory'!$A$2:$A$127,A282,'Current inventory'!$B$2:$B$127,B282)-SUMIFS($X$2:X281,$A$2:A281,A282,$B$2:B281,B282)))</x:f>
        <x:v>0</x:v>
      </x:c>
      <x:c r="Q282" s="1" t="str">
        <x:v>Received history</x:v>
      </x:c>
      <x:c r="R282" s="1" t="str">
        <x:v>Receipts data film c400 c800 plastic.csv</x:v>
      </x:c>
      <x:c r="S282" s="12" t="n">
        <x:f>IF(O282=1,I282*J282,0)</x:f>
        <x:v>0</x:v>
      </x:c>
      <x:c r="T282" s="13" t="n">
        <x:f>IF(L282&gt;0,K282/L282,"n.a.")</x:f>
        <x:v>0.2615</x:v>
      </x:c>
      <x:c r="U282" s="12" t="n">
        <x:f>IF(Q282="Old cost",S282,0)</x:f>
        <x:v>0</x:v>
      </x:c>
      <x:c r="V282" s="12" t="n">
        <x:f>IF(Q282="Higher cost",S282,0)</x:f>
        <x:v>0</x:v>
      </x:c>
      <x:c r="W282" s="12" t="n">
        <x:f>IF(Q282="Unclassified",S282,0)</x:f>
        <x:v>0</x:v>
      </x:c>
      <x:c r="X282" s="12" t="n">
        <x:f>IF(AND(ISNUMBER(F282),F282&gt;0,F282&lt;=Summary!$D$5,H282&gt;0),H282*J282,0)</x:f>
        <x:v>14000</x:v>
      </x:c>
    </x:row>
    <x:row r="283" ht="21" customHeight="1">
      <x:c r="A283" s="1" t="str">
        <x:v>30</x:v>
      </x:c>
      <x:c r="B283" s="1" t="str">
        <x:v>800BBLKISC</x:v>
      </x:c>
      <x:c r="C283" s="1" t="str">
        <x:v>3003711</x:v>
      </x:c>
      <x:c r="D283" s="1" t="str">
        <x:v>3</x:v>
      </x:c>
      <x:c r="E283" s="1"/>
      <x:c r="F283" s="7" t="n">
        <x:v>44823</x:v>
      </x:c>
      <x:c r="G283" s="7" t="n">
        <x:v>44827</x:v>
      </x:c>
      <x:c r="H283" s="8" t="n">
        <x:v>20000</x:v>
      </x:c>
      <x:c r="I283" s="8"/>
      <x:c r="J283" s="8" t="n">
        <x:v>1</x:v>
      </x:c>
      <x:c r="K283" s="9" t="n">
        <x:v>13.42</x:v>
      </x:c>
      <x:c r="L283" s="8" t="n">
        <x:v>100</x:v>
      </x:c>
      <x:c r="M283" s="10" t="n">
        <x:v>2952</x:v>
      </x:c>
      <x:c r="N283" s="8" t="str">
        <x:v>i</x:v>
      </x:c>
      <x:c r="O283" s="8" t="n">
        <x:v>0</x:v>
      </x:c>
      <x:c r="P283" s="11" t="n">
        <x:f>MIN(X283,MAX(0,SUMIFS('Current inventory'!$D$2:$D$127,'Current inventory'!$A$2:$A$127,A283,'Current inventory'!$B$2:$B$127,B283)-SUMIFS($X$2:X282,$A$2:A282,A283,$B$2:B282,B283)))</x:f>
        <x:v>0</x:v>
      </x:c>
      <x:c r="Q283" s="1" t="str">
        <x:v>Received history</x:v>
      </x:c>
      <x:c r="R283" s="1" t="str">
        <x:v>Receipts data film c400 c800 plastic.csv</x:v>
      </x:c>
      <x:c r="S283" s="12" t="n">
        <x:f>IF(O283=1,I283*J283,0)</x:f>
        <x:v>0</x:v>
      </x:c>
      <x:c r="T283" s="13" t="n">
        <x:f>IF(L283&gt;0,K283/L283,"n.a.")</x:f>
        <x:v>0.13419999999999999</x:v>
      </x:c>
      <x:c r="U283" s="12" t="n">
        <x:f>IF(Q283="Old cost",S283,0)</x:f>
        <x:v>0</x:v>
      </x:c>
      <x:c r="V283" s="12" t="n">
        <x:f>IF(Q283="Higher cost",S283,0)</x:f>
        <x:v>0</x:v>
      </x:c>
      <x:c r="W283" s="12" t="n">
        <x:f>IF(Q283="Unclassified",S283,0)</x:f>
        <x:v>0</x:v>
      </x:c>
      <x:c r="X283" s="12" t="n">
        <x:f>IF(AND(ISNUMBER(F283),F283&gt;0,F283&lt;=Summary!$D$5,H283&gt;0),H283*J283,0)</x:f>
        <x:v>20000</x:v>
      </x:c>
    </x:row>
    <x:row r="284" ht="21" customHeight="1">
      <x:c r="A284" s="1" t="str">
        <x:v>10</x:v>
      </x:c>
      <x:c r="B284" s="1" t="str">
        <x:v>800BBLKASC</x:v>
      </x:c>
      <x:c r="C284" s="1" t="str">
        <x:v>1054834</x:v>
      </x:c>
      <x:c r="D284" s="1" t="str">
        <x:v>1</x:v>
      </x:c>
      <x:c r="E284" s="1"/>
      <x:c r="F284" s="7" t="n">
        <x:v>44820</x:v>
      </x:c>
      <x:c r="G284" s="7" t="n">
        <x:v>44855</x:v>
      </x:c>
      <x:c r="H284" s="8" t="n">
        <x:v>0</x:v>
      </x:c>
      <x:c r="I284" s="8"/>
      <x:c r="J284" s="8" t="n">
        <x:v>1</x:v>
      </x:c>
      <x:c r="K284" s="9" t="n">
        <x:v>10.96</x:v>
      </x:c>
      <x:c r="L284" s="8" t="n">
        <x:v>100</x:v>
      </x:c>
      <x:c r="M284" s="10" t="n">
        <x:v>0</x:v>
      </x:c>
      <x:c r="N284" s="8" t="str">
        <x:v>i</x:v>
      </x:c>
      <x:c r="O284" s="8" t="n">
        <x:v>0</x:v>
      </x:c>
      <x:c r="P284" s="11" t="n">
        <x:f>MIN(X284,MAX(0,SUMIFS('Current inventory'!$D$2:$D$127,'Current inventory'!$A$2:$A$127,A284,'Current inventory'!$B$2:$B$127,B284)-SUMIFS($X$2:X283,$A$2:A283,A284,$B$2:B283,B284)))</x:f>
        <x:v>0</x:v>
      </x:c>
      <x:c r="Q284" s="1" t="str">
        <x:v>Received history</x:v>
      </x:c>
      <x:c r="R284" s="1" t="str">
        <x:v>Receipts data film c400 c800 plastic.csv</x:v>
      </x:c>
      <x:c r="S284" s="12" t="n">
        <x:f>IF(O284=1,I284*J284,0)</x:f>
        <x:v>0</x:v>
      </x:c>
      <x:c r="T284" s="13" t="n">
        <x:f>IF(L284&gt;0,K284/L284,"n.a.")</x:f>
        <x:v>0.1096</x:v>
      </x:c>
      <x:c r="U284" s="12" t="n">
        <x:f>IF(Q284="Old cost",S284,0)</x:f>
        <x:v>0</x:v>
      </x:c>
      <x:c r="V284" s="12" t="n">
        <x:f>IF(Q284="Higher cost",S284,0)</x:f>
        <x:v>0</x:v>
      </x:c>
      <x:c r="W284" s="12" t="n">
        <x:f>IF(Q284="Unclassified",S284,0)</x:f>
        <x:v>0</x:v>
      </x:c>
      <x:c r="X284" s="12" t="n">
        <x:f>IF(AND(ISNUMBER(F284),F284&gt;0,F284&lt;=Summary!$D$5,H284&gt;0),H284*J284,0)</x:f>
        <x:v>0</x:v>
      </x:c>
    </x:row>
    <x:row r="285" ht="21" customHeight="1">
      <x:c r="A285" s="1" t="str">
        <x:v>10</x:v>
      </x:c>
      <x:c r="B285" s="1" t="str">
        <x:v>800BBLKDSC</x:v>
      </x:c>
      <x:c r="C285" s="1" t="str">
        <x:v>1054834</x:v>
      </x:c>
      <x:c r="D285" s="1" t="str">
        <x:v>1</x:v>
      </x:c>
      <x:c r="E285" s="1"/>
      <x:c r="F285" s="7" t="n">
        <x:v>44820</x:v>
      </x:c>
      <x:c r="G285" s="7" t="n">
        <x:v>44855</x:v>
      </x:c>
      <x:c r="H285" s="8" t="n">
        <x:v>0</x:v>
      </x:c>
      <x:c r="I285" s="8"/>
      <x:c r="J285" s="8" t="n">
        <x:v>1</x:v>
      </x:c>
      <x:c r="K285" s="9" t="n">
        <x:v>29.14</x:v>
      </x:c>
      <x:c r="L285" s="8" t="n">
        <x:v>100</x:v>
      </x:c>
      <x:c r="M285" s="10" t="n">
        <x:v>0</x:v>
      </x:c>
      <x:c r="N285" s="8" t="str">
        <x:v>i</x:v>
      </x:c>
      <x:c r="O285" s="8" t="n">
        <x:v>0</x:v>
      </x:c>
      <x:c r="P285" s="11" t="n">
        <x:f>MIN(X285,MAX(0,SUMIFS('Current inventory'!$D$2:$D$127,'Current inventory'!$A$2:$A$127,A285,'Current inventory'!$B$2:$B$127,B285)-SUMIFS($X$2:X284,$A$2:A284,A285,$B$2:B284,B285)))</x:f>
        <x:v>0</x:v>
      </x:c>
      <x:c r="Q285" s="1" t="str">
        <x:v>Received history</x:v>
      </x:c>
      <x:c r="R285" s="1" t="str">
        <x:v>Receipts data film c400 c800 plastic.csv</x:v>
      </x:c>
      <x:c r="S285" s="12" t="n">
        <x:f>IF(O285=1,I285*J285,0)</x:f>
        <x:v>0</x:v>
      </x:c>
      <x:c r="T285" s="13" t="n">
        <x:f>IF(L285&gt;0,K285/L285,"n.a.")</x:f>
        <x:v>0.2914</x:v>
      </x:c>
      <x:c r="U285" s="12" t="n">
        <x:f>IF(Q285="Old cost",S285,0)</x:f>
        <x:v>0</x:v>
      </x:c>
      <x:c r="V285" s="12" t="n">
        <x:f>IF(Q285="Higher cost",S285,0)</x:f>
        <x:v>0</x:v>
      </x:c>
      <x:c r="W285" s="12" t="n">
        <x:f>IF(Q285="Unclassified",S285,0)</x:f>
        <x:v>0</x:v>
      </x:c>
      <x:c r="X285" s="12" t="n">
        <x:f>IF(AND(ISNUMBER(F285),F285&gt;0,F285&lt;=Summary!$D$5,H285&gt;0),H285*J285,0)</x:f>
        <x:v>0</x:v>
      </x:c>
    </x:row>
    <x:row r="286" ht="21" customHeight="1">
      <x:c r="A286" s="1" t="str">
        <x:v>10</x:v>
      </x:c>
      <x:c r="B286" s="1" t="str">
        <x:v>800BBLKISC</x:v>
      </x:c>
      <x:c r="C286" s="1" t="str">
        <x:v>1054834</x:v>
      </x:c>
      <x:c r="D286" s="1" t="str">
        <x:v>1</x:v>
      </x:c>
      <x:c r="E286" s="1"/>
      <x:c r="F286" s="7" t="n">
        <x:v>44820</x:v>
      </x:c>
      <x:c r="G286" s="7" t="n">
        <x:v>44855</x:v>
      </x:c>
      <x:c r="H286" s="8" t="n">
        <x:v>30000</x:v>
      </x:c>
      <x:c r="I286" s="8"/>
      <x:c r="J286" s="8" t="n">
        <x:v>1</x:v>
      </x:c>
      <x:c r="K286" s="9" t="n">
        <x:v>14.97</x:v>
      </x:c>
      <x:c r="L286" s="8" t="n">
        <x:v>100</x:v>
      </x:c>
      <x:c r="M286" s="10" t="n">
        <x:v>4428</x:v>
      </x:c>
      <x:c r="N286" s="8" t="str">
        <x:v>i</x:v>
      </x:c>
      <x:c r="O286" s="8" t="n">
        <x:v>0</x:v>
      </x:c>
      <x:c r="P286" s="11" t="n">
        <x:f>MIN(X286,MAX(0,SUMIFS('Current inventory'!$D$2:$D$127,'Current inventory'!$A$2:$A$127,A286,'Current inventory'!$B$2:$B$127,B286)-SUMIFS($X$2:X285,$A$2:A285,A286,$B$2:B285,B286)))</x:f>
        <x:v>0</x:v>
      </x:c>
      <x:c r="Q286" s="1" t="str">
        <x:v>Received history</x:v>
      </x:c>
      <x:c r="R286" s="1" t="str">
        <x:v>Receipts data film c400 c800 plastic.csv</x:v>
      </x:c>
      <x:c r="S286" s="12" t="n">
        <x:f>IF(O286=1,I286*J286,0)</x:f>
        <x:v>0</x:v>
      </x:c>
      <x:c r="T286" s="13" t="n">
        <x:f>IF(L286&gt;0,K286/L286,"n.a.")</x:f>
        <x:v>0.1497</x:v>
      </x:c>
      <x:c r="U286" s="12" t="n">
        <x:f>IF(Q286="Old cost",S286,0)</x:f>
        <x:v>0</x:v>
      </x:c>
      <x:c r="V286" s="12" t="n">
        <x:f>IF(Q286="Higher cost",S286,0)</x:f>
        <x:v>0</x:v>
      </x:c>
      <x:c r="W286" s="12" t="n">
        <x:f>IF(Q286="Unclassified",S286,0)</x:f>
        <x:v>0</x:v>
      </x:c>
      <x:c r="X286" s="12" t="n">
        <x:f>IF(AND(ISNUMBER(F286),F286&gt;0,F286&lt;=Summary!$D$5,H286&gt;0),H286*J286,0)</x:f>
        <x:v>30000</x:v>
      </x:c>
    </x:row>
    <x:row r="287" ht="21" customHeight="1">
      <x:c r="A287" s="1" t="str">
        <x:v>10</x:v>
      </x:c>
      <x:c r="B287" s="1" t="str">
        <x:v>800BLKE</x:v>
      </x:c>
      <x:c r="C287" s="1" t="str">
        <x:v>1054834</x:v>
      </x:c>
      <x:c r="D287" s="1" t="str">
        <x:v>1</x:v>
      </x:c>
      <x:c r="E287" s="1"/>
      <x:c r="F287" s="7" t="n">
        <x:v>44820</x:v>
      </x:c>
      <x:c r="G287" s="7" t="n">
        <x:v>44855</x:v>
      </x:c>
      <x:c r="H287" s="8" t="n">
        <x:v>0</x:v>
      </x:c>
      <x:c r="I287" s="8"/>
      <x:c r="J287" s="8" t="n">
        <x:v>1</x:v>
      </x:c>
      <x:c r="K287" s="9" t="n">
        <x:v>750</x:v>
      </x:c>
      <x:c r="L287" s="8" t="n">
        <x:v>1000</x:v>
      </x:c>
      <x:c r="M287" s="10" t="n">
        <x:v>0</x:v>
      </x:c>
      <x:c r="N287" s="8" t="str">
        <x:v>i</x:v>
      </x:c>
      <x:c r="O287" s="8" t="n">
        <x:v>0</x:v>
      </x:c>
      <x:c r="P287" s="11" t="n">
        <x:f>MIN(X287,MAX(0,SUMIFS('Current inventory'!$D$2:$D$127,'Current inventory'!$A$2:$A$127,A287,'Current inventory'!$B$2:$B$127,B287)-SUMIFS($X$2:X286,$A$2:A286,A287,$B$2:B286,B287)))</x:f>
        <x:v>0</x:v>
      </x:c>
      <x:c r="Q287" s="1" t="str">
        <x:v>Received history</x:v>
      </x:c>
      <x:c r="R287" s="1" t="str">
        <x:v>Receipts data film c400 c800 plastic.csv</x:v>
      </x:c>
      <x:c r="S287" s="12" t="n">
        <x:f>IF(O287=1,I287*J287,0)</x:f>
        <x:v>0</x:v>
      </x:c>
      <x:c r="T287" s="13" t="n">
        <x:f>IF(L287&gt;0,K287/L287,"n.a.")</x:f>
        <x:v>0.75</x:v>
      </x:c>
      <x:c r="U287" s="12" t="n">
        <x:f>IF(Q287="Old cost",S287,0)</x:f>
        <x:v>0</x:v>
      </x:c>
      <x:c r="V287" s="12" t="n">
        <x:f>IF(Q287="Higher cost",S287,0)</x:f>
        <x:v>0</x:v>
      </x:c>
      <x:c r="W287" s="12" t="n">
        <x:f>IF(Q287="Unclassified",S287,0)</x:f>
        <x:v>0</x:v>
      </x:c>
      <x:c r="X287" s="12" t="n">
        <x:f>IF(AND(ISNUMBER(F287),F287&gt;0,F287&lt;=Summary!$D$5,H287&gt;0),H287*J287,0)</x:f>
        <x:v>0</x:v>
      </x:c>
    </x:row>
    <x:row r="288" ht="21" customHeight="1">
      <x:c r="A288" s="1" t="str">
        <x:v>10</x:v>
      </x:c>
      <x:c r="B288" s="1" t="str">
        <x:v>800BMARASC</x:v>
      </x:c>
      <x:c r="C288" s="1" t="str">
        <x:v>1054834</x:v>
      </x:c>
      <x:c r="D288" s="1" t="str">
        <x:v>1</x:v>
      </x:c>
      <x:c r="E288" s="1"/>
      <x:c r="F288" s="7" t="n">
        <x:v>44820</x:v>
      </x:c>
      <x:c r="G288" s="7" t="n">
        <x:v>44855</x:v>
      </x:c>
      <x:c r="H288" s="8" t="n">
        <x:v>0</x:v>
      </x:c>
      <x:c r="I288" s="8"/>
      <x:c r="J288" s="8" t="n">
        <x:v>1</x:v>
      </x:c>
      <x:c r="K288" s="9" t="n">
        <x:v>13.84</x:v>
      </x:c>
      <x:c r="L288" s="8" t="n">
        <x:v>100</x:v>
      </x:c>
      <x:c r="M288" s="10" t="n">
        <x:v>0</x:v>
      </x:c>
      <x:c r="N288" s="8" t="str">
        <x:v>i</x:v>
      </x:c>
      <x:c r="O288" s="8" t="n">
        <x:v>0</x:v>
      </x:c>
      <x:c r="P288" s="11" t="n">
        <x:f>MIN(X288,MAX(0,SUMIFS('Current inventory'!$D$2:$D$127,'Current inventory'!$A$2:$A$127,A288,'Current inventory'!$B$2:$B$127,B288)-SUMIFS($X$2:X287,$A$2:A287,A288,$B$2:B287,B288)))</x:f>
        <x:v>0</x:v>
      </x:c>
      <x:c r="Q288" s="1" t="str">
        <x:v>Received history</x:v>
      </x:c>
      <x:c r="R288" s="1" t="str">
        <x:v>Receipts data film c400 c800 plastic.csv</x:v>
      </x:c>
      <x:c r="S288" s="12" t="n">
        <x:f>IF(O288=1,I288*J288,0)</x:f>
        <x:v>0</x:v>
      </x:c>
      <x:c r="T288" s="13" t="n">
        <x:f>IF(L288&gt;0,K288/L288,"n.a.")</x:f>
        <x:v>0.1384</x:v>
      </x:c>
      <x:c r="U288" s="12" t="n">
        <x:f>IF(Q288="Old cost",S288,0)</x:f>
        <x:v>0</x:v>
      </x:c>
      <x:c r="V288" s="12" t="n">
        <x:f>IF(Q288="Higher cost",S288,0)</x:f>
        <x:v>0</x:v>
      </x:c>
      <x:c r="W288" s="12" t="n">
        <x:f>IF(Q288="Unclassified",S288,0)</x:f>
        <x:v>0</x:v>
      </x:c>
      <x:c r="X288" s="12" t="n">
        <x:f>IF(AND(ISNUMBER(F288),F288&gt;0,F288&lt;=Summary!$D$5,H288&gt;0),H288*J288,0)</x:f>
        <x:v>0</x:v>
      </x:c>
    </x:row>
    <x:row r="289" ht="21" customHeight="1">
      <x:c r="A289" s="1" t="str">
        <x:v>10</x:v>
      </x:c>
      <x:c r="B289" s="1" t="str">
        <x:v>800BNAVASC</x:v>
      </x:c>
      <x:c r="C289" s="1" t="str">
        <x:v>1054834</x:v>
      </x:c>
      <x:c r="D289" s="1" t="str">
        <x:v>1</x:v>
      </x:c>
      <x:c r="E289" s="1"/>
      <x:c r="F289" s="7" t="n">
        <x:v>44820</x:v>
      </x:c>
      <x:c r="G289" s="7" t="n">
        <x:v>44855</x:v>
      </x:c>
      <x:c r="H289" s="8" t="n">
        <x:v>0</x:v>
      </x:c>
      <x:c r="I289" s="8"/>
      <x:c r="J289" s="8" t="n">
        <x:v>1</x:v>
      </x:c>
      <x:c r="K289" s="9" t="n">
        <x:v>13.1</x:v>
      </x:c>
      <x:c r="L289" s="8" t="n">
        <x:v>100</x:v>
      </x:c>
      <x:c r="M289" s="10" t="n">
        <x:v>0</x:v>
      </x:c>
      <x:c r="N289" s="8" t="str">
        <x:v>i</x:v>
      </x:c>
      <x:c r="O289" s="8" t="n">
        <x:v>0</x:v>
      </x:c>
      <x:c r="P289" s="11" t="n">
        <x:f>MIN(X289,MAX(0,SUMIFS('Current inventory'!$D$2:$D$127,'Current inventory'!$A$2:$A$127,A289,'Current inventory'!$B$2:$B$127,B289)-SUMIFS($X$2:X288,$A$2:A288,A289,$B$2:B288,B289)))</x:f>
        <x:v>0</x:v>
      </x:c>
      <x:c r="Q289" s="1" t="str">
        <x:v>Received history</x:v>
      </x:c>
      <x:c r="R289" s="1" t="str">
        <x:v>Receipts data film c400 c800 plastic.csv</x:v>
      </x:c>
      <x:c r="S289" s="12" t="n">
        <x:f>IF(O289=1,I289*J289,0)</x:f>
        <x:v>0</x:v>
      </x:c>
      <x:c r="T289" s="13" t="n">
        <x:f>IF(L289&gt;0,K289/L289,"n.a.")</x:f>
        <x:v>0.131</x:v>
      </x:c>
      <x:c r="U289" s="12" t="n">
        <x:f>IF(Q289="Old cost",S289,0)</x:f>
        <x:v>0</x:v>
      </x:c>
      <x:c r="V289" s="12" t="n">
        <x:f>IF(Q289="Higher cost",S289,0)</x:f>
        <x:v>0</x:v>
      </x:c>
      <x:c r="W289" s="12" t="n">
        <x:f>IF(Q289="Unclassified",S289,0)</x:f>
        <x:v>0</x:v>
      </x:c>
      <x:c r="X289" s="12" t="n">
        <x:f>IF(AND(ISNUMBER(F289),F289&gt;0,F289&lt;=Summary!$D$5,H289&gt;0),H289*J289,0)</x:f>
        <x:v>0</x:v>
      </x:c>
    </x:row>
    <x:row r="290" ht="21" customHeight="1">
      <x:c r="A290" s="1" t="str">
        <x:v>10</x:v>
      </x:c>
      <x:c r="B290" s="1" t="str">
        <x:v>800NAVE</x:v>
      </x:c>
      <x:c r="C290" s="1" t="str">
        <x:v>1054834</x:v>
      </x:c>
      <x:c r="D290" s="1" t="str">
        <x:v>1</x:v>
      </x:c>
      <x:c r="E290" s="1"/>
      <x:c r="F290" s="7" t="n">
        <x:v>44820</x:v>
      </x:c>
      <x:c r="G290" s="7" t="n">
        <x:v>44855</x:v>
      </x:c>
      <x:c r="H290" s="8" t="n">
        <x:v>0</x:v>
      </x:c>
      <x:c r="I290" s="8"/>
      <x:c r="J290" s="8" t="n">
        <x:v>1</x:v>
      </x:c>
      <x:c r="K290" s="9" t="n">
        <x:v>930</x:v>
      </x:c>
      <x:c r="L290" s="8" t="n">
        <x:v>1000</x:v>
      </x:c>
      <x:c r="M290" s="10" t="n">
        <x:v>0</x:v>
      </x:c>
      <x:c r="N290" s="8" t="str">
        <x:v>i</x:v>
      </x:c>
      <x:c r="O290" s="8" t="n">
        <x:v>0</x:v>
      </x:c>
      <x:c r="P290" s="11" t="n">
        <x:f>MIN(X290,MAX(0,SUMIFS('Current inventory'!$D$2:$D$127,'Current inventory'!$A$2:$A$127,A290,'Current inventory'!$B$2:$B$127,B290)-SUMIFS($X$2:X289,$A$2:A289,A290,$B$2:B289,B290)))</x:f>
        <x:v>0</x:v>
      </x:c>
      <x:c r="Q290" s="1" t="str">
        <x:v>Received history</x:v>
      </x:c>
      <x:c r="R290" s="1" t="str">
        <x:v>Receipts data film c400 c800 plastic.csv</x:v>
      </x:c>
      <x:c r="S290" s="12" t="n">
        <x:f>IF(O290=1,I290*J290,0)</x:f>
        <x:v>0</x:v>
      </x:c>
      <x:c r="T290" s="13" t="n">
        <x:f>IF(L290&gt;0,K290/L290,"n.a.")</x:f>
        <x:v>0.93</x:v>
      </x:c>
      <x:c r="U290" s="12" t="n">
        <x:f>IF(Q290="Old cost",S290,0)</x:f>
        <x:v>0</x:v>
      </x:c>
      <x:c r="V290" s="12" t="n">
        <x:f>IF(Q290="Higher cost",S290,0)</x:f>
        <x:v>0</x:v>
      </x:c>
      <x:c r="W290" s="12" t="n">
        <x:f>IF(Q290="Unclassified",S290,0)</x:f>
        <x:v>0</x:v>
      </x:c>
      <x:c r="X290" s="12" t="n">
        <x:f>IF(AND(ISNUMBER(F290),F290&gt;0,F290&lt;=Summary!$D$5,H290&gt;0),H290*J290,0)</x:f>
        <x:v>0</x:v>
      </x:c>
    </x:row>
    <x:row r="291" ht="21" customHeight="1">
      <x:c r="A291" s="1" t="str">
        <x:v>10</x:v>
      </x:c>
      <x:c r="B291" s="1" t="str">
        <x:v>800BBLKASC</x:v>
      </x:c>
      <x:c r="C291" s="1" t="str">
        <x:v>1054834</x:v>
      </x:c>
      <x:c r="D291" s="1" t="str">
        <x:v>0</x:v>
      </x:c>
      <x:c r="E291" s="1"/>
      <x:c r="F291" s="7" t="n">
        <x:v>44820</x:v>
      </x:c>
      <x:c r="G291" s="7" t="n">
        <x:v>44855</x:v>
      </x:c>
      <x:c r="H291" s="8" t="n">
        <x:v>120000</x:v>
      </x:c>
      <x:c r="I291" s="8"/>
      <x:c r="J291" s="8" t="n">
        <x:v>1</x:v>
      </x:c>
      <x:c r="K291" s="9" t="n">
        <x:v>10.96</x:v>
      </x:c>
      <x:c r="L291" s="8" t="n">
        <x:v>100</x:v>
      </x:c>
      <x:c r="M291" s="10" t="n">
        <x:v>13788</x:v>
      </x:c>
      <x:c r="N291" s="8" t="str">
        <x:v>i</x:v>
      </x:c>
      <x:c r="O291" s="8" t="n">
        <x:v>0</x:v>
      </x:c>
      <x:c r="P291" s="11" t="n">
        <x:f>MIN(X291,MAX(0,SUMIFS('Current inventory'!$D$2:$D$127,'Current inventory'!$A$2:$A$127,A291,'Current inventory'!$B$2:$B$127,B291)-SUMIFS($X$2:X290,$A$2:A290,A291,$B$2:B290,B291)))</x:f>
        <x:v>0</x:v>
      </x:c>
      <x:c r="Q291" s="1" t="str">
        <x:v>Received history</x:v>
      </x:c>
      <x:c r="R291" s="1" t="str">
        <x:v>Receipts data film c400 c800 plastic.csv</x:v>
      </x:c>
      <x:c r="S291" s="12" t="n">
        <x:f>IF(O291=1,I291*J291,0)</x:f>
        <x:v>0</x:v>
      </x:c>
      <x:c r="T291" s="13" t="n">
        <x:f>IF(L291&gt;0,K291/L291,"n.a.")</x:f>
        <x:v>0.1096</x:v>
      </x:c>
      <x:c r="U291" s="12" t="n">
        <x:f>IF(Q291="Old cost",S291,0)</x:f>
        <x:v>0</x:v>
      </x:c>
      <x:c r="V291" s="12" t="n">
        <x:f>IF(Q291="Higher cost",S291,0)</x:f>
        <x:v>0</x:v>
      </x:c>
      <x:c r="W291" s="12" t="n">
        <x:f>IF(Q291="Unclassified",S291,0)</x:f>
        <x:v>0</x:v>
      </x:c>
      <x:c r="X291" s="12" t="n">
        <x:f>IF(AND(ISNUMBER(F291),F291&gt;0,F291&lt;=Summary!$D$5,H291&gt;0),H291*J291,0)</x:f>
        <x:v>120000</x:v>
      </x:c>
    </x:row>
    <x:row r="292" ht="21" customHeight="1">
      <x:c r="A292" s="1" t="str">
        <x:v>10</x:v>
      </x:c>
      <x:c r="B292" s="1" t="str">
        <x:v>800BBLKDSC</x:v>
      </x:c>
      <x:c r="C292" s="1" t="str">
        <x:v>1054834</x:v>
      </x:c>
      <x:c r="D292" s="1" t="str">
        <x:v>0</x:v>
      </x:c>
      <x:c r="E292" s="1"/>
      <x:c r="F292" s="7" t="n">
        <x:v>44820</x:v>
      </x:c>
      <x:c r="G292" s="7" t="n">
        <x:v>44855</x:v>
      </x:c>
      <x:c r="H292" s="8" t="n">
        <x:v>0</x:v>
      </x:c>
      <x:c r="I292" s="8"/>
      <x:c r="J292" s="8" t="n">
        <x:v>1</x:v>
      </x:c>
      <x:c r="K292" s="9" t="n">
        <x:v>29.14</x:v>
      </x:c>
      <x:c r="L292" s="8" t="n">
        <x:v>100</x:v>
      </x:c>
      <x:c r="M292" s="10" t="n">
        <x:v>0</x:v>
      </x:c>
      <x:c r="N292" s="8" t="str">
        <x:v>i</x:v>
      </x:c>
      <x:c r="O292" s="8" t="n">
        <x:v>0</x:v>
      </x:c>
      <x:c r="P292" s="11" t="n">
        <x:f>MIN(X292,MAX(0,SUMIFS('Current inventory'!$D$2:$D$127,'Current inventory'!$A$2:$A$127,A292,'Current inventory'!$B$2:$B$127,B292)-SUMIFS($X$2:X291,$A$2:A291,A292,$B$2:B291,B292)))</x:f>
        <x:v>0</x:v>
      </x:c>
      <x:c r="Q292" s="1" t="str">
        <x:v>Received history</x:v>
      </x:c>
      <x:c r="R292" s="1" t="str">
        <x:v>Receipts data film c400 c800 plastic.csv</x:v>
      </x:c>
      <x:c r="S292" s="12" t="n">
        <x:f>IF(O292=1,I292*J292,0)</x:f>
        <x:v>0</x:v>
      </x:c>
      <x:c r="T292" s="13" t="n">
        <x:f>IF(L292&gt;0,K292/L292,"n.a.")</x:f>
        <x:v>0.2914</x:v>
      </x:c>
      <x:c r="U292" s="12" t="n">
        <x:f>IF(Q292="Old cost",S292,0)</x:f>
        <x:v>0</x:v>
      </x:c>
      <x:c r="V292" s="12" t="n">
        <x:f>IF(Q292="Higher cost",S292,0)</x:f>
        <x:v>0</x:v>
      </x:c>
      <x:c r="W292" s="12" t="n">
        <x:f>IF(Q292="Unclassified",S292,0)</x:f>
        <x:v>0</x:v>
      </x:c>
      <x:c r="X292" s="12" t="n">
        <x:f>IF(AND(ISNUMBER(F292),F292&gt;0,F292&lt;=Summary!$D$5,H292&gt;0),H292*J292,0)</x:f>
        <x:v>0</x:v>
      </x:c>
    </x:row>
    <x:row r="293" ht="21" customHeight="1">
      <x:c r="A293" s="1" t="str">
        <x:v>10</x:v>
      </x:c>
      <x:c r="B293" s="1" t="str">
        <x:v>800BBLKISC</x:v>
      </x:c>
      <x:c r="C293" s="1" t="str">
        <x:v>1054834</x:v>
      </x:c>
      <x:c r="D293" s="1" t="str">
        <x:v>0</x:v>
      </x:c>
      <x:c r="E293" s="1"/>
      <x:c r="F293" s="7" t="n">
        <x:v>44820</x:v>
      </x:c>
      <x:c r="G293" s="7" t="n">
        <x:v>44855</x:v>
      </x:c>
      <x:c r="H293" s="8" t="n">
        <x:v>0</x:v>
      </x:c>
      <x:c r="I293" s="8"/>
      <x:c r="J293" s="8" t="n">
        <x:v>1</x:v>
      </x:c>
      <x:c r="K293" s="9" t="n">
        <x:v>14.97</x:v>
      </x:c>
      <x:c r="L293" s="8" t="n">
        <x:v>100</x:v>
      </x:c>
      <x:c r="M293" s="10" t="n">
        <x:v>0</x:v>
      </x:c>
      <x:c r="N293" s="8" t="str">
        <x:v>i</x:v>
      </x:c>
      <x:c r="O293" s="8" t="n">
        <x:v>0</x:v>
      </x:c>
      <x:c r="P293" s="11" t="n">
        <x:f>MIN(X293,MAX(0,SUMIFS('Current inventory'!$D$2:$D$127,'Current inventory'!$A$2:$A$127,A293,'Current inventory'!$B$2:$B$127,B293)-SUMIFS($X$2:X292,$A$2:A292,A293,$B$2:B292,B293)))</x:f>
        <x:v>0</x:v>
      </x:c>
      <x:c r="Q293" s="1" t="str">
        <x:v>Received history</x:v>
      </x:c>
      <x:c r="R293" s="1" t="str">
        <x:v>Receipts data film c400 c800 plastic.csv</x:v>
      </x:c>
      <x:c r="S293" s="12" t="n">
        <x:f>IF(O293=1,I293*J293,0)</x:f>
        <x:v>0</x:v>
      </x:c>
      <x:c r="T293" s="13" t="n">
        <x:f>IF(L293&gt;0,K293/L293,"n.a.")</x:f>
        <x:v>0.1497</x:v>
      </x:c>
      <x:c r="U293" s="12" t="n">
        <x:f>IF(Q293="Old cost",S293,0)</x:f>
        <x:v>0</x:v>
      </x:c>
      <x:c r="V293" s="12" t="n">
        <x:f>IF(Q293="Higher cost",S293,0)</x:f>
        <x:v>0</x:v>
      </x:c>
      <x:c r="W293" s="12" t="n">
        <x:f>IF(Q293="Unclassified",S293,0)</x:f>
        <x:v>0</x:v>
      </x:c>
      <x:c r="X293" s="12" t="n">
        <x:f>IF(AND(ISNUMBER(F293),F293&gt;0,F293&lt;=Summary!$D$5,H293&gt;0),H293*J293,0)</x:f>
        <x:v>0</x:v>
      </x:c>
    </x:row>
    <x:row r="294" ht="21" customHeight="1">
      <x:c r="A294" s="1" t="str">
        <x:v>10</x:v>
      </x:c>
      <x:c r="B294" s="1" t="str">
        <x:v>800BLKE</x:v>
      </x:c>
      <x:c r="C294" s="1" t="str">
        <x:v>1054834</x:v>
      </x:c>
      <x:c r="D294" s="1" t="str">
        <x:v>0</x:v>
      </x:c>
      <x:c r="E294" s="1"/>
      <x:c r="F294" s="7" t="n">
        <x:v>44820</x:v>
      </x:c>
      <x:c r="G294" s="7" t="n">
        <x:v>44855</x:v>
      </x:c>
      <x:c r="H294" s="8" t="n">
        <x:v>0</x:v>
      </x:c>
      <x:c r="I294" s="8"/>
      <x:c r="J294" s="8" t="n">
        <x:v>1</x:v>
      </x:c>
      <x:c r="K294" s="9" t="n">
        <x:v>750</x:v>
      </x:c>
      <x:c r="L294" s="8" t="n">
        <x:v>1000</x:v>
      </x:c>
      <x:c r="M294" s="10" t="n">
        <x:v>0</x:v>
      </x:c>
      <x:c r="N294" s="8" t="str">
        <x:v>i</x:v>
      </x:c>
      <x:c r="O294" s="8" t="n">
        <x:v>0</x:v>
      </x:c>
      <x:c r="P294" s="11" t="n">
        <x:f>MIN(X294,MAX(0,SUMIFS('Current inventory'!$D$2:$D$127,'Current inventory'!$A$2:$A$127,A294,'Current inventory'!$B$2:$B$127,B294)-SUMIFS($X$2:X293,$A$2:A293,A294,$B$2:B293,B294)))</x:f>
        <x:v>0</x:v>
      </x:c>
      <x:c r="Q294" s="1" t="str">
        <x:v>Received history</x:v>
      </x:c>
      <x:c r="R294" s="1" t="str">
        <x:v>Receipts data film c400 c800 plastic.csv</x:v>
      </x:c>
      <x:c r="S294" s="12" t="n">
        <x:f>IF(O294=1,I294*J294,0)</x:f>
        <x:v>0</x:v>
      </x:c>
      <x:c r="T294" s="13" t="n">
        <x:f>IF(L294&gt;0,K294/L294,"n.a.")</x:f>
        <x:v>0.75</x:v>
      </x:c>
      <x:c r="U294" s="12" t="n">
        <x:f>IF(Q294="Old cost",S294,0)</x:f>
        <x:v>0</x:v>
      </x:c>
      <x:c r="V294" s="12" t="n">
        <x:f>IF(Q294="Higher cost",S294,0)</x:f>
        <x:v>0</x:v>
      </x:c>
      <x:c r="W294" s="12" t="n">
        <x:f>IF(Q294="Unclassified",S294,0)</x:f>
        <x:v>0</x:v>
      </x:c>
      <x:c r="X294" s="12" t="n">
        <x:f>IF(AND(ISNUMBER(F294),F294&gt;0,F294&lt;=Summary!$D$5,H294&gt;0),H294*J294,0)</x:f>
        <x:v>0</x:v>
      </x:c>
    </x:row>
    <x:row r="295" ht="21" customHeight="1">
      <x:c r="A295" s="1" t="str">
        <x:v>10</x:v>
      </x:c>
      <x:c r="B295" s="1" t="str">
        <x:v>800BMARASC</x:v>
      </x:c>
      <x:c r="C295" s="1" t="str">
        <x:v>1054834</x:v>
      </x:c>
      <x:c r="D295" s="1" t="str">
        <x:v>0</x:v>
      </x:c>
      <x:c r="E295" s="1"/>
      <x:c r="F295" s="7" t="n">
        <x:v>44820</x:v>
      </x:c>
      <x:c r="G295" s="7" t="n">
        <x:v>44855</x:v>
      </x:c>
      <x:c r="H295" s="8" t="n">
        <x:v>0</x:v>
      </x:c>
      <x:c r="I295" s="8"/>
      <x:c r="J295" s="8" t="n">
        <x:v>1</x:v>
      </x:c>
      <x:c r="K295" s="9" t="n">
        <x:v>13.84</x:v>
      </x:c>
      <x:c r="L295" s="8" t="n">
        <x:v>100</x:v>
      </x:c>
      <x:c r="M295" s="10" t="n">
        <x:v>0</x:v>
      </x:c>
      <x:c r="N295" s="8" t="str">
        <x:v>i</x:v>
      </x:c>
      <x:c r="O295" s="8" t="n">
        <x:v>0</x:v>
      </x:c>
      <x:c r="P295" s="11" t="n">
        <x:f>MIN(X295,MAX(0,SUMIFS('Current inventory'!$D$2:$D$127,'Current inventory'!$A$2:$A$127,A295,'Current inventory'!$B$2:$B$127,B295)-SUMIFS($X$2:X294,$A$2:A294,A295,$B$2:B294,B295)))</x:f>
        <x:v>0</x:v>
      </x:c>
      <x:c r="Q295" s="1" t="str">
        <x:v>Received history</x:v>
      </x:c>
      <x:c r="R295" s="1" t="str">
        <x:v>Receipts data film c400 c800 plastic.csv</x:v>
      </x:c>
      <x:c r="S295" s="12" t="n">
        <x:f>IF(O295=1,I295*J295,0)</x:f>
        <x:v>0</x:v>
      </x:c>
      <x:c r="T295" s="13" t="n">
        <x:f>IF(L295&gt;0,K295/L295,"n.a.")</x:f>
        <x:v>0.1384</x:v>
      </x:c>
      <x:c r="U295" s="12" t="n">
        <x:f>IF(Q295="Old cost",S295,0)</x:f>
        <x:v>0</x:v>
      </x:c>
      <x:c r="V295" s="12" t="n">
        <x:f>IF(Q295="Higher cost",S295,0)</x:f>
        <x:v>0</x:v>
      </x:c>
      <x:c r="W295" s="12" t="n">
        <x:f>IF(Q295="Unclassified",S295,0)</x:f>
        <x:v>0</x:v>
      </x:c>
      <x:c r="X295" s="12" t="n">
        <x:f>IF(AND(ISNUMBER(F295),F295&gt;0,F295&lt;=Summary!$D$5,H295&gt;0),H295*J295,0)</x:f>
        <x:v>0</x:v>
      </x:c>
    </x:row>
    <x:row r="296" ht="21" customHeight="1">
      <x:c r="A296" s="1" t="str">
        <x:v>10</x:v>
      </x:c>
      <x:c r="B296" s="1" t="str">
        <x:v>800BNAVASC</x:v>
      </x:c>
      <x:c r="C296" s="1" t="str">
        <x:v>1054834</x:v>
      </x:c>
      <x:c r="D296" s="1" t="str">
        <x:v>0</x:v>
      </x:c>
      <x:c r="E296" s="1"/>
      <x:c r="F296" s="7" t="n">
        <x:v>44820</x:v>
      </x:c>
      <x:c r="G296" s="7" t="n">
        <x:v>44855</x:v>
      </x:c>
      <x:c r="H296" s="8" t="n">
        <x:v>0</x:v>
      </x:c>
      <x:c r="I296" s="8"/>
      <x:c r="J296" s="8" t="n">
        <x:v>1</x:v>
      </x:c>
      <x:c r="K296" s="9" t="n">
        <x:v>13.1</x:v>
      </x:c>
      <x:c r="L296" s="8" t="n">
        <x:v>100</x:v>
      </x:c>
      <x:c r="M296" s="10" t="n">
        <x:v>0</x:v>
      </x:c>
      <x:c r="N296" s="8" t="str">
        <x:v>i</x:v>
      </x:c>
      <x:c r="O296" s="8" t="n">
        <x:v>0</x:v>
      </x:c>
      <x:c r="P296" s="11" t="n">
        <x:f>MIN(X296,MAX(0,SUMIFS('Current inventory'!$D$2:$D$127,'Current inventory'!$A$2:$A$127,A296,'Current inventory'!$B$2:$B$127,B296)-SUMIFS($X$2:X295,$A$2:A295,A296,$B$2:B295,B296)))</x:f>
        <x:v>0</x:v>
      </x:c>
      <x:c r="Q296" s="1" t="str">
        <x:v>Received history</x:v>
      </x:c>
      <x:c r="R296" s="1" t="str">
        <x:v>Receipts data film c400 c800 plastic.csv</x:v>
      </x:c>
      <x:c r="S296" s="12" t="n">
        <x:f>IF(O296=1,I296*J296,0)</x:f>
        <x:v>0</x:v>
      </x:c>
      <x:c r="T296" s="13" t="n">
        <x:f>IF(L296&gt;0,K296/L296,"n.a.")</x:f>
        <x:v>0.131</x:v>
      </x:c>
      <x:c r="U296" s="12" t="n">
        <x:f>IF(Q296="Old cost",S296,0)</x:f>
        <x:v>0</x:v>
      </x:c>
      <x:c r="V296" s="12" t="n">
        <x:f>IF(Q296="Higher cost",S296,0)</x:f>
        <x:v>0</x:v>
      </x:c>
      <x:c r="W296" s="12" t="n">
        <x:f>IF(Q296="Unclassified",S296,0)</x:f>
        <x:v>0</x:v>
      </x:c>
      <x:c r="X296" s="12" t="n">
        <x:f>IF(AND(ISNUMBER(F296),F296&gt;0,F296&lt;=Summary!$D$5,H296&gt;0),H296*J296,0)</x:f>
        <x:v>0</x:v>
      </x:c>
    </x:row>
    <x:row r="297" ht="21" customHeight="1">
      <x:c r="A297" s="1" t="str">
        <x:v>10</x:v>
      </x:c>
      <x:c r="B297" s="1" t="str">
        <x:v>800NAVE</x:v>
      </x:c>
      <x:c r="C297" s="1" t="str">
        <x:v>1054834</x:v>
      </x:c>
      <x:c r="D297" s="1" t="str">
        <x:v>0</x:v>
      </x:c>
      <x:c r="E297" s="1"/>
      <x:c r="F297" s="7" t="n">
        <x:v>44820</x:v>
      </x:c>
      <x:c r="G297" s="7" t="n">
        <x:v>44855</x:v>
      </x:c>
      <x:c r="H297" s="8" t="n">
        <x:v>0</x:v>
      </x:c>
      <x:c r="I297" s="8"/>
      <x:c r="J297" s="8" t="n">
        <x:v>1</x:v>
      </x:c>
      <x:c r="K297" s="9" t="n">
        <x:v>930</x:v>
      </x:c>
      <x:c r="L297" s="8" t="n">
        <x:v>1000</x:v>
      </x:c>
      <x:c r="M297" s="10" t="n">
        <x:v>0</x:v>
      </x:c>
      <x:c r="N297" s="8" t="str">
        <x:v>i</x:v>
      </x:c>
      <x:c r="O297" s="8" t="n">
        <x:v>0</x:v>
      </x:c>
      <x:c r="P297" s="11" t="n">
        <x:f>MIN(X297,MAX(0,SUMIFS('Current inventory'!$D$2:$D$127,'Current inventory'!$A$2:$A$127,A297,'Current inventory'!$B$2:$B$127,B297)-SUMIFS($X$2:X296,$A$2:A296,A297,$B$2:B296,B297)))</x:f>
        <x:v>0</x:v>
      </x:c>
      <x:c r="Q297" s="1" t="str">
        <x:v>Received history</x:v>
      </x:c>
      <x:c r="R297" s="1" t="str">
        <x:v>Receipts data film c400 c800 plastic.csv</x:v>
      </x:c>
      <x:c r="S297" s="12" t="n">
        <x:f>IF(O297=1,I297*J297,0)</x:f>
        <x:v>0</x:v>
      </x:c>
      <x:c r="T297" s="13" t="n">
        <x:f>IF(L297&gt;0,K297/L297,"n.a.")</x:f>
        <x:v>0.93</x:v>
      </x:c>
      <x:c r="U297" s="12" t="n">
        <x:f>IF(Q297="Old cost",S297,0)</x:f>
        <x:v>0</x:v>
      </x:c>
      <x:c r="V297" s="12" t="n">
        <x:f>IF(Q297="Higher cost",S297,0)</x:f>
        <x:v>0</x:v>
      </x:c>
      <x:c r="W297" s="12" t="n">
        <x:f>IF(Q297="Unclassified",S297,0)</x:f>
        <x:v>0</x:v>
      </x:c>
      <x:c r="X297" s="12" t="n">
        <x:f>IF(AND(ISNUMBER(F297),F297&gt;0,F297&lt;=Summary!$D$5,H297&gt;0),H297*J297,0)</x:f>
        <x:v>0</x:v>
      </x:c>
    </x:row>
    <x:row r="298" ht="21" customHeight="1">
      <x:c r="A298" s="1" t="str">
        <x:v>10</x:v>
      </x:c>
      <x:c r="B298" s="1" t="str">
        <x:v>800BBLKASC</x:v>
      </x:c>
      <x:c r="C298" s="1" t="str">
        <x:v>1054564</x:v>
      </x:c>
      <x:c r="D298" s="1" t="str">
        <x:v>3</x:v>
      </x:c>
      <x:c r="E298" s="1"/>
      <x:c r="F298" s="7" t="n">
        <x:v>44820</x:v>
      </x:c>
      <x:c r="G298" s="7" t="n">
        <x:v>44820</x:v>
      </x:c>
      <x:c r="H298" s="8" t="n">
        <x:v>80000</x:v>
      </x:c>
      <x:c r="I298" s="8"/>
      <x:c r="J298" s="8" t="n">
        <x:v>1</x:v>
      </x:c>
      <x:c r="K298" s="9" t="n">
        <x:v>10.44</x:v>
      </x:c>
      <x:c r="L298" s="8" t="n">
        <x:v>100</x:v>
      </x:c>
      <x:c r="M298" s="10" t="n">
        <x:v>9192</x:v>
      </x:c>
      <x:c r="N298" s="8" t="str">
        <x:v>i</x:v>
      </x:c>
      <x:c r="O298" s="8" t="n">
        <x:v>0</x:v>
      </x:c>
      <x:c r="P298" s="11" t="n">
        <x:f>MIN(X298,MAX(0,SUMIFS('Current inventory'!$D$2:$D$127,'Current inventory'!$A$2:$A$127,A298,'Current inventory'!$B$2:$B$127,B298)-SUMIFS($X$2:X297,$A$2:A297,A298,$B$2:B297,B298)))</x:f>
        <x:v>0</x:v>
      </x:c>
      <x:c r="Q298" s="1" t="str">
        <x:v>Received history</x:v>
      </x:c>
      <x:c r="R298" s="1" t="str">
        <x:v>Receipts data film c400 c800 plastic.csv</x:v>
      </x:c>
      <x:c r="S298" s="12" t="n">
        <x:f>IF(O298=1,I298*J298,0)</x:f>
        <x:v>0</x:v>
      </x:c>
      <x:c r="T298" s="13" t="n">
        <x:f>IF(L298&gt;0,K298/L298,"n.a.")</x:f>
        <x:v>0.10439999999999999</x:v>
      </x:c>
      <x:c r="U298" s="12" t="n">
        <x:f>IF(Q298="Old cost",S298,0)</x:f>
        <x:v>0</x:v>
      </x:c>
      <x:c r="V298" s="12" t="n">
        <x:f>IF(Q298="Higher cost",S298,0)</x:f>
        <x:v>0</x:v>
      </x:c>
      <x:c r="W298" s="12" t="n">
        <x:f>IF(Q298="Unclassified",S298,0)</x:f>
        <x:v>0</x:v>
      </x:c>
      <x:c r="X298" s="12" t="n">
        <x:f>IF(AND(ISNUMBER(F298),F298&gt;0,F298&lt;=Summary!$D$5,H298&gt;0),H298*J298,0)</x:f>
        <x:v>80000</x:v>
      </x:c>
    </x:row>
    <x:row r="299" ht="21" customHeight="1">
      <x:c r="A299" s="1" t="str">
        <x:v>10</x:v>
      </x:c>
      <x:c r="B299" s="1" t="str">
        <x:v>800BLKE</x:v>
      </x:c>
      <x:c r="C299" s="1" t="str">
        <x:v>1054564</x:v>
      </x:c>
      <x:c r="D299" s="1" t="str">
        <x:v>3</x:v>
      </x:c>
      <x:c r="E299" s="1"/>
      <x:c r="F299" s="7" t="n">
        <x:v>44820</x:v>
      </x:c>
      <x:c r="G299" s="7" t="n">
        <x:v>44820</x:v>
      </x:c>
      <x:c r="H299" s="8" t="n">
        <x:v>4500</x:v>
      </x:c>
      <x:c r="I299" s="8"/>
      <x:c r="J299" s="8" t="n">
        <x:v>1</x:v>
      </x:c>
      <x:c r="K299" s="9" t="n">
        <x:v>760</x:v>
      </x:c>
      <x:c r="L299" s="8" t="n">
        <x:v>1000</x:v>
      </x:c>
      <x:c r="M299" s="10" t="n">
        <x:v>3577.5</x:v>
      </x:c>
      <x:c r="N299" s="8" t="str">
        <x:v>i</x:v>
      </x:c>
      <x:c r="O299" s="8" t="n">
        <x:v>0</x:v>
      </x:c>
      <x:c r="P299" s="11" t="n">
        <x:f>MIN(X299,MAX(0,SUMIFS('Current inventory'!$D$2:$D$127,'Current inventory'!$A$2:$A$127,A299,'Current inventory'!$B$2:$B$127,B299)-SUMIFS($X$2:X298,$A$2:A298,A299,$B$2:B298,B299)))</x:f>
        <x:v>0</x:v>
      </x:c>
      <x:c r="Q299" s="1" t="str">
        <x:v>Received history</x:v>
      </x:c>
      <x:c r="R299" s="1" t="str">
        <x:v>Receipts data film c400 c800 plastic.csv</x:v>
      </x:c>
      <x:c r="S299" s="12" t="n">
        <x:f>IF(O299=1,I299*J299,0)</x:f>
        <x:v>0</x:v>
      </x:c>
      <x:c r="T299" s="13" t="n">
        <x:f>IF(L299&gt;0,K299/L299,"n.a.")</x:f>
        <x:v>0.76</x:v>
      </x:c>
      <x:c r="U299" s="12" t="n">
        <x:f>IF(Q299="Old cost",S299,0)</x:f>
        <x:v>0</x:v>
      </x:c>
      <x:c r="V299" s="12" t="n">
        <x:f>IF(Q299="Higher cost",S299,0)</x:f>
        <x:v>0</x:v>
      </x:c>
      <x:c r="W299" s="12" t="n">
        <x:f>IF(Q299="Unclassified",S299,0)</x:f>
        <x:v>0</x:v>
      </x:c>
      <x:c r="X299" s="12" t="n">
        <x:f>IF(AND(ISNUMBER(F299),F299&gt;0,F299&lt;=Summary!$D$5,H299&gt;0),H299*J299,0)</x:f>
        <x:v>4500</x:v>
      </x:c>
    </x:row>
    <x:row r="300" ht="21" customHeight="1">
      <x:c r="A300" s="1" t="str">
        <x:v>10</x:v>
      </x:c>
      <x:c r="B300" s="1" t="str">
        <x:v>800MARE</x:v>
      </x:c>
      <x:c r="C300" s="1" t="str">
        <x:v>1054564</x:v>
      </x:c>
      <x:c r="D300" s="1" t="str">
        <x:v>3</x:v>
      </x:c>
      <x:c r="E300" s="1"/>
      <x:c r="F300" s="7" t="n">
        <x:v>44820</x:v>
      </x:c>
      <x:c r="G300" s="7" t="n">
        <x:v>44848</x:v>
      </x:c>
      <x:c r="H300" s="8" t="n">
        <x:v>0</x:v>
      </x:c>
      <x:c r="I300" s="8"/>
      <x:c r="J300" s="8" t="n">
        <x:v>1</x:v>
      </x:c>
      <x:c r="K300" s="9" t="n">
        <x:v>1040</x:v>
      </x:c>
      <x:c r="L300" s="8" t="n">
        <x:v>1000</x:v>
      </x:c>
      <x:c r="M300" s="10" t="n">
        <x:v>0</x:v>
      </x:c>
      <x:c r="N300" s="8" t="str">
        <x:v>i</x:v>
      </x:c>
      <x:c r="O300" s="8" t="n">
        <x:v>0</x:v>
      </x:c>
      <x:c r="P300" s="11" t="n">
        <x:f>MIN(X300,MAX(0,SUMIFS('Current inventory'!$D$2:$D$127,'Current inventory'!$A$2:$A$127,A300,'Current inventory'!$B$2:$B$127,B300)-SUMIFS($X$2:X299,$A$2:A299,A300,$B$2:B299,B300)))</x:f>
        <x:v>0</x:v>
      </x:c>
      <x:c r="Q300" s="1" t="str">
        <x:v>Received history</x:v>
      </x:c>
      <x:c r="R300" s="1" t="str">
        <x:v>Receipts data film c400 c800 plastic.csv</x:v>
      </x:c>
      <x:c r="S300" s="12" t="n">
        <x:f>IF(O300=1,I300*J300,0)</x:f>
        <x:v>0</x:v>
      </x:c>
      <x:c r="T300" s="13" t="n">
        <x:f>IF(L300&gt;0,K300/L300,"n.a.")</x:f>
        <x:v>1.04</x:v>
      </x:c>
      <x:c r="U300" s="12" t="n">
        <x:f>IF(Q300="Old cost",S300,0)</x:f>
        <x:v>0</x:v>
      </x:c>
      <x:c r="V300" s="12" t="n">
        <x:f>IF(Q300="Higher cost",S300,0)</x:f>
        <x:v>0</x:v>
      </x:c>
      <x:c r="W300" s="12" t="n">
        <x:f>IF(Q300="Unclassified",S300,0)</x:f>
        <x:v>0</x:v>
      </x:c>
      <x:c r="X300" s="12" t="n">
        <x:f>IF(AND(ISNUMBER(F300),F300&gt;0,F300&lt;=Summary!$D$5,H300&gt;0),H300*J300,0)</x:f>
        <x:v>0</x:v>
      </x:c>
    </x:row>
    <x:row r="301" ht="21" customHeight="1">
      <x:c r="A301" s="1" t="str">
        <x:v>10</x:v>
      </x:c>
      <x:c r="B301" s="1" t="str">
        <x:v>800NAVE</x:v>
      </x:c>
      <x:c r="C301" s="1" t="str">
        <x:v>1054564</x:v>
      </x:c>
      <x:c r="D301" s="1" t="str">
        <x:v>3</x:v>
      </x:c>
      <x:c r="E301" s="1"/>
      <x:c r="F301" s="7" t="n">
        <x:v>44820</x:v>
      </x:c>
      <x:c r="G301" s="7" t="n">
        <x:v>44848</x:v>
      </x:c>
      <x:c r="H301" s="8" t="n">
        <x:v>0</x:v>
      </x:c>
      <x:c r="I301" s="8"/>
      <x:c r="J301" s="8" t="n">
        <x:v>1</x:v>
      </x:c>
      <x:c r="K301" s="9" t="n">
        <x:v>990</x:v>
      </x:c>
      <x:c r="L301" s="8" t="n">
        <x:v>1000</x:v>
      </x:c>
      <x:c r="M301" s="10" t="n">
        <x:v>0</x:v>
      </x:c>
      <x:c r="N301" s="8" t="str">
        <x:v>i</x:v>
      </x:c>
      <x:c r="O301" s="8" t="n">
        <x:v>0</x:v>
      </x:c>
      <x:c r="P301" s="11" t="n">
        <x:f>MIN(X301,MAX(0,SUMIFS('Current inventory'!$D$2:$D$127,'Current inventory'!$A$2:$A$127,A301,'Current inventory'!$B$2:$B$127,B301)-SUMIFS($X$2:X300,$A$2:A300,A301,$B$2:B300,B301)))</x:f>
        <x:v>0</x:v>
      </x:c>
      <x:c r="Q301" s="1" t="str">
        <x:v>Received history</x:v>
      </x:c>
      <x:c r="R301" s="1" t="str">
        <x:v>Receipts data film c400 c800 plastic.csv</x:v>
      </x:c>
      <x:c r="S301" s="12" t="n">
        <x:f>IF(O301=1,I301*J301,0)</x:f>
        <x:v>0</x:v>
      </x:c>
      <x:c r="T301" s="13" t="n">
        <x:f>IF(L301&gt;0,K301/L301,"n.a.")</x:f>
        <x:v>0.99</x:v>
      </x:c>
      <x:c r="U301" s="12" t="n">
        <x:f>IF(Q301="Old cost",S301,0)</x:f>
        <x:v>0</x:v>
      </x:c>
      <x:c r="V301" s="12" t="n">
        <x:f>IF(Q301="Higher cost",S301,0)</x:f>
        <x:v>0</x:v>
      </x:c>
      <x:c r="W301" s="12" t="n">
        <x:f>IF(Q301="Unclassified",S301,0)</x:f>
        <x:v>0</x:v>
      </x:c>
      <x:c r="X301" s="12" t="n">
        <x:f>IF(AND(ISNUMBER(F301),F301&gt;0,F301&lt;=Summary!$D$5,H301&gt;0),H301*J301,0)</x:f>
        <x:v>0</x:v>
      </x:c>
    </x:row>
    <x:row r="302" ht="21" customHeight="1">
      <x:c r="A302" s="1" t="str">
        <x:v>10</x:v>
      </x:c>
      <x:c r="B302" s="1" t="str">
        <x:v>800BBLKDSC</x:v>
      </x:c>
      <x:c r="C302" s="1" t="str">
        <x:v>1054355</x:v>
      </x:c>
      <x:c r="D302" s="1" t="str">
        <x:v>6</x:v>
      </x:c>
      <x:c r="E302" s="1"/>
      <x:c r="F302" s="7" t="n">
        <x:v>44820</x:v>
      </x:c>
      <x:c r="G302" s="7" t="n">
        <x:v>44820</x:v>
      </x:c>
      <x:c r="H302" s="8" t="n">
        <x:v>16000</x:v>
      </x:c>
      <x:c r="I302" s="8"/>
      <x:c r="J302" s="8" t="n">
        <x:v>1</x:v>
      </x:c>
      <x:c r="K302" s="9" t="n">
        <x:v>26.15</x:v>
      </x:c>
      <x:c r="L302" s="8" t="n">
        <x:v>100</x:v>
      </x:c>
      <x:c r="M302" s="10" t="n">
        <x:v>4603.2</x:v>
      </x:c>
      <x:c r="N302" s="8" t="str">
        <x:v>i</x:v>
      </x:c>
      <x:c r="O302" s="8" t="n">
        <x:v>0</x:v>
      </x:c>
      <x:c r="P302" s="11" t="n">
        <x:f>MIN(X302,MAX(0,SUMIFS('Current inventory'!$D$2:$D$127,'Current inventory'!$A$2:$A$127,A302,'Current inventory'!$B$2:$B$127,B302)-SUMIFS($X$2:X301,$A$2:A301,A302,$B$2:B301,B302)))</x:f>
        <x:v>0</x:v>
      </x:c>
      <x:c r="Q302" s="1" t="str">
        <x:v>Received history</x:v>
      </x:c>
      <x:c r="R302" s="1" t="str">
        <x:v>Receipts data film c400 c800 plastic.csv</x:v>
      </x:c>
      <x:c r="S302" s="12" t="n">
        <x:f>IF(O302=1,I302*J302,0)</x:f>
        <x:v>0</x:v>
      </x:c>
      <x:c r="T302" s="13" t="n">
        <x:f>IF(L302&gt;0,K302/L302,"n.a.")</x:f>
        <x:v>0.2615</x:v>
      </x:c>
      <x:c r="U302" s="12" t="n">
        <x:f>IF(Q302="Old cost",S302,0)</x:f>
        <x:v>0</x:v>
      </x:c>
      <x:c r="V302" s="12" t="n">
        <x:f>IF(Q302="Higher cost",S302,0)</x:f>
        <x:v>0</x:v>
      </x:c>
      <x:c r="W302" s="12" t="n">
        <x:f>IF(Q302="Unclassified",S302,0)</x:f>
        <x:v>0</x:v>
      </x:c>
      <x:c r="X302" s="12" t="n">
        <x:f>IF(AND(ISNUMBER(F302),F302&gt;0,F302&lt;=Summary!$D$5,H302&gt;0),H302*J302,0)</x:f>
        <x:v>16000</x:v>
      </x:c>
    </x:row>
    <x:row r="303" ht="21" customHeight="1">
      <x:c r="A303" s="1" t="str">
        <x:v>10</x:v>
      </x:c>
      <x:c r="B303" s="1" t="str">
        <x:v>800BBLKDSC</x:v>
      </x:c>
      <x:c r="C303" s="1" t="str">
        <x:v>1054355</x:v>
      </x:c>
      <x:c r="D303" s="1" t="str">
        <x:v>5</x:v>
      </x:c>
      <x:c r="E303" s="1"/>
      <x:c r="F303" s="7" t="n">
        <x:v>44820</x:v>
      </x:c>
      <x:c r="G303" s="7" t="n">
        <x:v>44820</x:v>
      </x:c>
      <x:c r="H303" s="8" t="n">
        <x:v>0</x:v>
      </x:c>
      <x:c r="I303" s="8"/>
      <x:c r="J303" s="8" t="n">
        <x:v>1</x:v>
      </x:c>
      <x:c r="K303" s="9" t="n">
        <x:v>26.15</x:v>
      </x:c>
      <x:c r="L303" s="8" t="n">
        <x:v>100</x:v>
      </x:c>
      <x:c r="M303" s="10" t="n">
        <x:v>0</x:v>
      </x:c>
      <x:c r="N303" s="8" t="str">
        <x:v>i</x:v>
      </x:c>
      <x:c r="O303" s="8" t="n">
        <x:v>0</x:v>
      </x:c>
      <x:c r="P303" s="11" t="n">
        <x:f>MIN(X303,MAX(0,SUMIFS('Current inventory'!$D$2:$D$127,'Current inventory'!$A$2:$A$127,A303,'Current inventory'!$B$2:$B$127,B303)-SUMIFS($X$2:X302,$A$2:A302,A303,$B$2:B302,B303)))</x:f>
        <x:v>0</x:v>
      </x:c>
      <x:c r="Q303" s="1" t="str">
        <x:v>Received history</x:v>
      </x:c>
      <x:c r="R303" s="1" t="str">
        <x:v>Receipts data film c400 c800 plastic.csv</x:v>
      </x:c>
      <x:c r="S303" s="12" t="n">
        <x:f>IF(O303=1,I303*J303,0)</x:f>
        <x:v>0</x:v>
      </x:c>
      <x:c r="T303" s="13" t="n">
        <x:f>IF(L303&gt;0,K303/L303,"n.a.")</x:f>
        <x:v>0.2615</x:v>
      </x:c>
      <x:c r="U303" s="12" t="n">
        <x:f>IF(Q303="Old cost",S303,0)</x:f>
        <x:v>0</x:v>
      </x:c>
      <x:c r="V303" s="12" t="n">
        <x:f>IF(Q303="Higher cost",S303,0)</x:f>
        <x:v>0</x:v>
      </x:c>
      <x:c r="W303" s="12" t="n">
        <x:f>IF(Q303="Unclassified",S303,0)</x:f>
        <x:v>0</x:v>
      </x:c>
      <x:c r="X303" s="12" t="n">
        <x:f>IF(AND(ISNUMBER(F303),F303&gt;0,F303&lt;=Summary!$D$5,H303&gt;0),H303*J303,0)</x:f>
        <x:v>0</x:v>
      </x:c>
    </x:row>
    <x:row r="304" ht="21" customHeight="1">
      <x:c r="A304" s="1" t="str">
        <x:v>10</x:v>
      </x:c>
      <x:c r="B304" s="1" t="str">
        <x:v>800BBLKISC</x:v>
      </x:c>
      <x:c r="C304" s="1" t="str">
        <x:v>1054355</x:v>
      </x:c>
      <x:c r="D304" s="1" t="str">
        <x:v>5</x:v>
      </x:c>
      <x:c r="E304" s="1"/>
      <x:c r="F304" s="7" t="n">
        <x:v>44820</x:v>
      </x:c>
      <x:c r="G304" s="7" t="n">
        <x:v>44820</x:v>
      </x:c>
      <x:c r="H304" s="8" t="n">
        <x:v>50000</x:v>
      </x:c>
      <x:c r="I304" s="8"/>
      <x:c r="J304" s="8" t="n">
        <x:v>1</x:v>
      </x:c>
      <x:c r="K304" s="9" t="n">
        <x:v>13.42</x:v>
      </x:c>
      <x:c r="L304" s="8" t="n">
        <x:v>100</x:v>
      </x:c>
      <x:c r="M304" s="10" t="n">
        <x:v>7380</x:v>
      </x:c>
      <x:c r="N304" s="8" t="str">
        <x:v>i</x:v>
      </x:c>
      <x:c r="O304" s="8" t="n">
        <x:v>0</x:v>
      </x:c>
      <x:c r="P304" s="11" t="n">
        <x:f>MIN(X304,MAX(0,SUMIFS('Current inventory'!$D$2:$D$127,'Current inventory'!$A$2:$A$127,A304,'Current inventory'!$B$2:$B$127,B304)-SUMIFS($X$2:X303,$A$2:A303,A304,$B$2:B303,B304)))</x:f>
        <x:v>0</x:v>
      </x:c>
      <x:c r="Q304" s="1" t="str">
        <x:v>Received history</x:v>
      </x:c>
      <x:c r="R304" s="1" t="str">
        <x:v>Receipts data film c400 c800 plastic.csv</x:v>
      </x:c>
      <x:c r="S304" s="12" t="n">
        <x:f>IF(O304=1,I304*J304,0)</x:f>
        <x:v>0</x:v>
      </x:c>
      <x:c r="T304" s="13" t="n">
        <x:f>IF(L304&gt;0,K304/L304,"n.a.")</x:f>
        <x:v>0.13419999999999999</x:v>
      </x:c>
      <x:c r="U304" s="12" t="n">
        <x:f>IF(Q304="Old cost",S304,0)</x:f>
        <x:v>0</x:v>
      </x:c>
      <x:c r="V304" s="12" t="n">
        <x:f>IF(Q304="Higher cost",S304,0)</x:f>
        <x:v>0</x:v>
      </x:c>
      <x:c r="W304" s="12" t="n">
        <x:f>IF(Q304="Unclassified",S304,0)</x:f>
        <x:v>0</x:v>
      </x:c>
      <x:c r="X304" s="12" t="n">
        <x:f>IF(AND(ISNUMBER(F304),F304&gt;0,F304&lt;=Summary!$D$5,H304&gt;0),H304*J304,0)</x:f>
        <x:v>50000</x:v>
      </x:c>
    </x:row>
    <x:row r="305" ht="21" customHeight="1">
      <x:c r="A305" s="1" t="str">
        <x:v>10</x:v>
      </x:c>
      <x:c r="B305" s="1" t="str">
        <x:v>800BBLKDSC</x:v>
      </x:c>
      <x:c r="C305" s="1" t="str">
        <x:v>1054353</x:v>
      </x:c>
      <x:c r="D305" s="1" t="str">
        <x:v>3</x:v>
      </x:c>
      <x:c r="E305" s="1"/>
      <x:c r="F305" s="7" t="n">
        <x:v>44820</x:v>
      </x:c>
      <x:c r="G305" s="7" t="n">
        <x:v>44820</x:v>
      </x:c>
      <x:c r="H305" s="8" t="n">
        <x:v>4000</x:v>
      </x:c>
      <x:c r="I305" s="8"/>
      <x:c r="J305" s="8" t="n">
        <x:v>1</x:v>
      </x:c>
      <x:c r="K305" s="9" t="n">
        <x:v>26.15</x:v>
      </x:c>
      <x:c r="L305" s="8" t="n">
        <x:v>100</x:v>
      </x:c>
      <x:c r="M305" s="10" t="n">
        <x:v>1150.8</x:v>
      </x:c>
      <x:c r="N305" s="8" t="str">
        <x:v>i</x:v>
      </x:c>
      <x:c r="O305" s="8" t="n">
        <x:v>0</x:v>
      </x:c>
      <x:c r="P305" s="11" t="n">
        <x:f>MIN(X305,MAX(0,SUMIFS('Current inventory'!$D$2:$D$127,'Current inventory'!$A$2:$A$127,A305,'Current inventory'!$B$2:$B$127,B305)-SUMIFS($X$2:X304,$A$2:A304,A305,$B$2:B304,B305)))</x:f>
        <x:v>0</x:v>
      </x:c>
      <x:c r="Q305" s="1" t="str">
        <x:v>Received history</x:v>
      </x:c>
      <x:c r="R305" s="1" t="str">
        <x:v>Receipts data film c400 c800 plastic.csv</x:v>
      </x:c>
      <x:c r="S305" s="12" t="n">
        <x:f>IF(O305=1,I305*J305,0)</x:f>
        <x:v>0</x:v>
      </x:c>
      <x:c r="T305" s="13" t="n">
        <x:f>IF(L305&gt;0,K305/L305,"n.a.")</x:f>
        <x:v>0.2615</x:v>
      </x:c>
      <x:c r="U305" s="12" t="n">
        <x:f>IF(Q305="Old cost",S305,0)</x:f>
        <x:v>0</x:v>
      </x:c>
      <x:c r="V305" s="12" t="n">
        <x:f>IF(Q305="Higher cost",S305,0)</x:f>
        <x:v>0</x:v>
      </x:c>
      <x:c r="W305" s="12" t="n">
        <x:f>IF(Q305="Unclassified",S305,0)</x:f>
        <x:v>0</x:v>
      </x:c>
      <x:c r="X305" s="12" t="n">
        <x:f>IF(AND(ISNUMBER(F305),F305&gt;0,F305&lt;=Summary!$D$5,H305&gt;0),H305*J305,0)</x:f>
        <x:v>4000</x:v>
      </x:c>
    </x:row>
    <x:row r="306" ht="21" customHeight="1">
      <x:c r="A306" s="1" t="str">
        <x:v>10</x:v>
      </x:c>
      <x:c r="B306" s="1" t="str">
        <x:v>800MARE</x:v>
      </x:c>
      <x:c r="C306" s="1" t="str">
        <x:v>1054353</x:v>
      </x:c>
      <x:c r="D306" s="1" t="str">
        <x:v>3</x:v>
      </x:c>
      <x:c r="E306" s="1"/>
      <x:c r="F306" s="7" t="n">
        <x:v>44820</x:v>
      </x:c>
      <x:c r="G306" s="7" t="n">
        <x:v>44848</x:v>
      </x:c>
      <x:c r="H306" s="8" t="n">
        <x:v>0</x:v>
      </x:c>
      <x:c r="I306" s="8"/>
      <x:c r="J306" s="8" t="n">
        <x:v>1</x:v>
      </x:c>
      <x:c r="K306" s="9" t="n">
        <x:v>980</x:v>
      </x:c>
      <x:c r="L306" s="8" t="n">
        <x:v>1000</x:v>
      </x:c>
      <x:c r="M306" s="10" t="n">
        <x:v>0</x:v>
      </x:c>
      <x:c r="N306" s="8" t="str">
        <x:v>i</x:v>
      </x:c>
      <x:c r="O306" s="8" t="n">
        <x:v>0</x:v>
      </x:c>
      <x:c r="P306" s="11" t="n">
        <x:f>MIN(X306,MAX(0,SUMIFS('Current inventory'!$D$2:$D$127,'Current inventory'!$A$2:$A$127,A306,'Current inventory'!$B$2:$B$127,B306)-SUMIFS($X$2:X305,$A$2:A305,A306,$B$2:B305,B306)))</x:f>
        <x:v>0</x:v>
      </x:c>
      <x:c r="Q306" s="1" t="str">
        <x:v>Received history</x:v>
      </x:c>
      <x:c r="R306" s="1" t="str">
        <x:v>Receipts data film c400 c800 plastic.csv</x:v>
      </x:c>
      <x:c r="S306" s="12" t="n">
        <x:f>IF(O306=1,I306*J306,0)</x:f>
        <x:v>0</x:v>
      </x:c>
      <x:c r="T306" s="13" t="n">
        <x:f>IF(L306&gt;0,K306/L306,"n.a.")</x:f>
        <x:v>0.98</x:v>
      </x:c>
      <x:c r="U306" s="12" t="n">
        <x:f>IF(Q306="Old cost",S306,0)</x:f>
        <x:v>0</x:v>
      </x:c>
      <x:c r="V306" s="12" t="n">
        <x:f>IF(Q306="Higher cost",S306,0)</x:f>
        <x:v>0</x:v>
      </x:c>
      <x:c r="W306" s="12" t="n">
        <x:f>IF(Q306="Unclassified",S306,0)</x:f>
        <x:v>0</x:v>
      </x:c>
      <x:c r="X306" s="12" t="n">
        <x:f>IF(AND(ISNUMBER(F306),F306&gt;0,F306&lt;=Summary!$D$5,H306&gt;0),H306*J306,0)</x:f>
        <x:v>0</x:v>
      </x:c>
    </x:row>
    <x:row r="307" ht="21" customHeight="1">
      <x:c r="A307" s="1" t="str">
        <x:v>60</x:v>
      </x:c>
      <x:c r="B307" s="1" t="str">
        <x:v>800BBLKASC</x:v>
      </x:c>
      <x:c r="C307" s="1" t="str">
        <x:v>6102652</x:v>
      </x:c>
      <x:c r="D307" s="1" t="str">
        <x:v>0</x:v>
      </x:c>
      <x:c r="E307" s="1"/>
      <x:c r="F307" s="7" t="n">
        <x:v>44817</x:v>
      </x:c>
      <x:c r="G307" s="7" t="n">
        <x:v>44817</x:v>
      </x:c>
      <x:c r="H307" s="8" t="n">
        <x:v>120000</x:v>
      </x:c>
      <x:c r="I307" s="8"/>
      <x:c r="J307" s="8" t="n">
        <x:v>1</x:v>
      </x:c>
      <x:c r="K307" s="9" t="n">
        <x:v>10.96</x:v>
      </x:c>
      <x:c r="L307" s="8" t="n">
        <x:v>100</x:v>
      </x:c>
      <x:c r="M307" s="10" t="n">
        <x:v>13788</x:v>
      </x:c>
      <x:c r="N307" s="8" t="str">
        <x:v>i</x:v>
      </x:c>
      <x:c r="O307" s="8" t="n">
        <x:v>0</x:v>
      </x:c>
      <x:c r="P307" s="11" t="n">
        <x:f>MIN(X307,MAX(0,SUMIFS('Current inventory'!$D$2:$D$127,'Current inventory'!$A$2:$A$127,A307,'Current inventory'!$B$2:$B$127,B307)-SUMIFS($X$2:X306,$A$2:A306,A307,$B$2:B306,B307)))</x:f>
        <x:v>0</x:v>
      </x:c>
      <x:c r="Q307" s="1" t="str">
        <x:v>Received history</x:v>
      </x:c>
      <x:c r="R307" s="1" t="str">
        <x:v>Receipts data film c400 c800 plastic.csv</x:v>
      </x:c>
      <x:c r="S307" s="12" t="n">
        <x:f>IF(O307=1,I307*J307,0)</x:f>
        <x:v>0</x:v>
      </x:c>
      <x:c r="T307" s="13" t="n">
        <x:f>IF(L307&gt;0,K307/L307,"n.a.")</x:f>
        <x:v>0.1096</x:v>
      </x:c>
      <x:c r="U307" s="12" t="n">
        <x:f>IF(Q307="Old cost",S307,0)</x:f>
        <x:v>0</x:v>
      </x:c>
      <x:c r="V307" s="12" t="n">
        <x:f>IF(Q307="Higher cost",S307,0)</x:f>
        <x:v>0</x:v>
      </x:c>
      <x:c r="W307" s="12" t="n">
        <x:f>IF(Q307="Unclassified",S307,0)</x:f>
        <x:v>0</x:v>
      </x:c>
      <x:c r="X307" s="12" t="n">
        <x:f>IF(AND(ISNUMBER(F307),F307&gt;0,F307&lt;=Summary!$D$5,H307&gt;0),H307*J307,0)</x:f>
        <x:v>120000</x:v>
      </x:c>
    </x:row>
    <x:row r="308" ht="21" customHeight="1">
      <x:c r="A308" s="1" t="str">
        <x:v>60</x:v>
      </x:c>
      <x:c r="B308" s="1" t="str">
        <x:v>800BBLKDSC</x:v>
      </x:c>
      <x:c r="C308" s="1" t="str">
        <x:v>6102652</x:v>
      </x:c>
      <x:c r="D308" s="1" t="str">
        <x:v>0</x:v>
      </x:c>
      <x:c r="E308" s="1"/>
      <x:c r="F308" s="7" t="n">
        <x:v>44817</x:v>
      </x:c>
      <x:c r="G308" s="7" t="n">
        <x:v>44855</x:v>
      </x:c>
      <x:c r="H308" s="8" t="n">
        <x:v>0</x:v>
      </x:c>
      <x:c r="I308" s="8"/>
      <x:c r="J308" s="8" t="n">
        <x:v>1</x:v>
      </x:c>
      <x:c r="K308" s="9" t="n">
        <x:v>29.14</x:v>
      </x:c>
      <x:c r="L308" s="8" t="n">
        <x:v>100</x:v>
      </x:c>
      <x:c r="M308" s="10" t="n">
        <x:v>0</x:v>
      </x:c>
      <x:c r="N308" s="8" t="str">
        <x:v>i</x:v>
      </x:c>
      <x:c r="O308" s="8" t="n">
        <x:v>0</x:v>
      </x:c>
      <x:c r="P308" s="11" t="n">
        <x:f>MIN(X308,MAX(0,SUMIFS('Current inventory'!$D$2:$D$127,'Current inventory'!$A$2:$A$127,A308,'Current inventory'!$B$2:$B$127,B308)-SUMIFS($X$2:X307,$A$2:A307,A308,$B$2:B307,B308)))</x:f>
        <x:v>0</x:v>
      </x:c>
      <x:c r="Q308" s="1" t="str">
        <x:v>Received history</x:v>
      </x:c>
      <x:c r="R308" s="1" t="str">
        <x:v>Receipts data film c400 c800 plastic.csv</x:v>
      </x:c>
      <x:c r="S308" s="12" t="n">
        <x:f>IF(O308=1,I308*J308,0)</x:f>
        <x:v>0</x:v>
      </x:c>
      <x:c r="T308" s="13" t="n">
        <x:f>IF(L308&gt;0,K308/L308,"n.a.")</x:f>
        <x:v>0.2914</x:v>
      </x:c>
      <x:c r="U308" s="12" t="n">
        <x:f>IF(Q308="Old cost",S308,0)</x:f>
        <x:v>0</x:v>
      </x:c>
      <x:c r="V308" s="12" t="n">
        <x:f>IF(Q308="Higher cost",S308,0)</x:f>
        <x:v>0</x:v>
      </x:c>
      <x:c r="W308" s="12" t="n">
        <x:f>IF(Q308="Unclassified",S308,0)</x:f>
        <x:v>0</x:v>
      </x:c>
      <x:c r="X308" s="12" t="n">
        <x:f>IF(AND(ISNUMBER(F308),F308&gt;0,F308&lt;=Summary!$D$5,H308&gt;0),H308*J308,0)</x:f>
        <x:v>0</x:v>
      </x:c>
    </x:row>
    <x:row r="309" ht="21" customHeight="1">
      <x:c r="A309" s="1" t="str">
        <x:v>60</x:v>
      </x:c>
      <x:c r="B309" s="1" t="str">
        <x:v>800BBLKISC</x:v>
      </x:c>
      <x:c r="C309" s="1" t="str">
        <x:v>6102652</x:v>
      </x:c>
      <x:c r="D309" s="1" t="str">
        <x:v>0</x:v>
      </x:c>
      <x:c r="E309" s="1"/>
      <x:c r="F309" s="7" t="n">
        <x:v>44817</x:v>
      </x:c>
      <x:c r="G309" s="7" t="n">
        <x:v>44817</x:v>
      </x:c>
      <x:c r="H309" s="8" t="n">
        <x:v>20000</x:v>
      </x:c>
      <x:c r="I309" s="8"/>
      <x:c r="J309" s="8" t="n">
        <x:v>1</x:v>
      </x:c>
      <x:c r="K309" s="9" t="n">
        <x:v>14.97</x:v>
      </x:c>
      <x:c r="L309" s="8" t="n">
        <x:v>100</x:v>
      </x:c>
      <x:c r="M309" s="10" t="n">
        <x:v>2952</x:v>
      </x:c>
      <x:c r="N309" s="8" t="str">
        <x:v>i</x:v>
      </x:c>
      <x:c r="O309" s="8" t="n">
        <x:v>0</x:v>
      </x:c>
      <x:c r="P309" s="11" t="n">
        <x:f>MIN(X309,MAX(0,SUMIFS('Current inventory'!$D$2:$D$127,'Current inventory'!$A$2:$A$127,A309,'Current inventory'!$B$2:$B$127,B309)-SUMIFS($X$2:X308,$A$2:A308,A309,$B$2:B308,B309)))</x:f>
        <x:v>0</x:v>
      </x:c>
      <x:c r="Q309" s="1" t="str">
        <x:v>Received history</x:v>
      </x:c>
      <x:c r="R309" s="1" t="str">
        <x:v>Receipts data film c400 c800 plastic.csv</x:v>
      </x:c>
      <x:c r="S309" s="12" t="n">
        <x:f>IF(O309=1,I309*J309,0)</x:f>
        <x:v>0</x:v>
      </x:c>
      <x:c r="T309" s="13" t="n">
        <x:f>IF(L309&gt;0,K309/L309,"n.a.")</x:f>
        <x:v>0.1497</x:v>
      </x:c>
      <x:c r="U309" s="12" t="n">
        <x:f>IF(Q309="Old cost",S309,0)</x:f>
        <x:v>0</x:v>
      </x:c>
      <x:c r="V309" s="12" t="n">
        <x:f>IF(Q309="Higher cost",S309,0)</x:f>
        <x:v>0</x:v>
      </x:c>
      <x:c r="W309" s="12" t="n">
        <x:f>IF(Q309="Unclassified",S309,0)</x:f>
        <x:v>0</x:v>
      </x:c>
      <x:c r="X309" s="12" t="n">
        <x:f>IF(AND(ISNUMBER(F309),F309&gt;0,F309&lt;=Summary!$D$5,H309&gt;0),H309*J309,0)</x:f>
        <x:v>20000</x:v>
      </x:c>
    </x:row>
    <x:row r="310" ht="21" customHeight="1">
      <x:c r="A310" s="1" t="str">
        <x:v>60</x:v>
      </x:c>
      <x:c r="B310" s="1" t="str">
        <x:v>800BLKE</x:v>
      </x:c>
      <x:c r="C310" s="1" t="str">
        <x:v>6102652</x:v>
      </x:c>
      <x:c r="D310" s="1" t="str">
        <x:v>0</x:v>
      </x:c>
      <x:c r="E310" s="1"/>
      <x:c r="F310" s="7" t="n">
        <x:v>44817</x:v>
      </x:c>
      <x:c r="G310" s="7" t="n">
        <x:v>44855</x:v>
      </x:c>
      <x:c r="H310" s="8" t="n">
        <x:v>0</x:v>
      </x:c>
      <x:c r="I310" s="8"/>
      <x:c r="J310" s="8" t="n">
        <x:v>1</x:v>
      </x:c>
      <x:c r="K310" s="9" t="n">
        <x:v>750</x:v>
      </x:c>
      <x:c r="L310" s="8" t="n">
        <x:v>1000</x:v>
      </x:c>
      <x:c r="M310" s="10" t="n">
        <x:v>0</x:v>
      </x:c>
      <x:c r="N310" s="8" t="str">
        <x:v>i</x:v>
      </x:c>
      <x:c r="O310" s="8" t="n">
        <x:v>0</x:v>
      </x:c>
      <x:c r="P310" s="11" t="n">
        <x:f>MIN(X310,MAX(0,SUMIFS('Current inventory'!$D$2:$D$127,'Current inventory'!$A$2:$A$127,A310,'Current inventory'!$B$2:$B$127,B310)-SUMIFS($X$2:X309,$A$2:A309,A310,$B$2:B309,B310)))</x:f>
        <x:v>0</x:v>
      </x:c>
      <x:c r="Q310" s="1" t="str">
        <x:v>Received history</x:v>
      </x:c>
      <x:c r="R310" s="1" t="str">
        <x:v>Receipts data film c400 c800 plastic.csv</x:v>
      </x:c>
      <x:c r="S310" s="12" t="n">
        <x:f>IF(O310=1,I310*J310,0)</x:f>
        <x:v>0</x:v>
      </x:c>
      <x:c r="T310" s="13" t="n">
        <x:f>IF(L310&gt;0,K310/L310,"n.a.")</x:f>
        <x:v>0.75</x:v>
      </x:c>
      <x:c r="U310" s="12" t="n">
        <x:f>IF(Q310="Old cost",S310,0)</x:f>
        <x:v>0</x:v>
      </x:c>
      <x:c r="V310" s="12" t="n">
        <x:f>IF(Q310="Higher cost",S310,0)</x:f>
        <x:v>0</x:v>
      </x:c>
      <x:c r="W310" s="12" t="n">
        <x:f>IF(Q310="Unclassified",S310,0)</x:f>
        <x:v>0</x:v>
      </x:c>
      <x:c r="X310" s="12" t="n">
        <x:f>IF(AND(ISNUMBER(F310),F310&gt;0,F310&lt;=Summary!$D$5,H310&gt;0),H310*J310,0)</x:f>
        <x:v>0</x:v>
      </x:c>
    </x:row>
    <x:row r="311" ht="21" customHeight="1">
      <x:c r="A311" s="1" t="str">
        <x:v>60</x:v>
      </x:c>
      <x:c r="B311" s="1" t="str">
        <x:v>800BMARASC</x:v>
      </x:c>
      <x:c r="C311" s="1" t="str">
        <x:v>6102652</x:v>
      </x:c>
      <x:c r="D311" s="1" t="str">
        <x:v>0</x:v>
      </x:c>
      <x:c r="E311" s="1"/>
      <x:c r="F311" s="7" t="n">
        <x:v>44817</x:v>
      </x:c>
      <x:c r="G311" s="7" t="n">
        <x:v>44855</x:v>
      </x:c>
      <x:c r="H311" s="8" t="n">
        <x:v>0</x:v>
      </x:c>
      <x:c r="I311" s="8"/>
      <x:c r="J311" s="8" t="n">
        <x:v>1</x:v>
      </x:c>
      <x:c r="K311" s="9" t="n">
        <x:v>13.84</x:v>
      </x:c>
      <x:c r="L311" s="8" t="n">
        <x:v>100</x:v>
      </x:c>
      <x:c r="M311" s="10" t="n">
        <x:v>0</x:v>
      </x:c>
      <x:c r="N311" s="8" t="str">
        <x:v>i</x:v>
      </x:c>
      <x:c r="O311" s="8" t="n">
        <x:v>0</x:v>
      </x:c>
      <x:c r="P311" s="11" t="n">
        <x:f>MIN(X311,MAX(0,SUMIFS('Current inventory'!$D$2:$D$127,'Current inventory'!$A$2:$A$127,A311,'Current inventory'!$B$2:$B$127,B311)-SUMIFS($X$2:X310,$A$2:A310,A311,$B$2:B310,B311)))</x:f>
        <x:v>0</x:v>
      </x:c>
      <x:c r="Q311" s="1" t="str">
        <x:v>Received history</x:v>
      </x:c>
      <x:c r="R311" s="1" t="str">
        <x:v>Receipts data film c400 c800 plastic.csv</x:v>
      </x:c>
      <x:c r="S311" s="12" t="n">
        <x:f>IF(O311=1,I311*J311,0)</x:f>
        <x:v>0</x:v>
      </x:c>
      <x:c r="T311" s="13" t="n">
        <x:f>IF(L311&gt;0,K311/L311,"n.a.")</x:f>
        <x:v>0.1384</x:v>
      </x:c>
      <x:c r="U311" s="12" t="n">
        <x:f>IF(Q311="Old cost",S311,0)</x:f>
        <x:v>0</x:v>
      </x:c>
      <x:c r="V311" s="12" t="n">
        <x:f>IF(Q311="Higher cost",S311,0)</x:f>
        <x:v>0</x:v>
      </x:c>
      <x:c r="W311" s="12" t="n">
        <x:f>IF(Q311="Unclassified",S311,0)</x:f>
        <x:v>0</x:v>
      </x:c>
      <x:c r="X311" s="12" t="n">
        <x:f>IF(AND(ISNUMBER(F311),F311&gt;0,F311&lt;=Summary!$D$5,H311&gt;0),H311*J311,0)</x:f>
        <x:v>0</x:v>
      </x:c>
    </x:row>
    <x:row r="312" ht="21" customHeight="1">
      <x:c r="A312" s="1" t="str">
        <x:v>60</x:v>
      </x:c>
      <x:c r="B312" s="1" t="str">
        <x:v>800BNAVASC</x:v>
      </x:c>
      <x:c r="C312" s="1" t="str">
        <x:v>6102652</x:v>
      </x:c>
      <x:c r="D312" s="1" t="str">
        <x:v>0</x:v>
      </x:c>
      <x:c r="E312" s="1"/>
      <x:c r="F312" s="7" t="n">
        <x:v>44817</x:v>
      </x:c>
      <x:c r="G312" s="7" t="n">
        <x:v>44855</x:v>
      </x:c>
      <x:c r="H312" s="8" t="n">
        <x:v>0</x:v>
      </x:c>
      <x:c r="I312" s="8"/>
      <x:c r="J312" s="8" t="n">
        <x:v>1</x:v>
      </x:c>
      <x:c r="K312" s="9" t="n">
        <x:v>13.1</x:v>
      </x:c>
      <x:c r="L312" s="8" t="n">
        <x:v>100</x:v>
      </x:c>
      <x:c r="M312" s="10" t="n">
        <x:v>0</x:v>
      </x:c>
      <x:c r="N312" s="8" t="str">
        <x:v>i</x:v>
      </x:c>
      <x:c r="O312" s="8" t="n">
        <x:v>0</x:v>
      </x:c>
      <x:c r="P312" s="11" t="n">
        <x:f>MIN(X312,MAX(0,SUMIFS('Current inventory'!$D$2:$D$127,'Current inventory'!$A$2:$A$127,A312,'Current inventory'!$B$2:$B$127,B312)-SUMIFS($X$2:X311,$A$2:A311,A312,$B$2:B311,B312)))</x:f>
        <x:v>0</x:v>
      </x:c>
      <x:c r="Q312" s="1" t="str">
        <x:v>Received history</x:v>
      </x:c>
      <x:c r="R312" s="1" t="str">
        <x:v>Receipts data film c400 c800 plastic.csv</x:v>
      </x:c>
      <x:c r="S312" s="12" t="n">
        <x:f>IF(O312=1,I312*J312,0)</x:f>
        <x:v>0</x:v>
      </x:c>
      <x:c r="T312" s="13" t="n">
        <x:f>IF(L312&gt;0,K312/L312,"n.a.")</x:f>
        <x:v>0.131</x:v>
      </x:c>
      <x:c r="U312" s="12" t="n">
        <x:f>IF(Q312="Old cost",S312,0)</x:f>
        <x:v>0</x:v>
      </x:c>
      <x:c r="V312" s="12" t="n">
        <x:f>IF(Q312="Higher cost",S312,0)</x:f>
        <x:v>0</x:v>
      </x:c>
      <x:c r="W312" s="12" t="n">
        <x:f>IF(Q312="Unclassified",S312,0)</x:f>
        <x:v>0</x:v>
      </x:c>
      <x:c r="X312" s="12" t="n">
        <x:f>IF(AND(ISNUMBER(F312),F312&gt;0,F312&lt;=Summary!$D$5,H312&gt;0),H312*J312,0)</x:f>
        <x:v>0</x:v>
      </x:c>
    </x:row>
    <x:row r="313" ht="21" customHeight="1">
      <x:c r="A313" s="1" t="str">
        <x:v>60</x:v>
      </x:c>
      <x:c r="B313" s="1" t="str">
        <x:v>800NAVE</x:v>
      </x:c>
      <x:c r="C313" s="1" t="str">
        <x:v>6102652</x:v>
      </x:c>
      <x:c r="D313" s="1" t="str">
        <x:v>0</x:v>
      </x:c>
      <x:c r="E313" s="1"/>
      <x:c r="F313" s="7" t="n">
        <x:v>44817</x:v>
      </x:c>
      <x:c r="G313" s="7" t="n">
        <x:v>44855</x:v>
      </x:c>
      <x:c r="H313" s="8" t="n">
        <x:v>0</x:v>
      </x:c>
      <x:c r="I313" s="8"/>
      <x:c r="J313" s="8" t="n">
        <x:v>1</x:v>
      </x:c>
      <x:c r="K313" s="9" t="n">
        <x:v>930</x:v>
      </x:c>
      <x:c r="L313" s="8" t="n">
        <x:v>1000</x:v>
      </x:c>
      <x:c r="M313" s="10" t="n">
        <x:v>0</x:v>
      </x:c>
      <x:c r="N313" s="8" t="str">
        <x:v>i</x:v>
      </x:c>
      <x:c r="O313" s="8" t="n">
        <x:v>0</x:v>
      </x:c>
      <x:c r="P313" s="11" t="n">
        <x:f>MIN(X313,MAX(0,SUMIFS('Current inventory'!$D$2:$D$127,'Current inventory'!$A$2:$A$127,A313,'Current inventory'!$B$2:$B$127,B313)-SUMIFS($X$2:X312,$A$2:A312,A313,$B$2:B312,B313)))</x:f>
        <x:v>0</x:v>
      </x:c>
      <x:c r="Q313" s="1" t="str">
        <x:v>Received history</x:v>
      </x:c>
      <x:c r="R313" s="1" t="str">
        <x:v>Receipts data film c400 c800 plastic.csv</x:v>
      </x:c>
      <x:c r="S313" s="12" t="n">
        <x:f>IF(O313=1,I313*J313,0)</x:f>
        <x:v>0</x:v>
      </x:c>
      <x:c r="T313" s="13" t="n">
        <x:f>IF(L313&gt;0,K313/L313,"n.a.")</x:f>
        <x:v>0.93</x:v>
      </x:c>
      <x:c r="U313" s="12" t="n">
        <x:f>IF(Q313="Old cost",S313,0)</x:f>
        <x:v>0</x:v>
      </x:c>
      <x:c r="V313" s="12" t="n">
        <x:f>IF(Q313="Higher cost",S313,0)</x:f>
        <x:v>0</x:v>
      </x:c>
      <x:c r="W313" s="12" t="n">
        <x:f>IF(Q313="Unclassified",S313,0)</x:f>
        <x:v>0</x:v>
      </x:c>
      <x:c r="X313" s="12" t="n">
        <x:f>IF(AND(ISNUMBER(F313),F313&gt;0,F313&lt;=Summary!$D$5,H313&gt;0),H313*J313,0)</x:f>
        <x:v>0</x:v>
      </x:c>
    </x:row>
    <x:row r="314" ht="21" customHeight="1">
      <x:c r="A314" s="1" t="str">
        <x:v>60</x:v>
      </x:c>
      <x:c r="B314" s="1" t="str">
        <x:v>800BBLKASC</x:v>
      </x:c>
      <x:c r="C314" s="1" t="str">
        <x:v>6102638</x:v>
      </x:c>
      <x:c r="D314" s="1" t="str">
        <x:v>3</x:v>
      </x:c>
      <x:c r="E314" s="1"/>
      <x:c r="F314" s="7" t="n">
        <x:v>44817</x:v>
      </x:c>
      <x:c r="G314" s="7" t="n">
        <x:v>44817</x:v>
      </x:c>
      <x:c r="H314" s="8" t="n">
        <x:v>40000</x:v>
      </x:c>
      <x:c r="I314" s="8"/>
      <x:c r="J314" s="8" t="n">
        <x:v>1</x:v>
      </x:c>
      <x:c r="K314" s="9" t="n">
        <x:v>10.44</x:v>
      </x:c>
      <x:c r="L314" s="8" t="n">
        <x:v>100</x:v>
      </x:c>
      <x:c r="M314" s="10" t="n">
        <x:v>4596</x:v>
      </x:c>
      <x:c r="N314" s="8" t="str">
        <x:v>i</x:v>
      </x:c>
      <x:c r="O314" s="8" t="n">
        <x:v>0</x:v>
      </x:c>
      <x:c r="P314" s="11" t="n">
        <x:f>MIN(X314,MAX(0,SUMIFS('Current inventory'!$D$2:$D$127,'Current inventory'!$A$2:$A$127,A314,'Current inventory'!$B$2:$B$127,B314)-SUMIFS($X$2:X313,$A$2:A313,A314,$B$2:B313,B314)))</x:f>
        <x:v>0</x:v>
      </x:c>
      <x:c r="Q314" s="1" t="str">
        <x:v>Received history</x:v>
      </x:c>
      <x:c r="R314" s="1" t="str">
        <x:v>Receipts data film c400 c800 plastic.csv</x:v>
      </x:c>
      <x:c r="S314" s="12" t="n">
        <x:f>IF(O314=1,I314*J314,0)</x:f>
        <x:v>0</x:v>
      </x:c>
      <x:c r="T314" s="13" t="n">
        <x:f>IF(L314&gt;0,K314/L314,"n.a.")</x:f>
        <x:v>0.10439999999999999</x:v>
      </x:c>
      <x:c r="U314" s="12" t="n">
        <x:f>IF(Q314="Old cost",S314,0)</x:f>
        <x:v>0</x:v>
      </x:c>
      <x:c r="V314" s="12" t="n">
        <x:f>IF(Q314="Higher cost",S314,0)</x:f>
        <x:v>0</x:v>
      </x:c>
      <x:c r="W314" s="12" t="n">
        <x:f>IF(Q314="Unclassified",S314,0)</x:f>
        <x:v>0</x:v>
      </x:c>
      <x:c r="X314" s="12" t="n">
        <x:f>IF(AND(ISNUMBER(F314),F314&gt;0,F314&lt;=Summary!$D$5,H314&gt;0),H314*J314,0)</x:f>
        <x:v>40000</x:v>
      </x:c>
    </x:row>
    <x:row r="315" ht="21" customHeight="1">
      <x:c r="A315" s="1" t="str">
        <x:v>60</x:v>
      </x:c>
      <x:c r="B315" s="1" t="str">
        <x:v>800BLKE</x:v>
      </x:c>
      <x:c r="C315" s="1" t="str">
        <x:v>6102638</x:v>
      </x:c>
      <x:c r="D315" s="1" t="str">
        <x:v>3</x:v>
      </x:c>
      <x:c r="E315" s="1"/>
      <x:c r="F315" s="7" t="n">
        <x:v>44817</x:v>
      </x:c>
      <x:c r="G315" s="7" t="n">
        <x:v>44817</x:v>
      </x:c>
      <x:c r="H315" s="8" t="n">
        <x:v>3090</x:v>
      </x:c>
      <x:c r="I315" s="8"/>
      <x:c r="J315" s="8" t="n">
        <x:v>1</x:v>
      </x:c>
      <x:c r="K315" s="9" t="n">
        <x:v>760</x:v>
      </x:c>
      <x:c r="L315" s="8" t="n">
        <x:v>1000</x:v>
      </x:c>
      <x:c r="M315" s="10" t="n">
        <x:v>2456.55</x:v>
      </x:c>
      <x:c r="N315" s="8" t="str">
        <x:v>i</x:v>
      </x:c>
      <x:c r="O315" s="8" t="n">
        <x:v>0</x:v>
      </x:c>
      <x:c r="P315" s="11" t="n">
        <x:f>MIN(X315,MAX(0,SUMIFS('Current inventory'!$D$2:$D$127,'Current inventory'!$A$2:$A$127,A315,'Current inventory'!$B$2:$B$127,B315)-SUMIFS($X$2:X314,$A$2:A314,A315,$B$2:B314,B315)))</x:f>
        <x:v>0</x:v>
      </x:c>
      <x:c r="Q315" s="1" t="str">
        <x:v>Received history</x:v>
      </x:c>
      <x:c r="R315" s="1" t="str">
        <x:v>Receipts data film c400 c800 plastic.csv</x:v>
      </x:c>
      <x:c r="S315" s="12" t="n">
        <x:f>IF(O315=1,I315*J315,0)</x:f>
        <x:v>0</x:v>
      </x:c>
      <x:c r="T315" s="13" t="n">
        <x:f>IF(L315&gt;0,K315/L315,"n.a.")</x:f>
        <x:v>0.76</x:v>
      </x:c>
      <x:c r="U315" s="12" t="n">
        <x:f>IF(Q315="Old cost",S315,0)</x:f>
        <x:v>0</x:v>
      </x:c>
      <x:c r="V315" s="12" t="n">
        <x:f>IF(Q315="Higher cost",S315,0)</x:f>
        <x:v>0</x:v>
      </x:c>
      <x:c r="W315" s="12" t="n">
        <x:f>IF(Q315="Unclassified",S315,0)</x:f>
        <x:v>0</x:v>
      </x:c>
      <x:c r="X315" s="12" t="n">
        <x:f>IF(AND(ISNUMBER(F315),F315&gt;0,F315&lt;=Summary!$D$5,H315&gt;0),H315*J315,0)</x:f>
        <x:v>3090</x:v>
      </x:c>
    </x:row>
    <x:row r="316" ht="21" customHeight="1">
      <x:c r="A316" s="1" t="str">
        <x:v>60</x:v>
      </x:c>
      <x:c r="B316" s="1" t="str">
        <x:v>800MARE</x:v>
      </x:c>
      <x:c r="C316" s="1" t="str">
        <x:v>6102638</x:v>
      </x:c>
      <x:c r="D316" s="1" t="str">
        <x:v>3</x:v>
      </x:c>
      <x:c r="E316" s="1"/>
      <x:c r="F316" s="7" t="n">
        <x:v>44817</x:v>
      </x:c>
      <x:c r="G316" s="7" t="n">
        <x:v>44848</x:v>
      </x:c>
      <x:c r="H316" s="8" t="n">
        <x:v>0</x:v>
      </x:c>
      <x:c r="I316" s="8"/>
      <x:c r="J316" s="8" t="n">
        <x:v>1</x:v>
      </x:c>
      <x:c r="K316" s="9" t="n">
        <x:v>1040</x:v>
      </x:c>
      <x:c r="L316" s="8" t="n">
        <x:v>1000</x:v>
      </x:c>
      <x:c r="M316" s="10" t="n">
        <x:v>0</x:v>
      </x:c>
      <x:c r="N316" s="8" t="str">
        <x:v>i</x:v>
      </x:c>
      <x:c r="O316" s="8" t="n">
        <x:v>0</x:v>
      </x:c>
      <x:c r="P316" s="11" t="n">
        <x:f>MIN(X316,MAX(0,SUMIFS('Current inventory'!$D$2:$D$127,'Current inventory'!$A$2:$A$127,A316,'Current inventory'!$B$2:$B$127,B316)-SUMIFS($X$2:X315,$A$2:A315,A316,$B$2:B315,B316)))</x:f>
        <x:v>0</x:v>
      </x:c>
      <x:c r="Q316" s="1" t="str">
        <x:v>Received history</x:v>
      </x:c>
      <x:c r="R316" s="1" t="str">
        <x:v>Receipts data film c400 c800 plastic.csv</x:v>
      </x:c>
      <x:c r="S316" s="12" t="n">
        <x:f>IF(O316=1,I316*J316,0)</x:f>
        <x:v>0</x:v>
      </x:c>
      <x:c r="T316" s="13" t="n">
        <x:f>IF(L316&gt;0,K316/L316,"n.a.")</x:f>
        <x:v>1.04</x:v>
      </x:c>
      <x:c r="U316" s="12" t="n">
        <x:f>IF(Q316="Old cost",S316,0)</x:f>
        <x:v>0</x:v>
      </x:c>
      <x:c r="V316" s="12" t="n">
        <x:f>IF(Q316="Higher cost",S316,0)</x:f>
        <x:v>0</x:v>
      </x:c>
      <x:c r="W316" s="12" t="n">
        <x:f>IF(Q316="Unclassified",S316,0)</x:f>
        <x:v>0</x:v>
      </x:c>
      <x:c r="X316" s="12" t="n">
        <x:f>IF(AND(ISNUMBER(F316),F316&gt;0,F316&lt;=Summary!$D$5,H316&gt;0),H316*J316,0)</x:f>
        <x:v>0</x:v>
      </x:c>
    </x:row>
    <x:row r="317" ht="21" customHeight="1">
      <x:c r="A317" s="1" t="str">
        <x:v>60</x:v>
      </x:c>
      <x:c r="B317" s="1" t="str">
        <x:v>800NAVE</x:v>
      </x:c>
      <x:c r="C317" s="1" t="str">
        <x:v>6102638</x:v>
      </x:c>
      <x:c r="D317" s="1" t="str">
        <x:v>3</x:v>
      </x:c>
      <x:c r="E317" s="1"/>
      <x:c r="F317" s="7" t="n">
        <x:v>44817</x:v>
      </x:c>
      <x:c r="G317" s="7" t="n">
        <x:v>44848</x:v>
      </x:c>
      <x:c r="H317" s="8" t="n">
        <x:v>0</x:v>
      </x:c>
      <x:c r="I317" s="8"/>
      <x:c r="J317" s="8" t="n">
        <x:v>1</x:v>
      </x:c>
      <x:c r="K317" s="9" t="n">
        <x:v>990</x:v>
      </x:c>
      <x:c r="L317" s="8" t="n">
        <x:v>1000</x:v>
      </x:c>
      <x:c r="M317" s="10" t="n">
        <x:v>0</x:v>
      </x:c>
      <x:c r="N317" s="8" t="str">
        <x:v>i</x:v>
      </x:c>
      <x:c r="O317" s="8" t="n">
        <x:v>0</x:v>
      </x:c>
      <x:c r="P317" s="11" t="n">
        <x:f>MIN(X317,MAX(0,SUMIFS('Current inventory'!$D$2:$D$127,'Current inventory'!$A$2:$A$127,A317,'Current inventory'!$B$2:$B$127,B317)-SUMIFS($X$2:X316,$A$2:A316,A317,$B$2:B316,B317)))</x:f>
        <x:v>0</x:v>
      </x:c>
      <x:c r="Q317" s="1" t="str">
        <x:v>Received history</x:v>
      </x:c>
      <x:c r="R317" s="1" t="str">
        <x:v>Receipts data film c400 c800 plastic.csv</x:v>
      </x:c>
      <x:c r="S317" s="12" t="n">
        <x:f>IF(O317=1,I317*J317,0)</x:f>
        <x:v>0</x:v>
      </x:c>
      <x:c r="T317" s="13" t="n">
        <x:f>IF(L317&gt;0,K317/L317,"n.a.")</x:f>
        <x:v>0.99</x:v>
      </x:c>
      <x:c r="U317" s="12" t="n">
        <x:f>IF(Q317="Old cost",S317,0)</x:f>
        <x:v>0</x:v>
      </x:c>
      <x:c r="V317" s="12" t="n">
        <x:f>IF(Q317="Higher cost",S317,0)</x:f>
        <x:v>0</x:v>
      </x:c>
      <x:c r="W317" s="12" t="n">
        <x:f>IF(Q317="Unclassified",S317,0)</x:f>
        <x:v>0</x:v>
      </x:c>
      <x:c r="X317" s="12" t="n">
        <x:f>IF(AND(ISNUMBER(F317),F317&gt;0,F317&lt;=Summary!$D$5,H317&gt;0),H317*J317,0)</x:f>
        <x:v>0</x:v>
      </x:c>
    </x:row>
    <x:row r="318" ht="21" customHeight="1">
      <x:c r="A318" s="1" t="str">
        <x:v>60</x:v>
      </x:c>
      <x:c r="B318" s="1" t="str">
        <x:v>800BBLKDSC</x:v>
      </x:c>
      <x:c r="C318" s="1" t="str">
        <x:v>6102635</x:v>
      </x:c>
      <x:c r="D318" s="1" t="str">
        <x:v>3</x:v>
      </x:c>
      <x:c r="E318" s="1"/>
      <x:c r="F318" s="7" t="n">
        <x:v>44817</x:v>
      </x:c>
      <x:c r="G318" s="7" t="n">
        <x:v>44817</x:v>
      </x:c>
      <x:c r="H318" s="8" t="n">
        <x:v>10000</x:v>
      </x:c>
      <x:c r="I318" s="8"/>
      <x:c r="J318" s="8" t="n">
        <x:v>1</x:v>
      </x:c>
      <x:c r="K318" s="9" t="n">
        <x:v>26.15</x:v>
      </x:c>
      <x:c r="L318" s="8" t="n">
        <x:v>100</x:v>
      </x:c>
      <x:c r="M318" s="10" t="n">
        <x:v>2877</x:v>
      </x:c>
      <x:c r="N318" s="8" t="str">
        <x:v>i</x:v>
      </x:c>
      <x:c r="O318" s="8" t="n">
        <x:v>0</x:v>
      </x:c>
      <x:c r="P318" s="11" t="n">
        <x:f>MIN(X318,MAX(0,SUMIFS('Current inventory'!$D$2:$D$127,'Current inventory'!$A$2:$A$127,A318,'Current inventory'!$B$2:$B$127,B318)-SUMIFS($X$2:X317,$A$2:A317,A318,$B$2:B317,B318)))</x:f>
        <x:v>0</x:v>
      </x:c>
      <x:c r="Q318" s="1" t="str">
        <x:v>Received history</x:v>
      </x:c>
      <x:c r="R318" s="1" t="str">
        <x:v>Receipts data film c400 c800 plastic.csv</x:v>
      </x:c>
      <x:c r="S318" s="12" t="n">
        <x:f>IF(O318=1,I318*J318,0)</x:f>
        <x:v>0</x:v>
      </x:c>
      <x:c r="T318" s="13" t="n">
        <x:f>IF(L318&gt;0,K318/L318,"n.a.")</x:f>
        <x:v>0.2615</x:v>
      </x:c>
      <x:c r="U318" s="12" t="n">
        <x:f>IF(Q318="Old cost",S318,0)</x:f>
        <x:v>0</x:v>
      </x:c>
      <x:c r="V318" s="12" t="n">
        <x:f>IF(Q318="Higher cost",S318,0)</x:f>
        <x:v>0</x:v>
      </x:c>
      <x:c r="W318" s="12" t="n">
        <x:f>IF(Q318="Unclassified",S318,0)</x:f>
        <x:v>0</x:v>
      </x:c>
      <x:c r="X318" s="12" t="n">
        <x:f>IF(AND(ISNUMBER(F318),F318&gt;0,F318&lt;=Summary!$D$5,H318&gt;0),H318*J318,0)</x:f>
        <x:v>10000</x:v>
      </x:c>
    </x:row>
    <x:row r="319" ht="21" customHeight="1">
      <x:c r="A319" s="1" t="str">
        <x:v>60</x:v>
      </x:c>
      <x:c r="B319" s="1" t="str">
        <x:v>800BBLKISC</x:v>
      </x:c>
      <x:c r="C319" s="1" t="str">
        <x:v>6102635</x:v>
      </x:c>
      <x:c r="D319" s="1" t="str">
        <x:v>3</x:v>
      </x:c>
      <x:c r="E319" s="1"/>
      <x:c r="F319" s="7" t="n">
        <x:v>44817</x:v>
      </x:c>
      <x:c r="G319" s="7" t="n">
        <x:v>44817</x:v>
      </x:c>
      <x:c r="H319" s="8" t="n">
        <x:v>10000</x:v>
      </x:c>
      <x:c r="I319" s="8"/>
      <x:c r="J319" s="8" t="n">
        <x:v>1</x:v>
      </x:c>
      <x:c r="K319" s="9" t="n">
        <x:v>13.42</x:v>
      </x:c>
      <x:c r="L319" s="8" t="n">
        <x:v>100</x:v>
      </x:c>
      <x:c r="M319" s="10" t="n">
        <x:v>1476</x:v>
      </x:c>
      <x:c r="N319" s="8" t="str">
        <x:v>i</x:v>
      </x:c>
      <x:c r="O319" s="8" t="n">
        <x:v>0</x:v>
      </x:c>
      <x:c r="P319" s="11" t="n">
        <x:f>MIN(X319,MAX(0,SUMIFS('Current inventory'!$D$2:$D$127,'Current inventory'!$A$2:$A$127,A319,'Current inventory'!$B$2:$B$127,B319)-SUMIFS($X$2:X318,$A$2:A318,A319,$B$2:B318,B319)))</x:f>
        <x:v>0</x:v>
      </x:c>
      <x:c r="Q319" s="1" t="str">
        <x:v>Received history</x:v>
      </x:c>
      <x:c r="R319" s="1" t="str">
        <x:v>Receipts data film c400 c800 plastic.csv</x:v>
      </x:c>
      <x:c r="S319" s="12" t="n">
        <x:f>IF(O319=1,I319*J319,0)</x:f>
        <x:v>0</x:v>
      </x:c>
      <x:c r="T319" s="13" t="n">
        <x:f>IF(L319&gt;0,K319/L319,"n.a.")</x:f>
        <x:v>0.13419999999999999</x:v>
      </x:c>
      <x:c r="U319" s="12" t="n">
        <x:f>IF(Q319="Old cost",S319,0)</x:f>
        <x:v>0</x:v>
      </x:c>
      <x:c r="V319" s="12" t="n">
        <x:f>IF(Q319="Higher cost",S319,0)</x:f>
        <x:v>0</x:v>
      </x:c>
      <x:c r="W319" s="12" t="n">
        <x:f>IF(Q319="Unclassified",S319,0)</x:f>
        <x:v>0</x:v>
      </x:c>
      <x:c r="X319" s="12" t="n">
        <x:f>IF(AND(ISNUMBER(F319),F319&gt;0,F319&lt;=Summary!$D$5,H319&gt;0),H319*J319,0)</x:f>
        <x:v>10000</x:v>
      </x:c>
    </x:row>
    <x:row r="320" ht="21" customHeight="1">
      <x:c r="A320" s="1" t="str">
        <x:v>60</x:v>
      </x:c>
      <x:c r="B320" s="1" t="str">
        <x:v>800BBLKDSC</x:v>
      </x:c>
      <x:c r="C320" s="1" t="str">
        <x:v>6102624</x:v>
      </x:c>
      <x:c r="D320" s="1" t="str">
        <x:v>3</x:v>
      </x:c>
      <x:c r="E320" s="1"/>
      <x:c r="F320" s="7" t="n">
        <x:v>44817</x:v>
      </x:c>
      <x:c r="G320" s="7" t="n">
        <x:v>44817</x:v>
      </x:c>
      <x:c r="H320" s="8" t="n">
        <x:v>10000</x:v>
      </x:c>
      <x:c r="I320" s="8"/>
      <x:c r="J320" s="8" t="n">
        <x:v>1</x:v>
      </x:c>
      <x:c r="K320" s="9" t="n">
        <x:v>26.15</x:v>
      </x:c>
      <x:c r="L320" s="8" t="n">
        <x:v>100</x:v>
      </x:c>
      <x:c r="M320" s="10" t="n">
        <x:v>2877</x:v>
      </x:c>
      <x:c r="N320" s="8" t="str">
        <x:v>i</x:v>
      </x:c>
      <x:c r="O320" s="8" t="n">
        <x:v>0</x:v>
      </x:c>
      <x:c r="P320" s="11" t="n">
        <x:f>MIN(X320,MAX(0,SUMIFS('Current inventory'!$D$2:$D$127,'Current inventory'!$A$2:$A$127,A320,'Current inventory'!$B$2:$B$127,B320)-SUMIFS($X$2:X319,$A$2:A319,A320,$B$2:B319,B320)))</x:f>
        <x:v>0</x:v>
      </x:c>
      <x:c r="Q320" s="1" t="str">
        <x:v>Received history</x:v>
      </x:c>
      <x:c r="R320" s="1" t="str">
        <x:v>Receipts data film c400 c800 plastic.csv</x:v>
      </x:c>
      <x:c r="S320" s="12" t="n">
        <x:f>IF(O320=1,I320*J320,0)</x:f>
        <x:v>0</x:v>
      </x:c>
      <x:c r="T320" s="13" t="n">
        <x:f>IF(L320&gt;0,K320/L320,"n.a.")</x:f>
        <x:v>0.2615</x:v>
      </x:c>
      <x:c r="U320" s="12" t="n">
        <x:f>IF(Q320="Old cost",S320,0)</x:f>
        <x:v>0</x:v>
      </x:c>
      <x:c r="V320" s="12" t="n">
        <x:f>IF(Q320="Higher cost",S320,0)</x:f>
        <x:v>0</x:v>
      </x:c>
      <x:c r="W320" s="12" t="n">
        <x:f>IF(Q320="Unclassified",S320,0)</x:f>
        <x:v>0</x:v>
      </x:c>
      <x:c r="X320" s="12" t="n">
        <x:f>IF(AND(ISNUMBER(F320),F320&gt;0,F320&lt;=Summary!$D$5,H320&gt;0),H320*J320,0)</x:f>
        <x:v>10000</x:v>
      </x:c>
    </x:row>
    <x:row r="321" ht="21" customHeight="1">
      <x:c r="A321" s="1" t="str">
        <x:v>60</x:v>
      </x:c>
      <x:c r="B321" s="1" t="str">
        <x:v>800MARE</x:v>
      </x:c>
      <x:c r="C321" s="1" t="str">
        <x:v>6102624</x:v>
      </x:c>
      <x:c r="D321" s="1" t="str">
        <x:v>3</x:v>
      </x:c>
      <x:c r="E321" s="1"/>
      <x:c r="F321" s="7" t="n">
        <x:v>44817</x:v>
      </x:c>
      <x:c r="G321" s="7" t="n">
        <x:v>44848</x:v>
      </x:c>
      <x:c r="H321" s="8" t="n">
        <x:v>0</x:v>
      </x:c>
      <x:c r="I321" s="8"/>
      <x:c r="J321" s="8" t="n">
        <x:v>1</x:v>
      </x:c>
      <x:c r="K321" s="9" t="n">
        <x:v>980</x:v>
      </x:c>
      <x:c r="L321" s="8" t="n">
        <x:v>1000</x:v>
      </x:c>
      <x:c r="M321" s="10" t="n">
        <x:v>0</x:v>
      </x:c>
      <x:c r="N321" s="8" t="str">
        <x:v>i</x:v>
      </x:c>
      <x:c r="O321" s="8" t="n">
        <x:v>0</x:v>
      </x:c>
      <x:c r="P321" s="11" t="n">
        <x:f>MIN(X321,MAX(0,SUMIFS('Current inventory'!$D$2:$D$127,'Current inventory'!$A$2:$A$127,A321,'Current inventory'!$B$2:$B$127,B321)-SUMIFS($X$2:X320,$A$2:A320,A321,$B$2:B320,B321)))</x:f>
        <x:v>0</x:v>
      </x:c>
      <x:c r="Q321" s="1" t="str">
        <x:v>Received history</x:v>
      </x:c>
      <x:c r="R321" s="1" t="str">
        <x:v>Receipts data film c400 c800 plastic.csv</x:v>
      </x:c>
      <x:c r="S321" s="12" t="n">
        <x:f>IF(O321=1,I321*J321,0)</x:f>
        <x:v>0</x:v>
      </x:c>
      <x:c r="T321" s="13" t="n">
        <x:f>IF(L321&gt;0,K321/L321,"n.a.")</x:f>
        <x:v>0.98</x:v>
      </x:c>
      <x:c r="U321" s="12" t="n">
        <x:f>IF(Q321="Old cost",S321,0)</x:f>
        <x:v>0</x:v>
      </x:c>
      <x:c r="V321" s="12" t="n">
        <x:f>IF(Q321="Higher cost",S321,0)</x:f>
        <x:v>0</x:v>
      </x:c>
      <x:c r="W321" s="12" t="n">
        <x:f>IF(Q321="Unclassified",S321,0)</x:f>
        <x:v>0</x:v>
      </x:c>
      <x:c r="X321" s="12" t="n">
        <x:f>IF(AND(ISNUMBER(F321),F321&gt;0,F321&lt;=Summary!$D$5,H321&gt;0),H321*J321,0)</x:f>
        <x:v>0</x:v>
      </x:c>
    </x:row>
    <x:row r="322" ht="21" customHeight="1">
      <x:c r="A322" s="1" t="str">
        <x:v>30</x:v>
      </x:c>
      <x:c r="B322" s="1" t="str">
        <x:v>800BBLKASC</x:v>
      </x:c>
      <x:c r="C322" s="1" t="str">
        <x:v>3003712</x:v>
      </x:c>
      <x:c r="D322" s="1" t="str">
        <x:v>2</x:v>
      </x:c>
      <x:c r="E322" s="1"/>
      <x:c r="F322" s="7" t="n">
        <x:v>44783</x:v>
      </x:c>
      <x:c r="G322" s="7" t="n">
        <x:v>44792</x:v>
      </x:c>
      <x:c r="H322" s="8" t="n">
        <x:v>80000</x:v>
      </x:c>
      <x:c r="I322" s="8"/>
      <x:c r="J322" s="8" t="n">
        <x:v>1</x:v>
      </x:c>
      <x:c r="K322" s="9" t="n">
        <x:v>9.83</x:v>
      </x:c>
      <x:c r="L322" s="8" t="n">
        <x:v>100</x:v>
      </x:c>
      <x:c r="M322" s="10" t="n">
        <x:v>9192</x:v>
      </x:c>
      <x:c r="N322" s="8" t="str">
        <x:v>i</x:v>
      </x:c>
      <x:c r="O322" s="8" t="n">
        <x:v>0</x:v>
      </x:c>
      <x:c r="P322" s="11" t="n">
        <x:f>MIN(X322,MAX(0,SUMIFS('Current inventory'!$D$2:$D$127,'Current inventory'!$A$2:$A$127,A322,'Current inventory'!$B$2:$B$127,B322)-SUMIFS($X$2:X321,$A$2:A321,A322,$B$2:B321,B322)))</x:f>
        <x:v>0</x:v>
      </x:c>
      <x:c r="Q322" s="1" t="str">
        <x:v>Received history</x:v>
      </x:c>
      <x:c r="R322" s="1" t="str">
        <x:v>Receipts data film c400 c800 plastic.csv</x:v>
      </x:c>
      <x:c r="S322" s="12" t="n">
        <x:f>IF(O322=1,I322*J322,0)</x:f>
        <x:v>0</x:v>
      </x:c>
      <x:c r="T322" s="13" t="n">
        <x:f>IF(L322&gt;0,K322/L322,"n.a.")</x:f>
        <x:v>0.0983</x:v>
      </x:c>
      <x:c r="U322" s="12" t="n">
        <x:f>IF(Q322="Old cost",S322,0)</x:f>
        <x:v>0</x:v>
      </x:c>
      <x:c r="V322" s="12" t="n">
        <x:f>IF(Q322="Higher cost",S322,0)</x:f>
        <x:v>0</x:v>
      </x:c>
      <x:c r="W322" s="12" t="n">
        <x:f>IF(Q322="Unclassified",S322,0)</x:f>
        <x:v>0</x:v>
      </x:c>
      <x:c r="X322" s="12" t="n">
        <x:f>IF(AND(ISNUMBER(F322),F322&gt;0,F322&lt;=Summary!$D$5,H322&gt;0),H322*J322,0)</x:f>
        <x:v>80000</x:v>
      </x:c>
    </x:row>
    <x:row r="323" ht="21" customHeight="1">
      <x:c r="A323" s="1" t="str">
        <x:v>30</x:v>
      </x:c>
      <x:c r="B323" s="1" t="str">
        <x:v>800BBLKDSC</x:v>
      </x:c>
      <x:c r="C323" s="1" t="str">
        <x:v>3003712</x:v>
      </x:c>
      <x:c r="D323" s="1" t="str">
        <x:v>2</x:v>
      </x:c>
      <x:c r="E323" s="1"/>
      <x:c r="F323" s="7" t="n">
        <x:v>44783</x:v>
      </x:c>
      <x:c r="G323" s="7" t="n">
        <x:v>44792</x:v>
      </x:c>
      <x:c r="H323" s="8" t="n">
        <x:v>0</x:v>
      </x:c>
      <x:c r="I323" s="8"/>
      <x:c r="J323" s="8" t="n">
        <x:v>1</x:v>
      </x:c>
      <x:c r="K323" s="9" t="n">
        <x:v>26.15</x:v>
      </x:c>
      <x:c r="L323" s="8" t="n">
        <x:v>100</x:v>
      </x:c>
      <x:c r="M323" s="10" t="n">
        <x:v>0</x:v>
      </x:c>
      <x:c r="N323" s="8" t="str">
        <x:v>i</x:v>
      </x:c>
      <x:c r="O323" s="8" t="n">
        <x:v>0</x:v>
      </x:c>
      <x:c r="P323" s="11" t="n">
        <x:f>MIN(X323,MAX(0,SUMIFS('Current inventory'!$D$2:$D$127,'Current inventory'!$A$2:$A$127,A323,'Current inventory'!$B$2:$B$127,B323)-SUMIFS($X$2:X322,$A$2:A322,A323,$B$2:B322,B323)))</x:f>
        <x:v>0</x:v>
      </x:c>
      <x:c r="Q323" s="1" t="str">
        <x:v>Received history</x:v>
      </x:c>
      <x:c r="R323" s="1" t="str">
        <x:v>Receipts data film c400 c800 plastic.csv</x:v>
      </x:c>
      <x:c r="S323" s="12" t="n">
        <x:f>IF(O323=1,I323*J323,0)</x:f>
        <x:v>0</x:v>
      </x:c>
      <x:c r="T323" s="13" t="n">
        <x:f>IF(L323&gt;0,K323/L323,"n.a.")</x:f>
        <x:v>0.2615</x:v>
      </x:c>
      <x:c r="U323" s="12" t="n">
        <x:f>IF(Q323="Old cost",S323,0)</x:f>
        <x:v>0</x:v>
      </x:c>
      <x:c r="V323" s="12" t="n">
        <x:f>IF(Q323="Higher cost",S323,0)</x:f>
        <x:v>0</x:v>
      </x:c>
      <x:c r="W323" s="12" t="n">
        <x:f>IF(Q323="Unclassified",S323,0)</x:f>
        <x:v>0</x:v>
      </x:c>
      <x:c r="X323" s="12" t="n">
        <x:f>IF(AND(ISNUMBER(F323),F323&gt;0,F323&lt;=Summary!$D$5,H323&gt;0),H323*J323,0)</x:f>
        <x:v>0</x:v>
      </x:c>
    </x:row>
    <x:row r="324" ht="21" customHeight="1">
      <x:c r="A324" s="1" t="str">
        <x:v>30</x:v>
      </x:c>
      <x:c r="B324" s="1" t="str">
        <x:v>800BBLKDSC</x:v>
      </x:c>
      <x:c r="C324" s="1" t="str">
        <x:v>3003711</x:v>
      </x:c>
      <x:c r="D324" s="1" t="str">
        <x:v>2</x:v>
      </x:c>
      <x:c r="E324" s="1"/>
      <x:c r="F324" s="7" t="n">
        <x:v>44783</x:v>
      </x:c>
      <x:c r="G324" s="7" t="n">
        <x:v>44739</x:v>
      </x:c>
      <x:c r="H324" s="8" t="n">
        <x:v>6000</x:v>
      </x:c>
      <x:c r="I324" s="8"/>
      <x:c r="J324" s="8" t="n">
        <x:v>1</x:v>
      </x:c>
      <x:c r="K324" s="9" t="n">
        <x:v>26.15</x:v>
      </x:c>
      <x:c r="L324" s="8" t="n">
        <x:v>100</x:v>
      </x:c>
      <x:c r="M324" s="10" t="n">
        <x:v>1726.2</x:v>
      </x:c>
      <x:c r="N324" s="8" t="str">
        <x:v>i</x:v>
      </x:c>
      <x:c r="O324" s="8" t="n">
        <x:v>0</x:v>
      </x:c>
      <x:c r="P324" s="11" t="n">
        <x:f>MIN(X324,MAX(0,SUMIFS('Current inventory'!$D$2:$D$127,'Current inventory'!$A$2:$A$127,A324,'Current inventory'!$B$2:$B$127,B324)-SUMIFS($X$2:X323,$A$2:A323,A324,$B$2:B323,B324)))</x:f>
        <x:v>0</x:v>
      </x:c>
      <x:c r="Q324" s="1" t="str">
        <x:v>Received history</x:v>
      </x:c>
      <x:c r="R324" s="1" t="str">
        <x:v>Receipts data film c400 c800 plastic.csv</x:v>
      </x:c>
      <x:c r="S324" s="12" t="n">
        <x:f>IF(O324=1,I324*J324,0)</x:f>
        <x:v>0</x:v>
      </x:c>
      <x:c r="T324" s="13" t="n">
        <x:f>IF(L324&gt;0,K324/L324,"n.a.")</x:f>
        <x:v>0.2615</x:v>
      </x:c>
      <x:c r="U324" s="12" t="n">
        <x:f>IF(Q324="Old cost",S324,0)</x:f>
        <x:v>0</x:v>
      </x:c>
      <x:c r="V324" s="12" t="n">
        <x:f>IF(Q324="Higher cost",S324,0)</x:f>
        <x:v>0</x:v>
      </x:c>
      <x:c r="W324" s="12" t="n">
        <x:f>IF(Q324="Unclassified",S324,0)</x:f>
        <x:v>0</x:v>
      </x:c>
      <x:c r="X324" s="12" t="n">
        <x:f>IF(AND(ISNUMBER(F324),F324&gt;0,F324&lt;=Summary!$D$5,H324&gt;0),H324*J324,0)</x:f>
        <x:v>6000</x:v>
      </x:c>
    </x:row>
    <x:row r="325" ht="21" customHeight="1">
      <x:c r="A325" s="1" t="str">
        <x:v>30</x:v>
      </x:c>
      <x:c r="B325" s="1" t="str">
        <x:v>800BBLKISC</x:v>
      </x:c>
      <x:c r="C325" s="1" t="str">
        <x:v>3003711</x:v>
      </x:c>
      <x:c r="D325" s="1" t="str">
        <x:v>2</x:v>
      </x:c>
      <x:c r="E325" s="1"/>
      <x:c r="F325" s="7" t="n">
        <x:v>44783</x:v>
      </x:c>
      <x:c r="G325" s="7" t="n">
        <x:v>44739</x:v>
      </x:c>
      <x:c r="H325" s="8" t="n">
        <x:v>0</x:v>
      </x:c>
      <x:c r="I325" s="8"/>
      <x:c r="J325" s="8" t="n">
        <x:v>1</x:v>
      </x:c>
      <x:c r="K325" s="9" t="n">
        <x:v>13.42</x:v>
      </x:c>
      <x:c r="L325" s="8" t="n">
        <x:v>100</x:v>
      </x:c>
      <x:c r="M325" s="10" t="n">
        <x:v>0</x:v>
      </x:c>
      <x:c r="N325" s="8" t="str">
        <x:v>i</x:v>
      </x:c>
      <x:c r="O325" s="8" t="n">
        <x:v>0</x:v>
      </x:c>
      <x:c r="P325" s="11" t="n">
        <x:f>MIN(X325,MAX(0,SUMIFS('Current inventory'!$D$2:$D$127,'Current inventory'!$A$2:$A$127,A325,'Current inventory'!$B$2:$B$127,B325)-SUMIFS($X$2:X324,$A$2:A324,A325,$B$2:B324,B325)))</x:f>
        <x:v>0</x:v>
      </x:c>
      <x:c r="Q325" s="1" t="str">
        <x:v>Received history</x:v>
      </x:c>
      <x:c r="R325" s="1" t="str">
        <x:v>Receipts data film c400 c800 plastic.csv</x:v>
      </x:c>
      <x:c r="S325" s="12" t="n">
        <x:f>IF(O325=1,I325*J325,0)</x:f>
        <x:v>0</x:v>
      </x:c>
      <x:c r="T325" s="13" t="n">
        <x:f>IF(L325&gt;0,K325/L325,"n.a.")</x:f>
        <x:v>0.13419999999999999</x:v>
      </x:c>
      <x:c r="U325" s="12" t="n">
        <x:f>IF(Q325="Old cost",S325,0)</x:f>
        <x:v>0</x:v>
      </x:c>
      <x:c r="V325" s="12" t="n">
        <x:f>IF(Q325="Higher cost",S325,0)</x:f>
        <x:v>0</x:v>
      </x:c>
      <x:c r="W325" s="12" t="n">
        <x:f>IF(Q325="Unclassified",S325,0)</x:f>
        <x:v>0</x:v>
      </x:c>
      <x:c r="X325" s="12" t="n">
        <x:f>IF(AND(ISNUMBER(F325),F325&gt;0,F325&lt;=Summary!$D$5,H325&gt;0),H325*J325,0)</x:f>
        <x:v>0</x:v>
      </x:c>
    </x:row>
    <x:row r="326" ht="21" customHeight="1">
      <x:c r="A326" s="1" t="str">
        <x:v>60</x:v>
      </x:c>
      <x:c r="B326" s="1" t="str">
        <x:v>800BBLKASC</x:v>
      </x:c>
      <x:c r="C326" s="1" t="str">
        <x:v>6102638</x:v>
      </x:c>
      <x:c r="D326" s="1" t="str">
        <x:v>2</x:v>
      </x:c>
      <x:c r="E326" s="1"/>
      <x:c r="F326" s="7" t="n">
        <x:v>44778</x:v>
      </x:c>
      <x:c r="G326" s="7" t="n">
        <x:v>44764</x:v>
      </x:c>
      <x:c r="H326" s="8" t="n">
        <x:v>160000</x:v>
      </x:c>
      <x:c r="I326" s="8"/>
      <x:c r="J326" s="8" t="n">
        <x:v>1</x:v>
      </x:c>
      <x:c r="K326" s="9" t="n">
        <x:v>10.44</x:v>
      </x:c>
      <x:c r="L326" s="8" t="n">
        <x:v>100</x:v>
      </x:c>
      <x:c r="M326" s="10" t="n">
        <x:v>18384</x:v>
      </x:c>
      <x:c r="N326" s="8" t="str">
        <x:v>i</x:v>
      </x:c>
      <x:c r="O326" s="8" t="n">
        <x:v>0</x:v>
      </x:c>
      <x:c r="P326" s="11" t="n">
        <x:f>MIN(X326,MAX(0,SUMIFS('Current inventory'!$D$2:$D$127,'Current inventory'!$A$2:$A$127,A326,'Current inventory'!$B$2:$B$127,B326)-SUMIFS($X$2:X325,$A$2:A325,A326,$B$2:B325,B326)))</x:f>
        <x:v>0</x:v>
      </x:c>
      <x:c r="Q326" s="1" t="str">
        <x:v>Received history</x:v>
      </x:c>
      <x:c r="R326" s="1" t="str">
        <x:v>Receipts data film c400 c800 plastic.csv</x:v>
      </x:c>
      <x:c r="S326" s="12" t="n">
        <x:f>IF(O326=1,I326*J326,0)</x:f>
        <x:v>0</x:v>
      </x:c>
      <x:c r="T326" s="13" t="n">
        <x:f>IF(L326&gt;0,K326/L326,"n.a.")</x:f>
        <x:v>0.10439999999999999</x:v>
      </x:c>
      <x:c r="U326" s="12" t="n">
        <x:f>IF(Q326="Old cost",S326,0)</x:f>
        <x:v>0</x:v>
      </x:c>
      <x:c r="V326" s="12" t="n">
        <x:f>IF(Q326="Higher cost",S326,0)</x:f>
        <x:v>0</x:v>
      </x:c>
      <x:c r="W326" s="12" t="n">
        <x:f>IF(Q326="Unclassified",S326,0)</x:f>
        <x:v>0</x:v>
      </x:c>
      <x:c r="X326" s="12" t="n">
        <x:f>IF(AND(ISNUMBER(F326),F326&gt;0,F326&lt;=Summary!$D$5,H326&gt;0),H326*J326,0)</x:f>
        <x:v>160000</x:v>
      </x:c>
    </x:row>
    <x:row r="327" ht="21" customHeight="1">
      <x:c r="A327" s="1" t="str">
        <x:v>60</x:v>
      </x:c>
      <x:c r="B327" s="1" t="str">
        <x:v>800BLKE</x:v>
      </x:c>
      <x:c r="C327" s="1" t="str">
        <x:v>6102638</x:v>
      </x:c>
      <x:c r="D327" s="1" t="str">
        <x:v>2</x:v>
      </x:c>
      <x:c r="E327" s="1"/>
      <x:c r="F327" s="7" t="n">
        <x:v>44778</x:v>
      </x:c>
      <x:c r="G327" s="7" t="n">
        <x:v>44764</x:v>
      </x:c>
      <x:c r="H327" s="8" t="n">
        <x:v>0</x:v>
      </x:c>
      <x:c r="I327" s="8"/>
      <x:c r="J327" s="8" t="n">
        <x:v>1</x:v>
      </x:c>
      <x:c r="K327" s="9" t="n">
        <x:v>760</x:v>
      </x:c>
      <x:c r="L327" s="8" t="n">
        <x:v>1000</x:v>
      </x:c>
      <x:c r="M327" s="10" t="n">
        <x:v>0</x:v>
      </x:c>
      <x:c r="N327" s="8" t="str">
        <x:v>i</x:v>
      </x:c>
      <x:c r="O327" s="8" t="n">
        <x:v>0</x:v>
      </x:c>
      <x:c r="P327" s="11" t="n">
        <x:f>MIN(X327,MAX(0,SUMIFS('Current inventory'!$D$2:$D$127,'Current inventory'!$A$2:$A$127,A327,'Current inventory'!$B$2:$B$127,B327)-SUMIFS($X$2:X326,$A$2:A326,A327,$B$2:B326,B327)))</x:f>
        <x:v>0</x:v>
      </x:c>
      <x:c r="Q327" s="1" t="str">
        <x:v>Received history</x:v>
      </x:c>
      <x:c r="R327" s="1" t="str">
        <x:v>Receipts data film c400 c800 plastic.csv</x:v>
      </x:c>
      <x:c r="S327" s="12" t="n">
        <x:f>IF(O327=1,I327*J327,0)</x:f>
        <x:v>0</x:v>
      </x:c>
      <x:c r="T327" s="13" t="n">
        <x:f>IF(L327&gt;0,K327/L327,"n.a.")</x:f>
        <x:v>0.76</x:v>
      </x:c>
      <x:c r="U327" s="12" t="n">
        <x:f>IF(Q327="Old cost",S327,0)</x:f>
        <x:v>0</x:v>
      </x:c>
      <x:c r="V327" s="12" t="n">
        <x:f>IF(Q327="Higher cost",S327,0)</x:f>
        <x:v>0</x:v>
      </x:c>
      <x:c r="W327" s="12" t="n">
        <x:f>IF(Q327="Unclassified",S327,0)</x:f>
        <x:v>0</x:v>
      </x:c>
      <x:c r="X327" s="12" t="n">
        <x:f>IF(AND(ISNUMBER(F327),F327&gt;0,F327&lt;=Summary!$D$5,H327&gt;0),H327*J327,0)</x:f>
        <x:v>0</x:v>
      </x:c>
    </x:row>
    <x:row r="328" ht="21" customHeight="1">
      <x:c r="A328" s="1" t="str">
        <x:v>60</x:v>
      </x:c>
      <x:c r="B328" s="1" t="str">
        <x:v>800MARE</x:v>
      </x:c>
      <x:c r="C328" s="1" t="str">
        <x:v>6102638</x:v>
      </x:c>
      <x:c r="D328" s="1" t="str">
        <x:v>2</x:v>
      </x:c>
      <x:c r="E328" s="1"/>
      <x:c r="F328" s="7" t="n">
        <x:v>44778</x:v>
      </x:c>
      <x:c r="G328" s="7" t="n">
        <x:v>44816</x:v>
      </x:c>
      <x:c r="H328" s="8" t="n">
        <x:v>0</x:v>
      </x:c>
      <x:c r="I328" s="8"/>
      <x:c r="J328" s="8" t="n">
        <x:v>1</x:v>
      </x:c>
      <x:c r="K328" s="9" t="n">
        <x:v>1040</x:v>
      </x:c>
      <x:c r="L328" s="8" t="n">
        <x:v>1000</x:v>
      </x:c>
      <x:c r="M328" s="10" t="n">
        <x:v>0</x:v>
      </x:c>
      <x:c r="N328" s="8" t="str">
        <x:v>i</x:v>
      </x:c>
      <x:c r="O328" s="8" t="n">
        <x:v>0</x:v>
      </x:c>
      <x:c r="P328" s="11" t="n">
        <x:f>MIN(X328,MAX(0,SUMIFS('Current inventory'!$D$2:$D$127,'Current inventory'!$A$2:$A$127,A328,'Current inventory'!$B$2:$B$127,B328)-SUMIFS($X$2:X327,$A$2:A327,A328,$B$2:B327,B328)))</x:f>
        <x:v>0</x:v>
      </x:c>
      <x:c r="Q328" s="1" t="str">
        <x:v>Received history</x:v>
      </x:c>
      <x:c r="R328" s="1" t="str">
        <x:v>Receipts data film c400 c800 plastic.csv</x:v>
      </x:c>
      <x:c r="S328" s="12" t="n">
        <x:f>IF(O328=1,I328*J328,0)</x:f>
        <x:v>0</x:v>
      </x:c>
      <x:c r="T328" s="13" t="n">
        <x:f>IF(L328&gt;0,K328/L328,"n.a.")</x:f>
        <x:v>1.04</x:v>
      </x:c>
      <x:c r="U328" s="12" t="n">
        <x:f>IF(Q328="Old cost",S328,0)</x:f>
        <x:v>0</x:v>
      </x:c>
      <x:c r="V328" s="12" t="n">
        <x:f>IF(Q328="Higher cost",S328,0)</x:f>
        <x:v>0</x:v>
      </x:c>
      <x:c r="W328" s="12" t="n">
        <x:f>IF(Q328="Unclassified",S328,0)</x:f>
        <x:v>0</x:v>
      </x:c>
      <x:c r="X328" s="12" t="n">
        <x:f>IF(AND(ISNUMBER(F328),F328&gt;0,F328&lt;=Summary!$D$5,H328&gt;0),H328*J328,0)</x:f>
        <x:v>0</x:v>
      </x:c>
    </x:row>
    <x:row r="329" ht="21" customHeight="1">
      <x:c r="A329" s="1" t="str">
        <x:v>60</x:v>
      </x:c>
      <x:c r="B329" s="1" t="str">
        <x:v>800NAVE</x:v>
      </x:c>
      <x:c r="C329" s="1" t="str">
        <x:v>6102638</x:v>
      </x:c>
      <x:c r="D329" s="1" t="str">
        <x:v>2</x:v>
      </x:c>
      <x:c r="E329" s="1"/>
      <x:c r="F329" s="7" t="n">
        <x:v>44778</x:v>
      </x:c>
      <x:c r="G329" s="7" t="n">
        <x:v>44816</x:v>
      </x:c>
      <x:c r="H329" s="8" t="n">
        <x:v>0</x:v>
      </x:c>
      <x:c r="I329" s="8"/>
      <x:c r="J329" s="8" t="n">
        <x:v>1</x:v>
      </x:c>
      <x:c r="K329" s="9" t="n">
        <x:v>990</x:v>
      </x:c>
      <x:c r="L329" s="8" t="n">
        <x:v>1000</x:v>
      </x:c>
      <x:c r="M329" s="10" t="n">
        <x:v>0</x:v>
      </x:c>
      <x:c r="N329" s="8" t="str">
        <x:v>i</x:v>
      </x:c>
      <x:c r="O329" s="8" t="n">
        <x:v>0</x:v>
      </x:c>
      <x:c r="P329" s="11" t="n">
        <x:f>MIN(X329,MAX(0,SUMIFS('Current inventory'!$D$2:$D$127,'Current inventory'!$A$2:$A$127,A329,'Current inventory'!$B$2:$B$127,B329)-SUMIFS($X$2:X328,$A$2:A328,A329,$B$2:B328,B329)))</x:f>
        <x:v>0</x:v>
      </x:c>
      <x:c r="Q329" s="1" t="str">
        <x:v>Received history</x:v>
      </x:c>
      <x:c r="R329" s="1" t="str">
        <x:v>Receipts data film c400 c800 plastic.csv</x:v>
      </x:c>
      <x:c r="S329" s="12" t="n">
        <x:f>IF(O329=1,I329*J329,0)</x:f>
        <x:v>0</x:v>
      </x:c>
      <x:c r="T329" s="13" t="n">
        <x:f>IF(L329&gt;0,K329/L329,"n.a.")</x:f>
        <x:v>0.99</x:v>
      </x:c>
      <x:c r="U329" s="12" t="n">
        <x:f>IF(Q329="Old cost",S329,0)</x:f>
        <x:v>0</x:v>
      </x:c>
      <x:c r="V329" s="12" t="n">
        <x:f>IF(Q329="Higher cost",S329,0)</x:f>
        <x:v>0</x:v>
      </x:c>
      <x:c r="W329" s="12" t="n">
        <x:f>IF(Q329="Unclassified",S329,0)</x:f>
        <x:v>0</x:v>
      </x:c>
      <x:c r="X329" s="12" t="n">
        <x:f>IF(AND(ISNUMBER(F329),F329&gt;0,F329&lt;=Summary!$D$5,H329&gt;0),H329*J329,0)</x:f>
        <x:v>0</x:v>
      </x:c>
    </x:row>
    <x:row r="330" ht="21" customHeight="1">
      <x:c r="A330" s="1" t="str">
        <x:v>60</x:v>
      </x:c>
      <x:c r="B330" s="1" t="str">
        <x:v>800BBLKDSC</x:v>
      </x:c>
      <x:c r="C330" s="1" t="str">
        <x:v>6102624</x:v>
      </x:c>
      <x:c r="D330" s="1" t="str">
        <x:v>2</x:v>
      </x:c>
      <x:c r="E330" s="1"/>
      <x:c r="F330" s="7" t="n">
        <x:v>44778</x:v>
      </x:c>
      <x:c r="G330" s="7" t="n">
        <x:v>44781</x:v>
      </x:c>
      <x:c r="H330" s="8" t="n">
        <x:v>10000</x:v>
      </x:c>
      <x:c r="I330" s="8"/>
      <x:c r="J330" s="8" t="n">
        <x:v>1</x:v>
      </x:c>
      <x:c r="K330" s="9" t="n">
        <x:v>26.15</x:v>
      </x:c>
      <x:c r="L330" s="8" t="n">
        <x:v>100</x:v>
      </x:c>
      <x:c r="M330" s="10" t="n">
        <x:v>2877</x:v>
      </x:c>
      <x:c r="N330" s="8" t="str">
        <x:v>i</x:v>
      </x:c>
      <x:c r="O330" s="8" t="n">
        <x:v>0</x:v>
      </x:c>
      <x:c r="P330" s="11" t="n">
        <x:f>MIN(X330,MAX(0,SUMIFS('Current inventory'!$D$2:$D$127,'Current inventory'!$A$2:$A$127,A330,'Current inventory'!$B$2:$B$127,B330)-SUMIFS($X$2:X329,$A$2:A329,A330,$B$2:B329,B330)))</x:f>
        <x:v>0</x:v>
      </x:c>
      <x:c r="Q330" s="1" t="str">
        <x:v>Received history</x:v>
      </x:c>
      <x:c r="R330" s="1" t="str">
        <x:v>Receipts data film c400 c800 plastic.csv</x:v>
      </x:c>
      <x:c r="S330" s="12" t="n">
        <x:f>IF(O330=1,I330*J330,0)</x:f>
        <x:v>0</x:v>
      </x:c>
      <x:c r="T330" s="13" t="n">
        <x:f>IF(L330&gt;0,K330/L330,"n.a.")</x:f>
        <x:v>0.2615</x:v>
      </x:c>
      <x:c r="U330" s="12" t="n">
        <x:f>IF(Q330="Old cost",S330,0)</x:f>
        <x:v>0</x:v>
      </x:c>
      <x:c r="V330" s="12" t="n">
        <x:f>IF(Q330="Higher cost",S330,0)</x:f>
        <x:v>0</x:v>
      </x:c>
      <x:c r="W330" s="12" t="n">
        <x:f>IF(Q330="Unclassified",S330,0)</x:f>
        <x:v>0</x:v>
      </x:c>
      <x:c r="X330" s="12" t="n">
        <x:f>IF(AND(ISNUMBER(F330),F330&gt;0,F330&lt;=Summary!$D$5,H330&gt;0),H330*J330,0)</x:f>
        <x:v>10000</x:v>
      </x:c>
    </x:row>
    <x:row r="331" ht="21" customHeight="1">
      <x:c r="A331" s="1" t="str">
        <x:v>60</x:v>
      </x:c>
      <x:c r="B331" s="1" t="str">
        <x:v>800MARE</x:v>
      </x:c>
      <x:c r="C331" s="1" t="str">
        <x:v>6102624</x:v>
      </x:c>
      <x:c r="D331" s="1" t="str">
        <x:v>2</x:v>
      </x:c>
      <x:c r="E331" s="1"/>
      <x:c r="F331" s="7" t="n">
        <x:v>44778</x:v>
      </x:c>
      <x:c r="G331" s="7" t="n">
        <x:v>44816</x:v>
      </x:c>
      <x:c r="H331" s="8" t="n">
        <x:v>0</x:v>
      </x:c>
      <x:c r="I331" s="8"/>
      <x:c r="J331" s="8" t="n">
        <x:v>1</x:v>
      </x:c>
      <x:c r="K331" s="9" t="n">
        <x:v>980</x:v>
      </x:c>
      <x:c r="L331" s="8" t="n">
        <x:v>1000</x:v>
      </x:c>
      <x:c r="M331" s="10" t="n">
        <x:v>0</x:v>
      </x:c>
      <x:c r="N331" s="8" t="str">
        <x:v>i</x:v>
      </x:c>
      <x:c r="O331" s="8" t="n">
        <x:v>0</x:v>
      </x:c>
      <x:c r="P331" s="11" t="n">
        <x:f>MIN(X331,MAX(0,SUMIFS('Current inventory'!$D$2:$D$127,'Current inventory'!$A$2:$A$127,A331,'Current inventory'!$B$2:$B$127,B331)-SUMIFS($X$2:X330,$A$2:A330,A331,$B$2:B330,B331)))</x:f>
        <x:v>0</x:v>
      </x:c>
      <x:c r="Q331" s="1" t="str">
        <x:v>Received history</x:v>
      </x:c>
      <x:c r="R331" s="1" t="str">
        <x:v>Receipts data film c400 c800 plastic.csv</x:v>
      </x:c>
      <x:c r="S331" s="12" t="n">
        <x:f>IF(O331=1,I331*J331,0)</x:f>
        <x:v>0</x:v>
      </x:c>
      <x:c r="T331" s="13" t="n">
        <x:f>IF(L331&gt;0,K331/L331,"n.a.")</x:f>
        <x:v>0.98</x:v>
      </x:c>
      <x:c r="U331" s="12" t="n">
        <x:f>IF(Q331="Old cost",S331,0)</x:f>
        <x:v>0</x:v>
      </x:c>
      <x:c r="V331" s="12" t="n">
        <x:f>IF(Q331="Higher cost",S331,0)</x:f>
        <x:v>0</x:v>
      </x:c>
      <x:c r="W331" s="12" t="n">
        <x:f>IF(Q331="Unclassified",S331,0)</x:f>
        <x:v>0</x:v>
      </x:c>
      <x:c r="X331" s="12" t="n">
        <x:f>IF(AND(ISNUMBER(F331),F331&gt;0,F331&lt;=Summary!$D$5,H331&gt;0),H331*J331,0)</x:f>
        <x:v>0</x:v>
      </x:c>
    </x:row>
    <x:row r="332" ht="21" customHeight="1">
      <x:c r="A332" s="1" t="str">
        <x:v>10</x:v>
      </x:c>
      <x:c r="B332" s="1" t="str">
        <x:v>800BBLKASC</x:v>
      </x:c>
      <x:c r="C332" s="1" t="str">
        <x:v>1054564</x:v>
      </x:c>
      <x:c r="D332" s="1" t="str">
        <x:v>2</x:v>
      </x:c>
      <x:c r="E332" s="1"/>
      <x:c r="F332" s="7" t="n">
        <x:v>44777</x:v>
      </x:c>
      <x:c r="G332" s="7" t="n">
        <x:v>44764</x:v>
      </x:c>
      <x:c r="H332" s="8" t="n">
        <x:v>240000</x:v>
      </x:c>
      <x:c r="I332" s="8"/>
      <x:c r="J332" s="8" t="n">
        <x:v>1</x:v>
      </x:c>
      <x:c r="K332" s="9" t="n">
        <x:v>10.44</x:v>
      </x:c>
      <x:c r="L332" s="8" t="n">
        <x:v>100</x:v>
      </x:c>
      <x:c r="M332" s="10" t="n">
        <x:v>27576</x:v>
      </x:c>
      <x:c r="N332" s="8" t="str">
        <x:v>i</x:v>
      </x:c>
      <x:c r="O332" s="8" t="n">
        <x:v>0</x:v>
      </x:c>
      <x:c r="P332" s="11" t="n">
        <x:f>MIN(X332,MAX(0,SUMIFS('Current inventory'!$D$2:$D$127,'Current inventory'!$A$2:$A$127,A332,'Current inventory'!$B$2:$B$127,B332)-SUMIFS($X$2:X331,$A$2:A331,A332,$B$2:B331,B332)))</x:f>
        <x:v>0</x:v>
      </x:c>
      <x:c r="Q332" s="1" t="str">
        <x:v>Received history</x:v>
      </x:c>
      <x:c r="R332" s="1" t="str">
        <x:v>Receipts data film c400 c800 plastic.csv</x:v>
      </x:c>
      <x:c r="S332" s="12" t="n">
        <x:f>IF(O332=1,I332*J332,0)</x:f>
        <x:v>0</x:v>
      </x:c>
      <x:c r="T332" s="13" t="n">
        <x:f>IF(L332&gt;0,K332/L332,"n.a.")</x:f>
        <x:v>0.10439999999999999</x:v>
      </x:c>
      <x:c r="U332" s="12" t="n">
        <x:f>IF(Q332="Old cost",S332,0)</x:f>
        <x:v>0</x:v>
      </x:c>
      <x:c r="V332" s="12" t="n">
        <x:f>IF(Q332="Higher cost",S332,0)</x:f>
        <x:v>0</x:v>
      </x:c>
      <x:c r="W332" s="12" t="n">
        <x:f>IF(Q332="Unclassified",S332,0)</x:f>
        <x:v>0</x:v>
      </x:c>
      <x:c r="X332" s="12" t="n">
        <x:f>IF(AND(ISNUMBER(F332),F332&gt;0,F332&lt;=Summary!$D$5,H332&gt;0),H332*J332,0)</x:f>
        <x:v>240000</x:v>
      </x:c>
    </x:row>
    <x:row r="333" ht="21" customHeight="1">
      <x:c r="A333" s="1" t="str">
        <x:v>10</x:v>
      </x:c>
      <x:c r="B333" s="1" t="str">
        <x:v>800BLKE</x:v>
      </x:c>
      <x:c r="C333" s="1" t="str">
        <x:v>1054564</x:v>
      </x:c>
      <x:c r="D333" s="1" t="str">
        <x:v>2</x:v>
      </x:c>
      <x:c r="E333" s="1"/>
      <x:c r="F333" s="7" t="n">
        <x:v>44777</x:v>
      </x:c>
      <x:c r="G333" s="7" t="n">
        <x:v>44764</x:v>
      </x:c>
      <x:c r="H333" s="8" t="n">
        <x:v>0</x:v>
      </x:c>
      <x:c r="I333" s="8"/>
      <x:c r="J333" s="8" t="n">
        <x:v>1</x:v>
      </x:c>
      <x:c r="K333" s="9" t="n">
        <x:v>760</x:v>
      </x:c>
      <x:c r="L333" s="8" t="n">
        <x:v>1000</x:v>
      </x:c>
      <x:c r="M333" s="10" t="n">
        <x:v>0</x:v>
      </x:c>
      <x:c r="N333" s="8" t="str">
        <x:v>i</x:v>
      </x:c>
      <x:c r="O333" s="8" t="n">
        <x:v>0</x:v>
      </x:c>
      <x:c r="P333" s="11" t="n">
        <x:f>MIN(X333,MAX(0,SUMIFS('Current inventory'!$D$2:$D$127,'Current inventory'!$A$2:$A$127,A333,'Current inventory'!$B$2:$B$127,B333)-SUMIFS($X$2:X332,$A$2:A332,A333,$B$2:B332,B333)))</x:f>
        <x:v>0</x:v>
      </x:c>
      <x:c r="Q333" s="1" t="str">
        <x:v>Received history</x:v>
      </x:c>
      <x:c r="R333" s="1" t="str">
        <x:v>Receipts data film c400 c800 plastic.csv</x:v>
      </x:c>
      <x:c r="S333" s="12" t="n">
        <x:f>IF(O333=1,I333*J333,0)</x:f>
        <x:v>0</x:v>
      </x:c>
      <x:c r="T333" s="13" t="n">
        <x:f>IF(L333&gt;0,K333/L333,"n.a.")</x:f>
        <x:v>0.76</x:v>
      </x:c>
      <x:c r="U333" s="12" t="n">
        <x:f>IF(Q333="Old cost",S333,0)</x:f>
        <x:v>0</x:v>
      </x:c>
      <x:c r="V333" s="12" t="n">
        <x:f>IF(Q333="Higher cost",S333,0)</x:f>
        <x:v>0</x:v>
      </x:c>
      <x:c r="W333" s="12" t="n">
        <x:f>IF(Q333="Unclassified",S333,0)</x:f>
        <x:v>0</x:v>
      </x:c>
      <x:c r="X333" s="12" t="n">
        <x:f>IF(AND(ISNUMBER(F333),F333&gt;0,F333&lt;=Summary!$D$5,H333&gt;0),H333*J333,0)</x:f>
        <x:v>0</x:v>
      </x:c>
    </x:row>
    <x:row r="334" ht="21" customHeight="1">
      <x:c r="A334" s="1" t="str">
        <x:v>10</x:v>
      </x:c>
      <x:c r="B334" s="1" t="str">
        <x:v>800MARE</x:v>
      </x:c>
      <x:c r="C334" s="1" t="str">
        <x:v>1054564</x:v>
      </x:c>
      <x:c r="D334" s="1" t="str">
        <x:v>2</x:v>
      </x:c>
      <x:c r="E334" s="1"/>
      <x:c r="F334" s="7" t="n">
        <x:v>44777</x:v>
      </x:c>
      <x:c r="G334" s="7" t="n">
        <x:v>44816</x:v>
      </x:c>
      <x:c r="H334" s="8" t="n">
        <x:v>0</x:v>
      </x:c>
      <x:c r="I334" s="8"/>
      <x:c r="J334" s="8" t="n">
        <x:v>1</x:v>
      </x:c>
      <x:c r="K334" s="9" t="n">
        <x:v>1040</x:v>
      </x:c>
      <x:c r="L334" s="8" t="n">
        <x:v>1000</x:v>
      </x:c>
      <x:c r="M334" s="10" t="n">
        <x:v>0</x:v>
      </x:c>
      <x:c r="N334" s="8" t="str">
        <x:v>i</x:v>
      </x:c>
      <x:c r="O334" s="8" t="n">
        <x:v>0</x:v>
      </x:c>
      <x:c r="P334" s="11" t="n">
        <x:f>MIN(X334,MAX(0,SUMIFS('Current inventory'!$D$2:$D$127,'Current inventory'!$A$2:$A$127,A334,'Current inventory'!$B$2:$B$127,B334)-SUMIFS($X$2:X333,$A$2:A333,A334,$B$2:B333,B334)))</x:f>
        <x:v>0</x:v>
      </x:c>
      <x:c r="Q334" s="1" t="str">
        <x:v>Received history</x:v>
      </x:c>
      <x:c r="R334" s="1" t="str">
        <x:v>Receipts data film c400 c800 plastic.csv</x:v>
      </x:c>
      <x:c r="S334" s="12" t="n">
        <x:f>IF(O334=1,I334*J334,0)</x:f>
        <x:v>0</x:v>
      </x:c>
      <x:c r="T334" s="13" t="n">
        <x:f>IF(L334&gt;0,K334/L334,"n.a.")</x:f>
        <x:v>1.04</x:v>
      </x:c>
      <x:c r="U334" s="12" t="n">
        <x:f>IF(Q334="Old cost",S334,0)</x:f>
        <x:v>0</x:v>
      </x:c>
      <x:c r="V334" s="12" t="n">
        <x:f>IF(Q334="Higher cost",S334,0)</x:f>
        <x:v>0</x:v>
      </x:c>
      <x:c r="W334" s="12" t="n">
        <x:f>IF(Q334="Unclassified",S334,0)</x:f>
        <x:v>0</x:v>
      </x:c>
      <x:c r="X334" s="12" t="n">
        <x:f>IF(AND(ISNUMBER(F334),F334&gt;0,F334&lt;=Summary!$D$5,H334&gt;0),H334*J334,0)</x:f>
        <x:v>0</x:v>
      </x:c>
    </x:row>
    <x:row r="335" ht="21" customHeight="1">
      <x:c r="A335" s="1" t="str">
        <x:v>10</x:v>
      </x:c>
      <x:c r="B335" s="1" t="str">
        <x:v>800NAVE</x:v>
      </x:c>
      <x:c r="C335" s="1" t="str">
        <x:v>1054564</x:v>
      </x:c>
      <x:c r="D335" s="1" t="str">
        <x:v>2</x:v>
      </x:c>
      <x:c r="E335" s="1"/>
      <x:c r="F335" s="7" t="n">
        <x:v>44777</x:v>
      </x:c>
      <x:c r="G335" s="7" t="n">
        <x:v>44816</x:v>
      </x:c>
      <x:c r="H335" s="8" t="n">
        <x:v>0</x:v>
      </x:c>
      <x:c r="I335" s="8"/>
      <x:c r="J335" s="8" t="n">
        <x:v>1</x:v>
      </x:c>
      <x:c r="K335" s="9" t="n">
        <x:v>990</x:v>
      </x:c>
      <x:c r="L335" s="8" t="n">
        <x:v>1000</x:v>
      </x:c>
      <x:c r="M335" s="10" t="n">
        <x:v>0</x:v>
      </x:c>
      <x:c r="N335" s="8" t="str">
        <x:v>i</x:v>
      </x:c>
      <x:c r="O335" s="8" t="n">
        <x:v>0</x:v>
      </x:c>
      <x:c r="P335" s="11" t="n">
        <x:f>MIN(X335,MAX(0,SUMIFS('Current inventory'!$D$2:$D$127,'Current inventory'!$A$2:$A$127,A335,'Current inventory'!$B$2:$B$127,B335)-SUMIFS($X$2:X334,$A$2:A334,A335,$B$2:B334,B335)))</x:f>
        <x:v>0</x:v>
      </x:c>
      <x:c r="Q335" s="1" t="str">
        <x:v>Received history</x:v>
      </x:c>
      <x:c r="R335" s="1" t="str">
        <x:v>Receipts data film c400 c800 plastic.csv</x:v>
      </x:c>
      <x:c r="S335" s="12" t="n">
        <x:f>IF(O335=1,I335*J335,0)</x:f>
        <x:v>0</x:v>
      </x:c>
      <x:c r="T335" s="13" t="n">
        <x:f>IF(L335&gt;0,K335/L335,"n.a.")</x:f>
        <x:v>0.99</x:v>
      </x:c>
      <x:c r="U335" s="12" t="n">
        <x:f>IF(Q335="Old cost",S335,0)</x:f>
        <x:v>0</x:v>
      </x:c>
      <x:c r="V335" s="12" t="n">
        <x:f>IF(Q335="Higher cost",S335,0)</x:f>
        <x:v>0</x:v>
      </x:c>
      <x:c r="W335" s="12" t="n">
        <x:f>IF(Q335="Unclassified",S335,0)</x:f>
        <x:v>0</x:v>
      </x:c>
      <x:c r="X335" s="12" t="n">
        <x:f>IF(AND(ISNUMBER(F335),F335&gt;0,F335&lt;=Summary!$D$5,H335&gt;0),H335*J335,0)</x:f>
        <x:v>0</x:v>
      </x:c>
    </x:row>
    <x:row r="336" ht="21" customHeight="1">
      <x:c r="A336" s="1" t="str">
        <x:v>10</x:v>
      </x:c>
      <x:c r="B336" s="1" t="str">
        <x:v>800BBLKDSC</x:v>
      </x:c>
      <x:c r="C336" s="1" t="str">
        <x:v>1054353</x:v>
      </x:c>
      <x:c r="D336" s="1" t="str">
        <x:v>2</x:v>
      </x:c>
      <x:c r="E336" s="1"/>
      <x:c r="F336" s="7" t="n">
        <x:v>44777</x:v>
      </x:c>
      <x:c r="G336" s="7" t="n">
        <x:v>44781</x:v>
      </x:c>
      <x:c r="H336" s="8" t="n">
        <x:v>16000</x:v>
      </x:c>
      <x:c r="I336" s="8"/>
      <x:c r="J336" s="8" t="n">
        <x:v>1</x:v>
      </x:c>
      <x:c r="K336" s="9" t="n">
        <x:v>26.15</x:v>
      </x:c>
      <x:c r="L336" s="8" t="n">
        <x:v>100</x:v>
      </x:c>
      <x:c r="M336" s="10" t="n">
        <x:v>4603.2</x:v>
      </x:c>
      <x:c r="N336" s="8" t="str">
        <x:v>i</x:v>
      </x:c>
      <x:c r="O336" s="8" t="n">
        <x:v>0</x:v>
      </x:c>
      <x:c r="P336" s="11" t="n">
        <x:f>MIN(X336,MAX(0,SUMIFS('Current inventory'!$D$2:$D$127,'Current inventory'!$A$2:$A$127,A336,'Current inventory'!$B$2:$B$127,B336)-SUMIFS($X$2:X335,$A$2:A335,A336,$B$2:B335,B336)))</x:f>
        <x:v>0</x:v>
      </x:c>
      <x:c r="Q336" s="1" t="str">
        <x:v>Received history</x:v>
      </x:c>
      <x:c r="R336" s="1" t="str">
        <x:v>Receipts data film c400 c800 plastic.csv</x:v>
      </x:c>
      <x:c r="S336" s="12" t="n">
        <x:f>IF(O336=1,I336*J336,0)</x:f>
        <x:v>0</x:v>
      </x:c>
      <x:c r="T336" s="13" t="n">
        <x:f>IF(L336&gt;0,K336/L336,"n.a.")</x:f>
        <x:v>0.2615</x:v>
      </x:c>
      <x:c r="U336" s="12" t="n">
        <x:f>IF(Q336="Old cost",S336,0)</x:f>
        <x:v>0</x:v>
      </x:c>
      <x:c r="V336" s="12" t="n">
        <x:f>IF(Q336="Higher cost",S336,0)</x:f>
        <x:v>0</x:v>
      </x:c>
      <x:c r="W336" s="12" t="n">
        <x:f>IF(Q336="Unclassified",S336,0)</x:f>
        <x:v>0</x:v>
      </x:c>
      <x:c r="X336" s="12" t="n">
        <x:f>IF(AND(ISNUMBER(F336),F336&gt;0,F336&lt;=Summary!$D$5,H336&gt;0),H336*J336,0)</x:f>
        <x:v>16000</x:v>
      </x:c>
    </x:row>
    <x:row r="337" ht="21" customHeight="1">
      <x:c r="A337" s="1" t="str">
        <x:v>10</x:v>
      </x:c>
      <x:c r="B337" s="1" t="str">
        <x:v>800MARE</x:v>
      </x:c>
      <x:c r="C337" s="1" t="str">
        <x:v>1054353</x:v>
      </x:c>
      <x:c r="D337" s="1" t="str">
        <x:v>2</x:v>
      </x:c>
      <x:c r="E337" s="1"/>
      <x:c r="F337" s="7" t="n">
        <x:v>44777</x:v>
      </x:c>
      <x:c r="G337" s="7" t="n">
        <x:v>44816</x:v>
      </x:c>
      <x:c r="H337" s="8" t="n">
        <x:v>0</x:v>
      </x:c>
      <x:c r="I337" s="8"/>
      <x:c r="J337" s="8" t="n">
        <x:v>1</x:v>
      </x:c>
      <x:c r="K337" s="9" t="n">
        <x:v>980</x:v>
      </x:c>
      <x:c r="L337" s="8" t="n">
        <x:v>1000</x:v>
      </x:c>
      <x:c r="M337" s="10" t="n">
        <x:v>0</x:v>
      </x:c>
      <x:c r="N337" s="8" t="str">
        <x:v>i</x:v>
      </x:c>
      <x:c r="O337" s="8" t="n">
        <x:v>0</x:v>
      </x:c>
      <x:c r="P337" s="11" t="n">
        <x:f>MIN(X337,MAX(0,SUMIFS('Current inventory'!$D$2:$D$127,'Current inventory'!$A$2:$A$127,A337,'Current inventory'!$B$2:$B$127,B337)-SUMIFS($X$2:X336,$A$2:A336,A337,$B$2:B336,B337)))</x:f>
        <x:v>0</x:v>
      </x:c>
      <x:c r="Q337" s="1" t="str">
        <x:v>Received history</x:v>
      </x:c>
      <x:c r="R337" s="1" t="str">
        <x:v>Receipts data film c400 c800 plastic.csv</x:v>
      </x:c>
      <x:c r="S337" s="12" t="n">
        <x:f>IF(O337=1,I337*J337,0)</x:f>
        <x:v>0</x:v>
      </x:c>
      <x:c r="T337" s="13" t="n">
        <x:f>IF(L337&gt;0,K337/L337,"n.a.")</x:f>
        <x:v>0.98</x:v>
      </x:c>
      <x:c r="U337" s="12" t="n">
        <x:f>IF(Q337="Old cost",S337,0)</x:f>
        <x:v>0</x:v>
      </x:c>
      <x:c r="V337" s="12" t="n">
        <x:f>IF(Q337="Higher cost",S337,0)</x:f>
        <x:v>0</x:v>
      </x:c>
      <x:c r="W337" s="12" t="n">
        <x:f>IF(Q337="Unclassified",S337,0)</x:f>
        <x:v>0</x:v>
      </x:c>
      <x:c r="X337" s="12" t="n">
        <x:f>IF(AND(ISNUMBER(F337),F337&gt;0,F337&lt;=Summary!$D$5,H337&gt;0),H337*J337,0)</x:f>
        <x:v>0</x:v>
      </x:c>
    </x:row>
    <x:row r="338" ht="21" customHeight="1">
      <x:c r="A338" s="1" t="str">
        <x:v>60</x:v>
      </x:c>
      <x:c r="B338" s="1" t="str">
        <x:v>800BBLKASC</x:v>
      </x:c>
      <x:c r="C338" s="1" t="str">
        <x:v>6102638</x:v>
      </x:c>
      <x:c r="D338" s="1" t="str">
        <x:v>1</x:v>
      </x:c>
      <x:c r="E338" s="1"/>
      <x:c r="F338" s="7" t="n">
        <x:v>44735</x:v>
      </x:c>
      <x:c r="G338" s="7" t="n">
        <x:v>44764</x:v>
      </x:c>
      <x:c r="H338" s="8" t="n">
        <x:v>40000</x:v>
      </x:c>
      <x:c r="I338" s="8"/>
      <x:c r="J338" s="8" t="n">
        <x:v>1</x:v>
      </x:c>
      <x:c r="K338" s="9" t="n">
        <x:v>10.44</x:v>
      </x:c>
      <x:c r="L338" s="8" t="n">
        <x:v>100</x:v>
      </x:c>
      <x:c r="M338" s="10" t="n">
        <x:v>4596</x:v>
      </x:c>
      <x:c r="N338" s="8" t="str">
        <x:v>i</x:v>
      </x:c>
      <x:c r="O338" s="8" t="n">
        <x:v>0</x:v>
      </x:c>
      <x:c r="P338" s="11" t="n">
        <x:f>MIN(X338,MAX(0,SUMIFS('Current inventory'!$D$2:$D$127,'Current inventory'!$A$2:$A$127,A338,'Current inventory'!$B$2:$B$127,B338)-SUMIFS($X$2:X337,$A$2:A337,A338,$B$2:B337,B338)))</x:f>
        <x:v>0</x:v>
      </x:c>
      <x:c r="Q338" s="1" t="str">
        <x:v>Received history</x:v>
      </x:c>
      <x:c r="R338" s="1" t="str">
        <x:v>Receipts data film c400 c800 plastic.csv</x:v>
      </x:c>
      <x:c r="S338" s="12" t="n">
        <x:f>IF(O338=1,I338*J338,0)</x:f>
        <x:v>0</x:v>
      </x:c>
      <x:c r="T338" s="13" t="n">
        <x:f>IF(L338&gt;0,K338/L338,"n.a.")</x:f>
        <x:v>0.10439999999999999</x:v>
      </x:c>
      <x:c r="U338" s="12" t="n">
        <x:f>IF(Q338="Old cost",S338,0)</x:f>
        <x:v>0</x:v>
      </x:c>
      <x:c r="V338" s="12" t="n">
        <x:f>IF(Q338="Higher cost",S338,0)</x:f>
        <x:v>0</x:v>
      </x:c>
      <x:c r="W338" s="12" t="n">
        <x:f>IF(Q338="Unclassified",S338,0)</x:f>
        <x:v>0</x:v>
      </x:c>
      <x:c r="X338" s="12" t="n">
        <x:f>IF(AND(ISNUMBER(F338),F338&gt;0,F338&lt;=Summary!$D$5,H338&gt;0),H338*J338,0)</x:f>
        <x:v>40000</x:v>
      </x:c>
    </x:row>
    <x:row r="339" ht="21" customHeight="1">
      <x:c r="A339" s="1" t="str">
        <x:v>60</x:v>
      </x:c>
      <x:c r="B339" s="1" t="str">
        <x:v>800BLKE</x:v>
      </x:c>
      <x:c r="C339" s="1" t="str">
        <x:v>6102638</x:v>
      </x:c>
      <x:c r="D339" s="1" t="str">
        <x:v>1</x:v>
      </x:c>
      <x:c r="E339" s="1"/>
      <x:c r="F339" s="7" t="n">
        <x:v>44735</x:v>
      </x:c>
      <x:c r="G339" s="7" t="n">
        <x:v>44764</x:v>
      </x:c>
      <x:c r="H339" s="8" t="n">
        <x:v>0</x:v>
      </x:c>
      <x:c r="I339" s="8"/>
      <x:c r="J339" s="8" t="n">
        <x:v>1</x:v>
      </x:c>
      <x:c r="K339" s="9" t="n">
        <x:v>760</x:v>
      </x:c>
      <x:c r="L339" s="8" t="n">
        <x:v>1000</x:v>
      </x:c>
      <x:c r="M339" s="10" t="n">
        <x:v>0</x:v>
      </x:c>
      <x:c r="N339" s="8" t="str">
        <x:v>i</x:v>
      </x:c>
      <x:c r="O339" s="8" t="n">
        <x:v>0</x:v>
      </x:c>
      <x:c r="P339" s="11" t="n">
        <x:f>MIN(X339,MAX(0,SUMIFS('Current inventory'!$D$2:$D$127,'Current inventory'!$A$2:$A$127,A339,'Current inventory'!$B$2:$B$127,B339)-SUMIFS($X$2:X338,$A$2:A338,A339,$B$2:B338,B339)))</x:f>
        <x:v>0</x:v>
      </x:c>
      <x:c r="Q339" s="1" t="str">
        <x:v>Received history</x:v>
      </x:c>
      <x:c r="R339" s="1" t="str">
        <x:v>Receipts data film c400 c800 plastic.csv</x:v>
      </x:c>
      <x:c r="S339" s="12" t="n">
        <x:f>IF(O339=1,I339*J339,0)</x:f>
        <x:v>0</x:v>
      </x:c>
      <x:c r="T339" s="13" t="n">
        <x:f>IF(L339&gt;0,K339/L339,"n.a.")</x:f>
        <x:v>0.76</x:v>
      </x:c>
      <x:c r="U339" s="12" t="n">
        <x:f>IF(Q339="Old cost",S339,0)</x:f>
        <x:v>0</x:v>
      </x:c>
      <x:c r="V339" s="12" t="n">
        <x:f>IF(Q339="Higher cost",S339,0)</x:f>
        <x:v>0</x:v>
      </x:c>
      <x:c r="W339" s="12" t="n">
        <x:f>IF(Q339="Unclassified",S339,0)</x:f>
        <x:v>0</x:v>
      </x:c>
      <x:c r="X339" s="12" t="n">
        <x:f>IF(AND(ISNUMBER(F339),F339&gt;0,F339&lt;=Summary!$D$5,H339&gt;0),H339*J339,0)</x:f>
        <x:v>0</x:v>
      </x:c>
    </x:row>
    <x:row r="340" ht="21" customHeight="1">
      <x:c r="A340" s="1" t="str">
        <x:v>60</x:v>
      </x:c>
      <x:c r="B340" s="1" t="str">
        <x:v>800MARE</x:v>
      </x:c>
      <x:c r="C340" s="1" t="str">
        <x:v>6102638</x:v>
      </x:c>
      <x:c r="D340" s="1" t="str">
        <x:v>1</x:v>
      </x:c>
      <x:c r="E340" s="1"/>
      <x:c r="F340" s="7" t="n">
        <x:v>44735</x:v>
      </x:c>
      <x:c r="G340" s="7" t="n">
        <x:v>44764</x:v>
      </x:c>
      <x:c r="H340" s="8" t="n">
        <x:v>0</x:v>
      </x:c>
      <x:c r="I340" s="8"/>
      <x:c r="J340" s="8" t="n">
        <x:v>1</x:v>
      </x:c>
      <x:c r="K340" s="9" t="n">
        <x:v>1040</x:v>
      </x:c>
      <x:c r="L340" s="8" t="n">
        <x:v>1000</x:v>
      </x:c>
      <x:c r="M340" s="10" t="n">
        <x:v>0</x:v>
      </x:c>
      <x:c r="N340" s="8" t="str">
        <x:v>i</x:v>
      </x:c>
      <x:c r="O340" s="8" t="n">
        <x:v>0</x:v>
      </x:c>
      <x:c r="P340" s="11" t="n">
        <x:f>MIN(X340,MAX(0,SUMIFS('Current inventory'!$D$2:$D$127,'Current inventory'!$A$2:$A$127,A340,'Current inventory'!$B$2:$B$127,B340)-SUMIFS($X$2:X339,$A$2:A339,A340,$B$2:B339,B340)))</x:f>
        <x:v>0</x:v>
      </x:c>
      <x:c r="Q340" s="1" t="str">
        <x:v>Received history</x:v>
      </x:c>
      <x:c r="R340" s="1" t="str">
        <x:v>Receipts data film c400 c800 plastic.csv</x:v>
      </x:c>
      <x:c r="S340" s="12" t="n">
        <x:f>IF(O340=1,I340*J340,0)</x:f>
        <x:v>0</x:v>
      </x:c>
      <x:c r="T340" s="13" t="n">
        <x:f>IF(L340&gt;0,K340/L340,"n.a.")</x:f>
        <x:v>1.04</x:v>
      </x:c>
      <x:c r="U340" s="12" t="n">
        <x:f>IF(Q340="Old cost",S340,0)</x:f>
        <x:v>0</x:v>
      </x:c>
      <x:c r="V340" s="12" t="n">
        <x:f>IF(Q340="Higher cost",S340,0)</x:f>
        <x:v>0</x:v>
      </x:c>
      <x:c r="W340" s="12" t="n">
        <x:f>IF(Q340="Unclassified",S340,0)</x:f>
        <x:v>0</x:v>
      </x:c>
      <x:c r="X340" s="12" t="n">
        <x:f>IF(AND(ISNUMBER(F340),F340&gt;0,F340&lt;=Summary!$D$5,H340&gt;0),H340*J340,0)</x:f>
        <x:v>0</x:v>
      </x:c>
    </x:row>
    <x:row r="341" ht="21" customHeight="1">
      <x:c r="A341" s="1" t="str">
        <x:v>60</x:v>
      </x:c>
      <x:c r="B341" s="1" t="str">
        <x:v>800NAVE</x:v>
      </x:c>
      <x:c r="C341" s="1" t="str">
        <x:v>6102638</x:v>
      </x:c>
      <x:c r="D341" s="1" t="str">
        <x:v>1</x:v>
      </x:c>
      <x:c r="E341" s="1"/>
      <x:c r="F341" s="7" t="n">
        <x:v>44735</x:v>
      </x:c>
      <x:c r="G341" s="7" t="n">
        <x:v>44764</x:v>
      </x:c>
      <x:c r="H341" s="8" t="n">
        <x:v>0</x:v>
      </x:c>
      <x:c r="I341" s="8"/>
      <x:c r="J341" s="8" t="n">
        <x:v>1</x:v>
      </x:c>
      <x:c r="K341" s="9" t="n">
        <x:v>990</x:v>
      </x:c>
      <x:c r="L341" s="8" t="n">
        <x:v>1000</x:v>
      </x:c>
      <x:c r="M341" s="10" t="n">
        <x:v>0</x:v>
      </x:c>
      <x:c r="N341" s="8" t="str">
        <x:v>i</x:v>
      </x:c>
      <x:c r="O341" s="8" t="n">
        <x:v>0</x:v>
      </x:c>
      <x:c r="P341" s="11" t="n">
        <x:f>MIN(X341,MAX(0,SUMIFS('Current inventory'!$D$2:$D$127,'Current inventory'!$A$2:$A$127,A341,'Current inventory'!$B$2:$B$127,B341)-SUMIFS($X$2:X340,$A$2:A340,A341,$B$2:B340,B341)))</x:f>
        <x:v>0</x:v>
      </x:c>
      <x:c r="Q341" s="1" t="str">
        <x:v>Received history</x:v>
      </x:c>
      <x:c r="R341" s="1" t="str">
        <x:v>Receipts data film c400 c800 plastic.csv</x:v>
      </x:c>
      <x:c r="S341" s="12" t="n">
        <x:f>IF(O341=1,I341*J341,0)</x:f>
        <x:v>0</x:v>
      </x:c>
      <x:c r="T341" s="13" t="n">
        <x:f>IF(L341&gt;0,K341/L341,"n.a.")</x:f>
        <x:v>0.99</x:v>
      </x:c>
      <x:c r="U341" s="12" t="n">
        <x:f>IF(Q341="Old cost",S341,0)</x:f>
        <x:v>0</x:v>
      </x:c>
      <x:c r="V341" s="12" t="n">
        <x:f>IF(Q341="Higher cost",S341,0)</x:f>
        <x:v>0</x:v>
      </x:c>
      <x:c r="W341" s="12" t="n">
        <x:f>IF(Q341="Unclassified",S341,0)</x:f>
        <x:v>0</x:v>
      </x:c>
      <x:c r="X341" s="12" t="n">
        <x:f>IF(AND(ISNUMBER(F341),F341&gt;0,F341&lt;=Summary!$D$5,H341&gt;0),H341*J341,0)</x:f>
        <x:v>0</x:v>
      </x:c>
    </x:row>
    <x:row r="342" ht="21" customHeight="1">
      <x:c r="A342" s="1" t="str">
        <x:v>10</x:v>
      </x:c>
      <x:c r="B342" s="1" t="str">
        <x:v>800BBLKASC</x:v>
      </x:c>
      <x:c r="C342" s="1" t="str">
        <x:v>1054564</x:v>
      </x:c>
      <x:c r="D342" s="1" t="str">
        <x:v>1</x:v>
      </x:c>
      <x:c r="E342" s="1"/>
      <x:c r="F342" s="7" t="n">
        <x:v>44735</x:v>
      </x:c>
      <x:c r="G342" s="7" t="n">
        <x:v>44764</x:v>
      </x:c>
      <x:c r="H342" s="8" t="n">
        <x:v>40000</x:v>
      </x:c>
      <x:c r="I342" s="8"/>
      <x:c r="J342" s="8" t="n">
        <x:v>1</x:v>
      </x:c>
      <x:c r="K342" s="9" t="n">
        <x:v>10.44</x:v>
      </x:c>
      <x:c r="L342" s="8" t="n">
        <x:v>100</x:v>
      </x:c>
      <x:c r="M342" s="10" t="n">
        <x:v>4596</x:v>
      </x:c>
      <x:c r="N342" s="8" t="str">
        <x:v>i</x:v>
      </x:c>
      <x:c r="O342" s="8" t="n">
        <x:v>0</x:v>
      </x:c>
      <x:c r="P342" s="11" t="n">
        <x:f>MIN(X342,MAX(0,SUMIFS('Current inventory'!$D$2:$D$127,'Current inventory'!$A$2:$A$127,A342,'Current inventory'!$B$2:$B$127,B342)-SUMIFS($X$2:X341,$A$2:A341,A342,$B$2:B341,B342)))</x:f>
        <x:v>0</x:v>
      </x:c>
      <x:c r="Q342" s="1" t="str">
        <x:v>Received history</x:v>
      </x:c>
      <x:c r="R342" s="1" t="str">
        <x:v>Receipts data film c400 c800 plastic.csv</x:v>
      </x:c>
      <x:c r="S342" s="12" t="n">
        <x:f>IF(O342=1,I342*J342,0)</x:f>
        <x:v>0</x:v>
      </x:c>
      <x:c r="T342" s="13" t="n">
        <x:f>IF(L342&gt;0,K342/L342,"n.a.")</x:f>
        <x:v>0.10439999999999999</x:v>
      </x:c>
      <x:c r="U342" s="12" t="n">
        <x:f>IF(Q342="Old cost",S342,0)</x:f>
        <x:v>0</x:v>
      </x:c>
      <x:c r="V342" s="12" t="n">
        <x:f>IF(Q342="Higher cost",S342,0)</x:f>
        <x:v>0</x:v>
      </x:c>
      <x:c r="W342" s="12" t="n">
        <x:f>IF(Q342="Unclassified",S342,0)</x:f>
        <x:v>0</x:v>
      </x:c>
      <x:c r="X342" s="12" t="n">
        <x:f>IF(AND(ISNUMBER(F342),F342&gt;0,F342&lt;=Summary!$D$5,H342&gt;0),H342*J342,0)</x:f>
        <x:v>40000</x:v>
      </x:c>
    </x:row>
    <x:row r="343" ht="21" customHeight="1">
      <x:c r="A343" s="1" t="str">
        <x:v>10</x:v>
      </x:c>
      <x:c r="B343" s="1" t="str">
        <x:v>800BLKE</x:v>
      </x:c>
      <x:c r="C343" s="1" t="str">
        <x:v>1054564</x:v>
      </x:c>
      <x:c r="D343" s="1" t="str">
        <x:v>1</x:v>
      </x:c>
      <x:c r="E343" s="1"/>
      <x:c r="F343" s="7" t="n">
        <x:v>44735</x:v>
      </x:c>
      <x:c r="G343" s="7" t="n">
        <x:v>44764</x:v>
      </x:c>
      <x:c r="H343" s="8" t="n">
        <x:v>0</x:v>
      </x:c>
      <x:c r="I343" s="8"/>
      <x:c r="J343" s="8" t="n">
        <x:v>1</x:v>
      </x:c>
      <x:c r="K343" s="9" t="n">
        <x:v>760</x:v>
      </x:c>
      <x:c r="L343" s="8" t="n">
        <x:v>1000</x:v>
      </x:c>
      <x:c r="M343" s="10" t="n">
        <x:v>0</x:v>
      </x:c>
      <x:c r="N343" s="8" t="str">
        <x:v>i</x:v>
      </x:c>
      <x:c r="O343" s="8" t="n">
        <x:v>0</x:v>
      </x:c>
      <x:c r="P343" s="11" t="n">
        <x:f>MIN(X343,MAX(0,SUMIFS('Current inventory'!$D$2:$D$127,'Current inventory'!$A$2:$A$127,A343,'Current inventory'!$B$2:$B$127,B343)-SUMIFS($X$2:X342,$A$2:A342,A343,$B$2:B342,B343)))</x:f>
        <x:v>0</x:v>
      </x:c>
      <x:c r="Q343" s="1" t="str">
        <x:v>Received history</x:v>
      </x:c>
      <x:c r="R343" s="1" t="str">
        <x:v>Receipts data film c400 c800 plastic.csv</x:v>
      </x:c>
      <x:c r="S343" s="12" t="n">
        <x:f>IF(O343=1,I343*J343,0)</x:f>
        <x:v>0</x:v>
      </x:c>
      <x:c r="T343" s="13" t="n">
        <x:f>IF(L343&gt;0,K343/L343,"n.a.")</x:f>
        <x:v>0.76</x:v>
      </x:c>
      <x:c r="U343" s="12" t="n">
        <x:f>IF(Q343="Old cost",S343,0)</x:f>
        <x:v>0</x:v>
      </x:c>
      <x:c r="V343" s="12" t="n">
        <x:f>IF(Q343="Higher cost",S343,0)</x:f>
        <x:v>0</x:v>
      </x:c>
      <x:c r="W343" s="12" t="n">
        <x:f>IF(Q343="Unclassified",S343,0)</x:f>
        <x:v>0</x:v>
      </x:c>
      <x:c r="X343" s="12" t="n">
        <x:f>IF(AND(ISNUMBER(F343),F343&gt;0,F343&lt;=Summary!$D$5,H343&gt;0),H343*J343,0)</x:f>
        <x:v>0</x:v>
      </x:c>
    </x:row>
    <x:row r="344" ht="21" customHeight="1">
      <x:c r="A344" s="1" t="str">
        <x:v>10</x:v>
      </x:c>
      <x:c r="B344" s="1" t="str">
        <x:v>800MARE</x:v>
      </x:c>
      <x:c r="C344" s="1" t="str">
        <x:v>1054564</x:v>
      </x:c>
      <x:c r="D344" s="1" t="str">
        <x:v>1</x:v>
      </x:c>
      <x:c r="E344" s="1"/>
      <x:c r="F344" s="7" t="n">
        <x:v>44735</x:v>
      </x:c>
      <x:c r="G344" s="7" t="n">
        <x:v>44764</x:v>
      </x:c>
      <x:c r="H344" s="8" t="n">
        <x:v>0</x:v>
      </x:c>
      <x:c r="I344" s="8"/>
      <x:c r="J344" s="8" t="n">
        <x:v>1</x:v>
      </x:c>
      <x:c r="K344" s="9" t="n">
        <x:v>1040</x:v>
      </x:c>
      <x:c r="L344" s="8" t="n">
        <x:v>1000</x:v>
      </x:c>
      <x:c r="M344" s="10" t="n">
        <x:v>0</x:v>
      </x:c>
      <x:c r="N344" s="8" t="str">
        <x:v>i</x:v>
      </x:c>
      <x:c r="O344" s="8" t="n">
        <x:v>0</x:v>
      </x:c>
      <x:c r="P344" s="11" t="n">
        <x:f>MIN(X344,MAX(0,SUMIFS('Current inventory'!$D$2:$D$127,'Current inventory'!$A$2:$A$127,A344,'Current inventory'!$B$2:$B$127,B344)-SUMIFS($X$2:X343,$A$2:A343,A344,$B$2:B343,B344)))</x:f>
        <x:v>0</x:v>
      </x:c>
      <x:c r="Q344" s="1" t="str">
        <x:v>Received history</x:v>
      </x:c>
      <x:c r="R344" s="1" t="str">
        <x:v>Receipts data film c400 c800 plastic.csv</x:v>
      </x:c>
      <x:c r="S344" s="12" t="n">
        <x:f>IF(O344=1,I344*J344,0)</x:f>
        <x:v>0</x:v>
      </x:c>
      <x:c r="T344" s="13" t="n">
        <x:f>IF(L344&gt;0,K344/L344,"n.a.")</x:f>
        <x:v>1.04</x:v>
      </x:c>
      <x:c r="U344" s="12" t="n">
        <x:f>IF(Q344="Old cost",S344,0)</x:f>
        <x:v>0</x:v>
      </x:c>
      <x:c r="V344" s="12" t="n">
        <x:f>IF(Q344="Higher cost",S344,0)</x:f>
        <x:v>0</x:v>
      </x:c>
      <x:c r="W344" s="12" t="n">
        <x:f>IF(Q344="Unclassified",S344,0)</x:f>
        <x:v>0</x:v>
      </x:c>
      <x:c r="X344" s="12" t="n">
        <x:f>IF(AND(ISNUMBER(F344),F344&gt;0,F344&lt;=Summary!$D$5,H344&gt;0),H344*J344,0)</x:f>
        <x:v>0</x:v>
      </x:c>
    </x:row>
    <x:row r="345" ht="21" customHeight="1">
      <x:c r="A345" s="1" t="str">
        <x:v>10</x:v>
      </x:c>
      <x:c r="B345" s="1" t="str">
        <x:v>800NAVE</x:v>
      </x:c>
      <x:c r="C345" s="1" t="str">
        <x:v>1054564</x:v>
      </x:c>
      <x:c r="D345" s="1" t="str">
        <x:v>1</x:v>
      </x:c>
      <x:c r="E345" s="1"/>
      <x:c r="F345" s="7" t="n">
        <x:v>44735</x:v>
      </x:c>
      <x:c r="G345" s="7" t="n">
        <x:v>44764</x:v>
      </x:c>
      <x:c r="H345" s="8" t="n">
        <x:v>0</x:v>
      </x:c>
      <x:c r="I345" s="8"/>
      <x:c r="J345" s="8" t="n">
        <x:v>1</x:v>
      </x:c>
      <x:c r="K345" s="9" t="n">
        <x:v>990</x:v>
      </x:c>
      <x:c r="L345" s="8" t="n">
        <x:v>1000</x:v>
      </x:c>
      <x:c r="M345" s="10" t="n">
        <x:v>0</x:v>
      </x:c>
      <x:c r="N345" s="8" t="str">
        <x:v>i</x:v>
      </x:c>
      <x:c r="O345" s="8" t="n">
        <x:v>0</x:v>
      </x:c>
      <x:c r="P345" s="11" t="n">
        <x:f>MIN(X345,MAX(0,SUMIFS('Current inventory'!$D$2:$D$127,'Current inventory'!$A$2:$A$127,A345,'Current inventory'!$B$2:$B$127,B345)-SUMIFS($X$2:X344,$A$2:A344,A345,$B$2:B344,B345)))</x:f>
        <x:v>0</x:v>
      </x:c>
      <x:c r="Q345" s="1" t="str">
        <x:v>Received history</x:v>
      </x:c>
      <x:c r="R345" s="1" t="str">
        <x:v>Receipts data film c400 c800 plastic.csv</x:v>
      </x:c>
      <x:c r="S345" s="12" t="n">
        <x:f>IF(O345=1,I345*J345,0)</x:f>
        <x:v>0</x:v>
      </x:c>
      <x:c r="T345" s="13" t="n">
        <x:f>IF(L345&gt;0,K345/L345,"n.a.")</x:f>
        <x:v>0.99</x:v>
      </x:c>
      <x:c r="U345" s="12" t="n">
        <x:f>IF(Q345="Old cost",S345,0)</x:f>
        <x:v>0</x:v>
      </x:c>
      <x:c r="V345" s="12" t="n">
        <x:f>IF(Q345="Higher cost",S345,0)</x:f>
        <x:v>0</x:v>
      </x:c>
      <x:c r="W345" s="12" t="n">
        <x:f>IF(Q345="Unclassified",S345,0)</x:f>
        <x:v>0</x:v>
      </x:c>
      <x:c r="X345" s="12" t="n">
        <x:f>IF(AND(ISNUMBER(F345),F345&gt;0,F345&lt;=Summary!$D$5,H345&gt;0),H345*J345,0)</x:f>
        <x:v>0</x:v>
      </x:c>
    </x:row>
    <x:row r="346" ht="21" customHeight="1">
      <x:c r="A346" s="1" t="str">
        <x:v>10</x:v>
      </x:c>
      <x:c r="B346" s="1" t="str">
        <x:v>800BBLKASC</x:v>
      </x:c>
      <x:c r="C346" s="1" t="str">
        <x:v>1054564</x:v>
      </x:c>
      <x:c r="D346" s="1" t="str">
        <x:v>0</x:v>
      </x:c>
      <x:c r="E346" s="1"/>
      <x:c r="F346" s="7" t="n">
        <x:v>44735</x:v>
      </x:c>
      <x:c r="G346" s="7" t="n">
        <x:v>44764</x:v>
      </x:c>
      <x:c r="H346" s="8" t="n">
        <x:v>40000</x:v>
      </x:c>
      <x:c r="I346" s="8"/>
      <x:c r="J346" s="8" t="n">
        <x:v>1</x:v>
      </x:c>
      <x:c r="K346" s="9" t="n">
        <x:v>10.44</x:v>
      </x:c>
      <x:c r="L346" s="8" t="n">
        <x:v>100</x:v>
      </x:c>
      <x:c r="M346" s="10" t="n">
        <x:v>4596</x:v>
      </x:c>
      <x:c r="N346" s="8" t="str">
        <x:v>i</x:v>
      </x:c>
      <x:c r="O346" s="8" t="n">
        <x:v>0</x:v>
      </x:c>
      <x:c r="P346" s="11" t="n">
        <x:f>MIN(X346,MAX(0,SUMIFS('Current inventory'!$D$2:$D$127,'Current inventory'!$A$2:$A$127,A346,'Current inventory'!$B$2:$B$127,B346)-SUMIFS($X$2:X345,$A$2:A345,A346,$B$2:B345,B346)))</x:f>
        <x:v>0</x:v>
      </x:c>
      <x:c r="Q346" s="1" t="str">
        <x:v>Received history</x:v>
      </x:c>
      <x:c r="R346" s="1" t="str">
        <x:v>Receipts data film c400 c800 plastic.csv</x:v>
      </x:c>
      <x:c r="S346" s="12" t="n">
        <x:f>IF(O346=1,I346*J346,0)</x:f>
        <x:v>0</x:v>
      </x:c>
      <x:c r="T346" s="13" t="n">
        <x:f>IF(L346&gt;0,K346/L346,"n.a.")</x:f>
        <x:v>0.10439999999999999</x:v>
      </x:c>
      <x:c r="U346" s="12" t="n">
        <x:f>IF(Q346="Old cost",S346,0)</x:f>
        <x:v>0</x:v>
      </x:c>
      <x:c r="V346" s="12" t="n">
        <x:f>IF(Q346="Higher cost",S346,0)</x:f>
        <x:v>0</x:v>
      </x:c>
      <x:c r="W346" s="12" t="n">
        <x:f>IF(Q346="Unclassified",S346,0)</x:f>
        <x:v>0</x:v>
      </x:c>
      <x:c r="X346" s="12" t="n">
        <x:f>IF(AND(ISNUMBER(F346),F346&gt;0,F346&lt;=Summary!$D$5,H346&gt;0),H346*J346,0)</x:f>
        <x:v>40000</x:v>
      </x:c>
    </x:row>
    <x:row r="347" ht="21" customHeight="1">
      <x:c r="A347" s="1" t="str">
        <x:v>10</x:v>
      </x:c>
      <x:c r="B347" s="1" t="str">
        <x:v>800BLKE</x:v>
      </x:c>
      <x:c r="C347" s="1" t="str">
        <x:v>1054564</x:v>
      </x:c>
      <x:c r="D347" s="1" t="str">
        <x:v>0</x:v>
      </x:c>
      <x:c r="E347" s="1"/>
      <x:c r="F347" s="7" t="n">
        <x:v>44735</x:v>
      </x:c>
      <x:c r="G347" s="7" t="n">
        <x:v>44764</x:v>
      </x:c>
      <x:c r="H347" s="8" t="n">
        <x:v>0</x:v>
      </x:c>
      <x:c r="I347" s="8"/>
      <x:c r="J347" s="8" t="n">
        <x:v>1</x:v>
      </x:c>
      <x:c r="K347" s="9" t="n">
        <x:v>760</x:v>
      </x:c>
      <x:c r="L347" s="8" t="n">
        <x:v>1000</x:v>
      </x:c>
      <x:c r="M347" s="10" t="n">
        <x:v>0</x:v>
      </x:c>
      <x:c r="N347" s="8" t="str">
        <x:v>i</x:v>
      </x:c>
      <x:c r="O347" s="8" t="n">
        <x:v>0</x:v>
      </x:c>
      <x:c r="P347" s="11" t="n">
        <x:f>MIN(X347,MAX(0,SUMIFS('Current inventory'!$D$2:$D$127,'Current inventory'!$A$2:$A$127,A347,'Current inventory'!$B$2:$B$127,B347)-SUMIFS($X$2:X346,$A$2:A346,A347,$B$2:B346,B347)))</x:f>
        <x:v>0</x:v>
      </x:c>
      <x:c r="Q347" s="1" t="str">
        <x:v>Received history</x:v>
      </x:c>
      <x:c r="R347" s="1" t="str">
        <x:v>Receipts data film c400 c800 plastic.csv</x:v>
      </x:c>
      <x:c r="S347" s="12" t="n">
        <x:f>IF(O347=1,I347*J347,0)</x:f>
        <x:v>0</x:v>
      </x:c>
      <x:c r="T347" s="13" t="n">
        <x:f>IF(L347&gt;0,K347/L347,"n.a.")</x:f>
        <x:v>0.76</x:v>
      </x:c>
      <x:c r="U347" s="12" t="n">
        <x:f>IF(Q347="Old cost",S347,0)</x:f>
        <x:v>0</x:v>
      </x:c>
      <x:c r="V347" s="12" t="n">
        <x:f>IF(Q347="Higher cost",S347,0)</x:f>
        <x:v>0</x:v>
      </x:c>
      <x:c r="W347" s="12" t="n">
        <x:f>IF(Q347="Unclassified",S347,0)</x:f>
        <x:v>0</x:v>
      </x:c>
      <x:c r="X347" s="12" t="n">
        <x:f>IF(AND(ISNUMBER(F347),F347&gt;0,F347&lt;=Summary!$D$5,H347&gt;0),H347*J347,0)</x:f>
        <x:v>0</x:v>
      </x:c>
    </x:row>
    <x:row r="348" ht="21" customHeight="1">
      <x:c r="A348" s="1" t="str">
        <x:v>10</x:v>
      </x:c>
      <x:c r="B348" s="1" t="str">
        <x:v>800MARE</x:v>
      </x:c>
      <x:c r="C348" s="1" t="str">
        <x:v>1054564</x:v>
      </x:c>
      <x:c r="D348" s="1" t="str">
        <x:v>0</x:v>
      </x:c>
      <x:c r="E348" s="1"/>
      <x:c r="F348" s="7" t="n">
        <x:v>44735</x:v>
      </x:c>
      <x:c r="G348" s="7" t="n">
        <x:v>44764</x:v>
      </x:c>
      <x:c r="H348" s="8" t="n">
        <x:v>0</x:v>
      </x:c>
      <x:c r="I348" s="8"/>
      <x:c r="J348" s="8" t="n">
        <x:v>1</x:v>
      </x:c>
      <x:c r="K348" s="9" t="n">
        <x:v>1040</x:v>
      </x:c>
      <x:c r="L348" s="8" t="n">
        <x:v>1000</x:v>
      </x:c>
      <x:c r="M348" s="10" t="n">
        <x:v>0</x:v>
      </x:c>
      <x:c r="N348" s="8" t="str">
        <x:v>i</x:v>
      </x:c>
      <x:c r="O348" s="8" t="n">
        <x:v>0</x:v>
      </x:c>
      <x:c r="P348" s="11" t="n">
        <x:f>MIN(X348,MAX(0,SUMIFS('Current inventory'!$D$2:$D$127,'Current inventory'!$A$2:$A$127,A348,'Current inventory'!$B$2:$B$127,B348)-SUMIFS($X$2:X347,$A$2:A347,A348,$B$2:B347,B348)))</x:f>
        <x:v>0</x:v>
      </x:c>
      <x:c r="Q348" s="1" t="str">
        <x:v>Received history</x:v>
      </x:c>
      <x:c r="R348" s="1" t="str">
        <x:v>Receipts data film c400 c800 plastic.csv</x:v>
      </x:c>
      <x:c r="S348" s="12" t="n">
        <x:f>IF(O348=1,I348*J348,0)</x:f>
        <x:v>0</x:v>
      </x:c>
      <x:c r="T348" s="13" t="n">
        <x:f>IF(L348&gt;0,K348/L348,"n.a.")</x:f>
        <x:v>1.04</x:v>
      </x:c>
      <x:c r="U348" s="12" t="n">
        <x:f>IF(Q348="Old cost",S348,0)</x:f>
        <x:v>0</x:v>
      </x:c>
      <x:c r="V348" s="12" t="n">
        <x:f>IF(Q348="Higher cost",S348,0)</x:f>
        <x:v>0</x:v>
      </x:c>
      <x:c r="W348" s="12" t="n">
        <x:f>IF(Q348="Unclassified",S348,0)</x:f>
        <x:v>0</x:v>
      </x:c>
      <x:c r="X348" s="12" t="n">
        <x:f>IF(AND(ISNUMBER(F348),F348&gt;0,F348&lt;=Summary!$D$5,H348&gt;0),H348*J348,0)</x:f>
        <x:v>0</x:v>
      </x:c>
    </x:row>
    <x:row r="349" ht="21" customHeight="1">
      <x:c r="A349" s="1" t="str">
        <x:v>10</x:v>
      </x:c>
      <x:c r="B349" s="1" t="str">
        <x:v>800NAVE</x:v>
      </x:c>
      <x:c r="C349" s="1" t="str">
        <x:v>1054564</x:v>
      </x:c>
      <x:c r="D349" s="1" t="str">
        <x:v>0</x:v>
      </x:c>
      <x:c r="E349" s="1"/>
      <x:c r="F349" s="7" t="n">
        <x:v>44735</x:v>
      </x:c>
      <x:c r="G349" s="7" t="n">
        <x:v>44764</x:v>
      </x:c>
      <x:c r="H349" s="8" t="n">
        <x:v>0</x:v>
      </x:c>
      <x:c r="I349" s="8"/>
      <x:c r="J349" s="8" t="n">
        <x:v>1</x:v>
      </x:c>
      <x:c r="K349" s="9" t="n">
        <x:v>990</x:v>
      </x:c>
      <x:c r="L349" s="8" t="n">
        <x:v>1000</x:v>
      </x:c>
      <x:c r="M349" s="10" t="n">
        <x:v>0</x:v>
      </x:c>
      <x:c r="N349" s="8" t="str">
        <x:v>i</x:v>
      </x:c>
      <x:c r="O349" s="8" t="n">
        <x:v>0</x:v>
      </x:c>
      <x:c r="P349" s="11" t="n">
        <x:f>MIN(X349,MAX(0,SUMIFS('Current inventory'!$D$2:$D$127,'Current inventory'!$A$2:$A$127,A349,'Current inventory'!$B$2:$B$127,B349)-SUMIFS($X$2:X348,$A$2:A348,A349,$B$2:B348,B349)))</x:f>
        <x:v>0</x:v>
      </x:c>
      <x:c r="Q349" s="1" t="str">
        <x:v>Received history</x:v>
      </x:c>
      <x:c r="R349" s="1" t="str">
        <x:v>Receipts data film c400 c800 plastic.csv</x:v>
      </x:c>
      <x:c r="S349" s="12" t="n">
        <x:f>IF(O349=1,I349*J349,0)</x:f>
        <x:v>0</x:v>
      </x:c>
      <x:c r="T349" s="13" t="n">
        <x:f>IF(L349&gt;0,K349/L349,"n.a.")</x:f>
        <x:v>0.99</x:v>
      </x:c>
      <x:c r="U349" s="12" t="n">
        <x:f>IF(Q349="Old cost",S349,0)</x:f>
        <x:v>0</x:v>
      </x:c>
      <x:c r="V349" s="12" t="n">
        <x:f>IF(Q349="Higher cost",S349,0)</x:f>
        <x:v>0</x:v>
      </x:c>
      <x:c r="W349" s="12" t="n">
        <x:f>IF(Q349="Unclassified",S349,0)</x:f>
        <x:v>0</x:v>
      </x:c>
      <x:c r="X349" s="12" t="n">
        <x:f>IF(AND(ISNUMBER(F349),F349&gt;0,F349&lt;=Summary!$D$5,H349&gt;0),H349*J349,0)</x:f>
        <x:v>0</x:v>
      </x:c>
    </x:row>
    <x:row r="350" ht="21" customHeight="1">
      <x:c r="A350" s="1" t="str">
        <x:v>10</x:v>
      </x:c>
      <x:c r="B350" s="1" t="str">
        <x:v>800BBLKASC</x:v>
      </x:c>
      <x:c r="C350" s="1" t="str">
        <x:v>1054355</x:v>
      </x:c>
      <x:c r="D350" s="1" t="str">
        <x:v>4</x:v>
      </x:c>
      <x:c r="E350" s="1"/>
      <x:c r="F350" s="7" t="n">
        <x:v>44735</x:v>
      </x:c>
      <x:c r="G350" s="7" t="n">
        <x:v>44728</x:v>
      </x:c>
      <x:c r="H350" s="8" t="n">
        <x:v>40000</x:v>
      </x:c>
      <x:c r="I350" s="8"/>
      <x:c r="J350" s="8" t="n">
        <x:v>1</x:v>
      </x:c>
      <x:c r="K350" s="9" t="n">
        <x:v>9.83</x:v>
      </x:c>
      <x:c r="L350" s="8" t="n">
        <x:v>100</x:v>
      </x:c>
      <x:c r="M350" s="10" t="n">
        <x:v>4596</x:v>
      </x:c>
      <x:c r="N350" s="8" t="str">
        <x:v>i</x:v>
      </x:c>
      <x:c r="O350" s="8" t="n">
        <x:v>0</x:v>
      </x:c>
      <x:c r="P350" s="11" t="n">
        <x:f>MIN(X350,MAX(0,SUMIFS('Current inventory'!$D$2:$D$127,'Current inventory'!$A$2:$A$127,A350,'Current inventory'!$B$2:$B$127,B350)-SUMIFS($X$2:X349,$A$2:A349,A350,$B$2:B349,B350)))</x:f>
        <x:v>0</x:v>
      </x:c>
      <x:c r="Q350" s="1" t="str">
        <x:v>Received history</x:v>
      </x:c>
      <x:c r="R350" s="1" t="str">
        <x:v>Receipts data film c400 c800 plastic.csv</x:v>
      </x:c>
      <x:c r="S350" s="12" t="n">
        <x:f>IF(O350=1,I350*J350,0)</x:f>
        <x:v>0</x:v>
      </x:c>
      <x:c r="T350" s="13" t="n">
        <x:f>IF(L350&gt;0,K350/L350,"n.a.")</x:f>
        <x:v>0.0983</x:v>
      </x:c>
      <x:c r="U350" s="12" t="n">
        <x:f>IF(Q350="Old cost",S350,0)</x:f>
        <x:v>0</x:v>
      </x:c>
      <x:c r="V350" s="12" t="n">
        <x:f>IF(Q350="Higher cost",S350,0)</x:f>
        <x:v>0</x:v>
      </x:c>
      <x:c r="W350" s="12" t="n">
        <x:f>IF(Q350="Unclassified",S350,0)</x:f>
        <x:v>0</x:v>
      </x:c>
      <x:c r="X350" s="12" t="n">
        <x:f>IF(AND(ISNUMBER(F350),F350&gt;0,F350&lt;=Summary!$D$5,H350&gt;0),H350*J350,0)</x:f>
        <x:v>40000</x:v>
      </x:c>
    </x:row>
    <x:row r="351" ht="21" customHeight="1">
      <x:c r="A351" s="1" t="str">
        <x:v>10</x:v>
      </x:c>
      <x:c r="B351" s="1" t="str">
        <x:v>800BBLKDSC</x:v>
      </x:c>
      <x:c r="C351" s="1" t="str">
        <x:v>1054355</x:v>
      </x:c>
      <x:c r="D351" s="1" t="str">
        <x:v>4</x:v>
      </x:c>
      <x:c r="E351" s="1"/>
      <x:c r="F351" s="7" t="n">
        <x:v>44735</x:v>
      </x:c>
      <x:c r="G351" s="7" t="n">
        <x:v>44767</x:v>
      </x:c>
      <x:c r="H351" s="8" t="n">
        <x:v>0</x:v>
      </x:c>
      <x:c r="I351" s="8"/>
      <x:c r="J351" s="8" t="n">
        <x:v>1</x:v>
      </x:c>
      <x:c r="K351" s="9" t="n">
        <x:v>26.15</x:v>
      </x:c>
      <x:c r="L351" s="8" t="n">
        <x:v>100</x:v>
      </x:c>
      <x:c r="M351" s="10" t="n">
        <x:v>0</x:v>
      </x:c>
      <x:c r="N351" s="8" t="str">
        <x:v>i</x:v>
      </x:c>
      <x:c r="O351" s="8" t="n">
        <x:v>0</x:v>
      </x:c>
      <x:c r="P351" s="11" t="n">
        <x:f>MIN(X351,MAX(0,SUMIFS('Current inventory'!$D$2:$D$127,'Current inventory'!$A$2:$A$127,A351,'Current inventory'!$B$2:$B$127,B351)-SUMIFS($X$2:X350,$A$2:A350,A351,$B$2:B350,B351)))</x:f>
        <x:v>0</x:v>
      </x:c>
      <x:c r="Q351" s="1" t="str">
        <x:v>Received history</x:v>
      </x:c>
      <x:c r="R351" s="1" t="str">
        <x:v>Receipts data film c400 c800 plastic.csv</x:v>
      </x:c>
      <x:c r="S351" s="12" t="n">
        <x:f>IF(O351=1,I351*J351,0)</x:f>
        <x:v>0</x:v>
      </x:c>
      <x:c r="T351" s="13" t="n">
        <x:f>IF(L351&gt;0,K351/L351,"n.a.")</x:f>
        <x:v>0.2615</x:v>
      </x:c>
      <x:c r="U351" s="12" t="n">
        <x:f>IF(Q351="Old cost",S351,0)</x:f>
        <x:v>0</x:v>
      </x:c>
      <x:c r="V351" s="12" t="n">
        <x:f>IF(Q351="Higher cost",S351,0)</x:f>
        <x:v>0</x:v>
      </x:c>
      <x:c r="W351" s="12" t="n">
        <x:f>IF(Q351="Unclassified",S351,0)</x:f>
        <x:v>0</x:v>
      </x:c>
      <x:c r="X351" s="12" t="n">
        <x:f>IF(AND(ISNUMBER(F351),F351&gt;0,F351&lt;=Summary!$D$5,H351&gt;0),H351*J351,0)</x:f>
        <x:v>0</x:v>
      </x:c>
    </x:row>
    <x:row r="352" ht="21" customHeight="1">
      <x:c r="A352" s="1" t="str">
        <x:v>10</x:v>
      </x:c>
      <x:c r="B352" s="1" t="str">
        <x:v>800BBLKISC</x:v>
      </x:c>
      <x:c r="C352" s="1" t="str">
        <x:v>1054355</x:v>
      </x:c>
      <x:c r="D352" s="1" t="str">
        <x:v>4</x:v>
      </x:c>
      <x:c r="E352" s="1"/>
      <x:c r="F352" s="7" t="n">
        <x:v>44735</x:v>
      </x:c>
      <x:c r="G352" s="7" t="n">
        <x:v>44767</x:v>
      </x:c>
      <x:c r="H352" s="8" t="n">
        <x:v>0</x:v>
      </x:c>
      <x:c r="I352" s="8"/>
      <x:c r="J352" s="8" t="n">
        <x:v>1</x:v>
      </x:c>
      <x:c r="K352" s="9" t="n">
        <x:v>13.42</x:v>
      </x:c>
      <x:c r="L352" s="8" t="n">
        <x:v>100</x:v>
      </x:c>
      <x:c r="M352" s="10" t="n">
        <x:v>0</x:v>
      </x:c>
      <x:c r="N352" s="8" t="str">
        <x:v>i</x:v>
      </x:c>
      <x:c r="O352" s="8" t="n">
        <x:v>0</x:v>
      </x:c>
      <x:c r="P352" s="11" t="n">
        <x:f>MIN(X352,MAX(0,SUMIFS('Current inventory'!$D$2:$D$127,'Current inventory'!$A$2:$A$127,A352,'Current inventory'!$B$2:$B$127,B352)-SUMIFS($X$2:X351,$A$2:A351,A352,$B$2:B351,B352)))</x:f>
        <x:v>0</x:v>
      </x:c>
      <x:c r="Q352" s="1" t="str">
        <x:v>Received history</x:v>
      </x:c>
      <x:c r="R352" s="1" t="str">
        <x:v>Receipts data film c400 c800 plastic.csv</x:v>
      </x:c>
      <x:c r="S352" s="12" t="n">
        <x:f>IF(O352=1,I352*J352,0)</x:f>
        <x:v>0</x:v>
      </x:c>
      <x:c r="T352" s="13" t="n">
        <x:f>IF(L352&gt;0,K352/L352,"n.a.")</x:f>
        <x:v>0.13419999999999999</x:v>
      </x:c>
      <x:c r="U352" s="12" t="n">
        <x:f>IF(Q352="Old cost",S352,0)</x:f>
        <x:v>0</x:v>
      </x:c>
      <x:c r="V352" s="12" t="n">
        <x:f>IF(Q352="Higher cost",S352,0)</x:f>
        <x:v>0</x:v>
      </x:c>
      <x:c r="W352" s="12" t="n">
        <x:f>IF(Q352="Unclassified",S352,0)</x:f>
        <x:v>0</x:v>
      </x:c>
      <x:c r="X352" s="12" t="n">
        <x:f>IF(AND(ISNUMBER(F352),F352&gt;0,F352&lt;=Summary!$D$5,H352&gt;0),H352*J352,0)</x:f>
        <x:v>0</x:v>
      </x:c>
    </x:row>
    <x:row r="353" ht="21" customHeight="1">
      <x:c r="A353" s="1" t="str">
        <x:v>60</x:v>
      </x:c>
      <x:c r="B353" s="1" t="str">
        <x:v>800BBLKASC</x:v>
      </x:c>
      <x:c r="C353" s="1" t="str">
        <x:v>6102638</x:v>
      </x:c>
      <x:c r="D353" s="1" t="str">
        <x:v>0</x:v>
      </x:c>
      <x:c r="E353" s="1"/>
      <x:c r="F353" s="7" t="n">
        <x:v>44729</x:v>
      </x:c>
      <x:c r="G353" s="7" t="n">
        <x:v>44764</x:v>
      </x:c>
      <x:c r="H353" s="8" t="n">
        <x:v>40000</x:v>
      </x:c>
      <x:c r="I353" s="8"/>
      <x:c r="J353" s="8" t="n">
        <x:v>1</x:v>
      </x:c>
      <x:c r="K353" s="9" t="n">
        <x:v>10.44</x:v>
      </x:c>
      <x:c r="L353" s="8" t="n">
        <x:v>100</x:v>
      </x:c>
      <x:c r="M353" s="10" t="n">
        <x:v>4596</x:v>
      </x:c>
      <x:c r="N353" s="8" t="str">
        <x:v>i</x:v>
      </x:c>
      <x:c r="O353" s="8" t="n">
        <x:v>0</x:v>
      </x:c>
      <x:c r="P353" s="11" t="n">
        <x:f>MIN(X353,MAX(0,SUMIFS('Current inventory'!$D$2:$D$127,'Current inventory'!$A$2:$A$127,A353,'Current inventory'!$B$2:$B$127,B353)-SUMIFS($X$2:X352,$A$2:A352,A353,$B$2:B352,B353)))</x:f>
        <x:v>0</x:v>
      </x:c>
      <x:c r="Q353" s="1" t="str">
        <x:v>Received history</x:v>
      </x:c>
      <x:c r="R353" s="1" t="str">
        <x:v>Receipts data film c400 c800 plastic.csv</x:v>
      </x:c>
      <x:c r="S353" s="12" t="n">
        <x:f>IF(O353=1,I353*J353,0)</x:f>
        <x:v>0</x:v>
      </x:c>
      <x:c r="T353" s="13" t="n">
        <x:f>IF(L353&gt;0,K353/L353,"n.a.")</x:f>
        <x:v>0.10439999999999999</x:v>
      </x:c>
      <x:c r="U353" s="12" t="n">
        <x:f>IF(Q353="Old cost",S353,0)</x:f>
        <x:v>0</x:v>
      </x:c>
      <x:c r="V353" s="12" t="n">
        <x:f>IF(Q353="Higher cost",S353,0)</x:f>
        <x:v>0</x:v>
      </x:c>
      <x:c r="W353" s="12" t="n">
        <x:f>IF(Q353="Unclassified",S353,0)</x:f>
        <x:v>0</x:v>
      </x:c>
      <x:c r="X353" s="12" t="n">
        <x:f>IF(AND(ISNUMBER(F353),F353&gt;0,F353&lt;=Summary!$D$5,H353&gt;0),H353*J353,0)</x:f>
        <x:v>40000</x:v>
      </x:c>
    </x:row>
    <x:row r="354" ht="21" customHeight="1">
      <x:c r="A354" s="1" t="str">
        <x:v>60</x:v>
      </x:c>
      <x:c r="B354" s="1" t="str">
        <x:v>800BLKE</x:v>
      </x:c>
      <x:c r="C354" s="1" t="str">
        <x:v>6102638</x:v>
      </x:c>
      <x:c r="D354" s="1" t="str">
        <x:v>0</x:v>
      </x:c>
      <x:c r="E354" s="1"/>
      <x:c r="F354" s="7" t="n">
        <x:v>44729</x:v>
      </x:c>
      <x:c r="G354" s="7" t="n">
        <x:v>44764</x:v>
      </x:c>
      <x:c r="H354" s="8" t="n">
        <x:v>0</x:v>
      </x:c>
      <x:c r="I354" s="8"/>
      <x:c r="J354" s="8" t="n">
        <x:v>1</x:v>
      </x:c>
      <x:c r="K354" s="9" t="n">
        <x:v>760</x:v>
      </x:c>
      <x:c r="L354" s="8" t="n">
        <x:v>1000</x:v>
      </x:c>
      <x:c r="M354" s="10" t="n">
        <x:v>0</x:v>
      </x:c>
      <x:c r="N354" s="8" t="str">
        <x:v>i</x:v>
      </x:c>
      <x:c r="O354" s="8" t="n">
        <x:v>0</x:v>
      </x:c>
      <x:c r="P354" s="11" t="n">
        <x:f>MIN(X354,MAX(0,SUMIFS('Current inventory'!$D$2:$D$127,'Current inventory'!$A$2:$A$127,A354,'Current inventory'!$B$2:$B$127,B354)-SUMIFS($X$2:X353,$A$2:A353,A354,$B$2:B353,B354)))</x:f>
        <x:v>0</x:v>
      </x:c>
      <x:c r="Q354" s="1" t="str">
        <x:v>Received history</x:v>
      </x:c>
      <x:c r="R354" s="1" t="str">
        <x:v>Receipts data film c400 c800 plastic.csv</x:v>
      </x:c>
      <x:c r="S354" s="12" t="n">
        <x:f>IF(O354=1,I354*J354,0)</x:f>
        <x:v>0</x:v>
      </x:c>
      <x:c r="T354" s="13" t="n">
        <x:f>IF(L354&gt;0,K354/L354,"n.a.")</x:f>
        <x:v>0.76</x:v>
      </x:c>
      <x:c r="U354" s="12" t="n">
        <x:f>IF(Q354="Old cost",S354,0)</x:f>
        <x:v>0</x:v>
      </x:c>
      <x:c r="V354" s="12" t="n">
        <x:f>IF(Q354="Higher cost",S354,0)</x:f>
        <x:v>0</x:v>
      </x:c>
      <x:c r="W354" s="12" t="n">
        <x:f>IF(Q354="Unclassified",S354,0)</x:f>
        <x:v>0</x:v>
      </x:c>
      <x:c r="X354" s="12" t="n">
        <x:f>IF(AND(ISNUMBER(F354),F354&gt;0,F354&lt;=Summary!$D$5,H354&gt;0),H354*J354,0)</x:f>
        <x:v>0</x:v>
      </x:c>
    </x:row>
    <x:row r="355" ht="21" customHeight="1">
      <x:c r="A355" s="1" t="str">
        <x:v>60</x:v>
      </x:c>
      <x:c r="B355" s="1" t="str">
        <x:v>800MARE</x:v>
      </x:c>
      <x:c r="C355" s="1" t="str">
        <x:v>6102638</x:v>
      </x:c>
      <x:c r="D355" s="1" t="str">
        <x:v>0</x:v>
      </x:c>
      <x:c r="E355" s="1"/>
      <x:c r="F355" s="7" t="n">
        <x:v>44729</x:v>
      </x:c>
      <x:c r="G355" s="7" t="n">
        <x:v>44764</x:v>
      </x:c>
      <x:c r="H355" s="8" t="n">
        <x:v>0</x:v>
      </x:c>
      <x:c r="I355" s="8"/>
      <x:c r="J355" s="8" t="n">
        <x:v>1</x:v>
      </x:c>
      <x:c r="K355" s="9" t="n">
        <x:v>1040</x:v>
      </x:c>
      <x:c r="L355" s="8" t="n">
        <x:v>1000</x:v>
      </x:c>
      <x:c r="M355" s="10" t="n">
        <x:v>0</x:v>
      </x:c>
      <x:c r="N355" s="8" t="str">
        <x:v>i</x:v>
      </x:c>
      <x:c r="O355" s="8" t="n">
        <x:v>0</x:v>
      </x:c>
      <x:c r="P355" s="11" t="n">
        <x:f>MIN(X355,MAX(0,SUMIFS('Current inventory'!$D$2:$D$127,'Current inventory'!$A$2:$A$127,A355,'Current inventory'!$B$2:$B$127,B355)-SUMIFS($X$2:X354,$A$2:A354,A355,$B$2:B354,B355)))</x:f>
        <x:v>0</x:v>
      </x:c>
      <x:c r="Q355" s="1" t="str">
        <x:v>Received history</x:v>
      </x:c>
      <x:c r="R355" s="1" t="str">
        <x:v>Receipts data film c400 c800 plastic.csv</x:v>
      </x:c>
      <x:c r="S355" s="12" t="n">
        <x:f>IF(O355=1,I355*J355,0)</x:f>
        <x:v>0</x:v>
      </x:c>
      <x:c r="T355" s="13" t="n">
        <x:f>IF(L355&gt;0,K355/L355,"n.a.")</x:f>
        <x:v>1.04</x:v>
      </x:c>
      <x:c r="U355" s="12" t="n">
        <x:f>IF(Q355="Old cost",S355,0)</x:f>
        <x:v>0</x:v>
      </x:c>
      <x:c r="V355" s="12" t="n">
        <x:f>IF(Q355="Higher cost",S355,0)</x:f>
        <x:v>0</x:v>
      </x:c>
      <x:c r="W355" s="12" t="n">
        <x:f>IF(Q355="Unclassified",S355,0)</x:f>
        <x:v>0</x:v>
      </x:c>
      <x:c r="X355" s="12" t="n">
        <x:f>IF(AND(ISNUMBER(F355),F355&gt;0,F355&lt;=Summary!$D$5,H355&gt;0),H355*J355,0)</x:f>
        <x:v>0</x:v>
      </x:c>
    </x:row>
    <x:row r="356" ht="21" customHeight="1">
      <x:c r="A356" s="1" t="str">
        <x:v>60</x:v>
      </x:c>
      <x:c r="B356" s="1" t="str">
        <x:v>800NAVE</x:v>
      </x:c>
      <x:c r="C356" s="1" t="str">
        <x:v>6102638</x:v>
      </x:c>
      <x:c r="D356" s="1" t="str">
        <x:v>0</x:v>
      </x:c>
      <x:c r="E356" s="1"/>
      <x:c r="F356" s="7" t="n">
        <x:v>44729</x:v>
      </x:c>
      <x:c r="G356" s="7" t="n">
        <x:v>44764</x:v>
      </x:c>
      <x:c r="H356" s="8" t="n">
        <x:v>0</x:v>
      </x:c>
      <x:c r="I356" s="8"/>
      <x:c r="J356" s="8" t="n">
        <x:v>1</x:v>
      </x:c>
      <x:c r="K356" s="9" t="n">
        <x:v>990</x:v>
      </x:c>
      <x:c r="L356" s="8" t="n">
        <x:v>1000</x:v>
      </x:c>
      <x:c r="M356" s="10" t="n">
        <x:v>0</x:v>
      </x:c>
      <x:c r="N356" s="8" t="str">
        <x:v>i</x:v>
      </x:c>
      <x:c r="O356" s="8" t="n">
        <x:v>0</x:v>
      </x:c>
      <x:c r="P356" s="11" t="n">
        <x:f>MIN(X356,MAX(0,SUMIFS('Current inventory'!$D$2:$D$127,'Current inventory'!$A$2:$A$127,A356,'Current inventory'!$B$2:$B$127,B356)-SUMIFS($X$2:X355,$A$2:A355,A356,$B$2:B355,B356)))</x:f>
        <x:v>0</x:v>
      </x:c>
      <x:c r="Q356" s="1" t="str">
        <x:v>Received history</x:v>
      </x:c>
      <x:c r="R356" s="1" t="str">
        <x:v>Receipts data film c400 c800 plastic.csv</x:v>
      </x:c>
      <x:c r="S356" s="12" t="n">
        <x:f>IF(O356=1,I356*J356,0)</x:f>
        <x:v>0</x:v>
      </x:c>
      <x:c r="T356" s="13" t="n">
        <x:f>IF(L356&gt;0,K356/L356,"n.a.")</x:f>
        <x:v>0.99</x:v>
      </x:c>
      <x:c r="U356" s="12" t="n">
        <x:f>IF(Q356="Old cost",S356,0)</x:f>
        <x:v>0</x:v>
      </x:c>
      <x:c r="V356" s="12" t="n">
        <x:f>IF(Q356="Higher cost",S356,0)</x:f>
        <x:v>0</x:v>
      </x:c>
      <x:c r="W356" s="12" t="n">
        <x:f>IF(Q356="Unclassified",S356,0)</x:f>
        <x:v>0</x:v>
      </x:c>
      <x:c r="X356" s="12" t="n">
        <x:f>IF(AND(ISNUMBER(F356),F356&gt;0,F356&lt;=Summary!$D$5,H356&gt;0),H356*J356,0)</x:f>
        <x:v>0</x:v>
      </x:c>
    </x:row>
    <x:row r="357" ht="21" customHeight="1">
      <x:c r="A357" s="1" t="str">
        <x:v>60</x:v>
      </x:c>
      <x:c r="B357" s="1" t="str">
        <x:v>800BBLKASC</x:v>
      </x:c>
      <x:c r="C357" s="1" t="str">
        <x:v>6102635</x:v>
      </x:c>
      <x:c r="D357" s="1" t="str">
        <x:v>2</x:v>
      </x:c>
      <x:c r="E357" s="1"/>
      <x:c r="F357" s="7" t="n">
        <x:v>44729</x:v>
      </x:c>
      <x:c r="G357" s="7" t="n">
        <x:v>44735</x:v>
      </x:c>
      <x:c r="H357" s="8" t="n">
        <x:v>120000</x:v>
      </x:c>
      <x:c r="I357" s="8"/>
      <x:c r="J357" s="8" t="n">
        <x:v>1</x:v>
      </x:c>
      <x:c r="K357" s="9" t="n">
        <x:v>9.83</x:v>
      </x:c>
      <x:c r="L357" s="8" t="n">
        <x:v>100</x:v>
      </x:c>
      <x:c r="M357" s="10" t="n">
        <x:v>13788</x:v>
      </x:c>
      <x:c r="N357" s="8" t="str">
        <x:v>i</x:v>
      </x:c>
      <x:c r="O357" s="8" t="n">
        <x:v>0</x:v>
      </x:c>
      <x:c r="P357" s="11" t="n">
        <x:f>MIN(X357,MAX(0,SUMIFS('Current inventory'!$D$2:$D$127,'Current inventory'!$A$2:$A$127,A357,'Current inventory'!$B$2:$B$127,B357)-SUMIFS($X$2:X356,$A$2:A356,A357,$B$2:B356,B357)))</x:f>
        <x:v>0</x:v>
      </x:c>
      <x:c r="Q357" s="1" t="str">
        <x:v>Received history</x:v>
      </x:c>
      <x:c r="R357" s="1" t="str">
        <x:v>Receipts data film c400 c800 plastic.csv</x:v>
      </x:c>
      <x:c r="S357" s="12" t="n">
        <x:f>IF(O357=1,I357*J357,0)</x:f>
        <x:v>0</x:v>
      </x:c>
      <x:c r="T357" s="13" t="n">
        <x:f>IF(L357&gt;0,K357/L357,"n.a.")</x:f>
        <x:v>0.0983</x:v>
      </x:c>
      <x:c r="U357" s="12" t="n">
        <x:f>IF(Q357="Old cost",S357,0)</x:f>
        <x:v>0</x:v>
      </x:c>
      <x:c r="V357" s="12" t="n">
        <x:f>IF(Q357="Higher cost",S357,0)</x:f>
        <x:v>0</x:v>
      </x:c>
      <x:c r="W357" s="12" t="n">
        <x:f>IF(Q357="Unclassified",S357,0)</x:f>
        <x:v>0</x:v>
      </x:c>
      <x:c r="X357" s="12" t="n">
        <x:f>IF(AND(ISNUMBER(F357),F357&gt;0,F357&lt;=Summary!$D$5,H357&gt;0),H357*J357,0)</x:f>
        <x:v>120000</x:v>
      </x:c>
    </x:row>
    <x:row r="358" ht="21" customHeight="1">
      <x:c r="A358" s="1" t="str">
        <x:v>60</x:v>
      </x:c>
      <x:c r="B358" s="1" t="str">
        <x:v>800BBLKDSC</x:v>
      </x:c>
      <x:c r="C358" s="1" t="str">
        <x:v>6102635</x:v>
      </x:c>
      <x:c r="D358" s="1" t="str">
        <x:v>2</x:v>
      </x:c>
      <x:c r="E358" s="1"/>
      <x:c r="F358" s="7" t="n">
        <x:v>44729</x:v>
      </x:c>
      <x:c r="G358" s="7" t="n">
        <x:v>44735</x:v>
      </x:c>
      <x:c r="H358" s="8" t="n">
        <x:v>0</x:v>
      </x:c>
      <x:c r="I358" s="8"/>
      <x:c r="J358" s="8" t="n">
        <x:v>1</x:v>
      </x:c>
      <x:c r="K358" s="9" t="n">
        <x:v>26.15</x:v>
      </x:c>
      <x:c r="L358" s="8" t="n">
        <x:v>100</x:v>
      </x:c>
      <x:c r="M358" s="10" t="n">
        <x:v>0</x:v>
      </x:c>
      <x:c r="N358" s="8" t="str">
        <x:v>i</x:v>
      </x:c>
      <x:c r="O358" s="8" t="n">
        <x:v>0</x:v>
      </x:c>
      <x:c r="P358" s="11" t="n">
        <x:f>MIN(X358,MAX(0,SUMIFS('Current inventory'!$D$2:$D$127,'Current inventory'!$A$2:$A$127,A358,'Current inventory'!$B$2:$B$127,B358)-SUMIFS($X$2:X357,$A$2:A357,A358,$B$2:B357,B358)))</x:f>
        <x:v>0</x:v>
      </x:c>
      <x:c r="Q358" s="1" t="str">
        <x:v>Received history</x:v>
      </x:c>
      <x:c r="R358" s="1" t="str">
        <x:v>Receipts data film c400 c800 plastic.csv</x:v>
      </x:c>
      <x:c r="S358" s="12" t="n">
        <x:f>IF(O358=1,I358*J358,0)</x:f>
        <x:v>0</x:v>
      </x:c>
      <x:c r="T358" s="13" t="n">
        <x:f>IF(L358&gt;0,K358/L358,"n.a.")</x:f>
        <x:v>0.2615</x:v>
      </x:c>
      <x:c r="U358" s="12" t="n">
        <x:f>IF(Q358="Old cost",S358,0)</x:f>
        <x:v>0</x:v>
      </x:c>
      <x:c r="V358" s="12" t="n">
        <x:f>IF(Q358="Higher cost",S358,0)</x:f>
        <x:v>0</x:v>
      </x:c>
      <x:c r="W358" s="12" t="n">
        <x:f>IF(Q358="Unclassified",S358,0)</x:f>
        <x:v>0</x:v>
      </x:c>
      <x:c r="X358" s="12" t="n">
        <x:f>IF(AND(ISNUMBER(F358),F358&gt;0,F358&lt;=Summary!$D$5,H358&gt;0),H358*J358,0)</x:f>
        <x:v>0</x:v>
      </x:c>
    </x:row>
    <x:row r="359" ht="21" customHeight="1">
      <x:c r="A359" s="1" t="str">
        <x:v>60</x:v>
      </x:c>
      <x:c r="B359" s="1" t="str">
        <x:v>800BBLKISC</x:v>
      </x:c>
      <x:c r="C359" s="1" t="str">
        <x:v>6102635</x:v>
      </x:c>
      <x:c r="D359" s="1" t="str">
        <x:v>2</x:v>
      </x:c>
      <x:c r="E359" s="1"/>
      <x:c r="F359" s="7" t="n">
        <x:v>44729</x:v>
      </x:c>
      <x:c r="G359" s="7" t="n">
        <x:v>44735</x:v>
      </x:c>
      <x:c r="H359" s="8" t="n">
        <x:v>0</x:v>
      </x:c>
      <x:c r="I359" s="8"/>
      <x:c r="J359" s="8" t="n">
        <x:v>1</x:v>
      </x:c>
      <x:c r="K359" s="9" t="n">
        <x:v>13.42</x:v>
      </x:c>
      <x:c r="L359" s="8" t="n">
        <x:v>100</x:v>
      </x:c>
      <x:c r="M359" s="10" t="n">
        <x:v>0</x:v>
      </x:c>
      <x:c r="N359" s="8" t="str">
        <x:v>i</x:v>
      </x:c>
      <x:c r="O359" s="8" t="n">
        <x:v>0</x:v>
      </x:c>
      <x:c r="P359" s="11" t="n">
        <x:f>MIN(X359,MAX(0,SUMIFS('Current inventory'!$D$2:$D$127,'Current inventory'!$A$2:$A$127,A359,'Current inventory'!$B$2:$B$127,B359)-SUMIFS($X$2:X358,$A$2:A358,A359,$B$2:B358,B359)))</x:f>
        <x:v>0</x:v>
      </x:c>
      <x:c r="Q359" s="1" t="str">
        <x:v>Received history</x:v>
      </x:c>
      <x:c r="R359" s="1" t="str">
        <x:v>Receipts data film c400 c800 plastic.csv</x:v>
      </x:c>
      <x:c r="S359" s="12" t="n">
        <x:f>IF(O359=1,I359*J359,0)</x:f>
        <x:v>0</x:v>
      </x:c>
      <x:c r="T359" s="13" t="n">
        <x:f>IF(L359&gt;0,K359/L359,"n.a.")</x:f>
        <x:v>0.13419999999999999</x:v>
      </x:c>
      <x:c r="U359" s="12" t="n">
        <x:f>IF(Q359="Old cost",S359,0)</x:f>
        <x:v>0</x:v>
      </x:c>
      <x:c r="V359" s="12" t="n">
        <x:f>IF(Q359="Higher cost",S359,0)</x:f>
        <x:v>0</x:v>
      </x:c>
      <x:c r="W359" s="12" t="n">
        <x:f>IF(Q359="Unclassified",S359,0)</x:f>
        <x:v>0</x:v>
      </x:c>
      <x:c r="X359" s="12" t="n">
        <x:f>IF(AND(ISNUMBER(F359),F359&gt;0,F359&lt;=Summary!$D$5,H359&gt;0),H359*J359,0)</x:f>
        <x:v>0</x:v>
      </x:c>
    </x:row>
    <x:row r="360" ht="21" customHeight="1">
      <x:c r="A360" s="1" t="str">
        <x:v>30</x:v>
      </x:c>
      <x:c r="B360" s="1" t="str">
        <x:v>800BBLKASC</x:v>
      </x:c>
      <x:c r="C360" s="1" t="str">
        <x:v>3003712</x:v>
      </x:c>
      <x:c r="D360" s="1" t="str">
        <x:v>1</x:v>
      </x:c>
      <x:c r="E360" s="1"/>
      <x:c r="F360" s="7" t="n">
        <x:v>44729</x:v>
      </x:c>
      <x:c r="G360" s="7" t="n">
        <x:v>44732</x:v>
      </x:c>
      <x:c r="H360" s="8" t="n">
        <x:v>80000</x:v>
      </x:c>
      <x:c r="I360" s="8"/>
      <x:c r="J360" s="8" t="n">
        <x:v>1</x:v>
      </x:c>
      <x:c r="K360" s="9" t="n">
        <x:v>9.83</x:v>
      </x:c>
      <x:c r="L360" s="8" t="n">
        <x:v>100</x:v>
      </x:c>
      <x:c r="M360" s="10" t="n">
        <x:v>9192</x:v>
      </x:c>
      <x:c r="N360" s="8" t="str">
        <x:v>i</x:v>
      </x:c>
      <x:c r="O360" s="8" t="n">
        <x:v>0</x:v>
      </x:c>
      <x:c r="P360" s="11" t="n">
        <x:f>MIN(X360,MAX(0,SUMIFS('Current inventory'!$D$2:$D$127,'Current inventory'!$A$2:$A$127,A360,'Current inventory'!$B$2:$B$127,B360)-SUMIFS($X$2:X359,$A$2:A359,A360,$B$2:B359,B360)))</x:f>
        <x:v>0</x:v>
      </x:c>
      <x:c r="Q360" s="1" t="str">
        <x:v>Received history</x:v>
      </x:c>
      <x:c r="R360" s="1" t="str">
        <x:v>Receipts data film c400 c800 plastic.csv</x:v>
      </x:c>
      <x:c r="S360" s="12" t="n">
        <x:f>IF(O360=1,I360*J360,0)</x:f>
        <x:v>0</x:v>
      </x:c>
      <x:c r="T360" s="13" t="n">
        <x:f>IF(L360&gt;0,K360/L360,"n.a.")</x:f>
        <x:v>0.0983</x:v>
      </x:c>
      <x:c r="U360" s="12" t="n">
        <x:f>IF(Q360="Old cost",S360,0)</x:f>
        <x:v>0</x:v>
      </x:c>
      <x:c r="V360" s="12" t="n">
        <x:f>IF(Q360="Higher cost",S360,0)</x:f>
        <x:v>0</x:v>
      </x:c>
      <x:c r="W360" s="12" t="n">
        <x:f>IF(Q360="Unclassified",S360,0)</x:f>
        <x:v>0</x:v>
      </x:c>
      <x:c r="X360" s="12" t="n">
        <x:f>IF(AND(ISNUMBER(F360),F360&gt;0,F360&lt;=Summary!$D$5,H360&gt;0),H360*J360,0)</x:f>
        <x:v>80000</x:v>
      </x:c>
    </x:row>
    <x:row r="361" ht="21" customHeight="1">
      <x:c r="A361" s="1" t="str">
        <x:v>30</x:v>
      </x:c>
      <x:c r="B361" s="1" t="str">
        <x:v>800BBLKDSC</x:v>
      </x:c>
      <x:c r="C361" s="1" t="str">
        <x:v>3003712</x:v>
      </x:c>
      <x:c r="D361" s="1" t="str">
        <x:v>1</x:v>
      </x:c>
      <x:c r="E361" s="1"/>
      <x:c r="F361" s="7" t="n">
        <x:v>44729</x:v>
      </x:c>
      <x:c r="G361" s="7" t="n">
        <x:v>44767</x:v>
      </x:c>
      <x:c r="H361" s="8" t="n">
        <x:v>0</x:v>
      </x:c>
      <x:c r="I361" s="8"/>
      <x:c r="J361" s="8" t="n">
        <x:v>1</x:v>
      </x:c>
      <x:c r="K361" s="9" t="n">
        <x:v>26.15</x:v>
      </x:c>
      <x:c r="L361" s="8" t="n">
        <x:v>100</x:v>
      </x:c>
      <x:c r="M361" s="10" t="n">
        <x:v>0</x:v>
      </x:c>
      <x:c r="N361" s="8" t="str">
        <x:v>i</x:v>
      </x:c>
      <x:c r="O361" s="8" t="n">
        <x:v>0</x:v>
      </x:c>
      <x:c r="P361" s="11" t="n">
        <x:f>MIN(X361,MAX(0,SUMIFS('Current inventory'!$D$2:$D$127,'Current inventory'!$A$2:$A$127,A361,'Current inventory'!$B$2:$B$127,B361)-SUMIFS($X$2:X360,$A$2:A360,A361,$B$2:B360,B361)))</x:f>
        <x:v>0</x:v>
      </x:c>
      <x:c r="Q361" s="1" t="str">
        <x:v>Received history</x:v>
      </x:c>
      <x:c r="R361" s="1" t="str">
        <x:v>Receipts data film c400 c800 plastic.csv</x:v>
      </x:c>
      <x:c r="S361" s="12" t="n">
        <x:f>IF(O361=1,I361*J361,0)</x:f>
        <x:v>0</x:v>
      </x:c>
      <x:c r="T361" s="13" t="n">
        <x:f>IF(L361&gt;0,K361/L361,"n.a.")</x:f>
        <x:v>0.2615</x:v>
      </x:c>
      <x:c r="U361" s="12" t="n">
        <x:f>IF(Q361="Old cost",S361,0)</x:f>
        <x:v>0</x:v>
      </x:c>
      <x:c r="V361" s="12" t="n">
        <x:f>IF(Q361="Higher cost",S361,0)</x:f>
        <x:v>0</x:v>
      </x:c>
      <x:c r="W361" s="12" t="n">
        <x:f>IF(Q361="Unclassified",S361,0)</x:f>
        <x:v>0</x:v>
      </x:c>
      <x:c r="X361" s="12" t="n">
        <x:f>IF(AND(ISNUMBER(F361),F361&gt;0,F361&lt;=Summary!$D$5,H361&gt;0),H361*J361,0)</x:f>
        <x:v>0</x:v>
      </x:c>
    </x:row>
    <x:row r="362" ht="21" customHeight="1">
      <x:c r="A362" s="1" t="str">
        <x:v>10</x:v>
      </x:c>
      <x:c r="B362" s="1" t="str">
        <x:v>800BBLKASC</x:v>
      </x:c>
      <x:c r="C362" s="1" t="str">
        <x:v>1054355</x:v>
      </x:c>
      <x:c r="D362" s="1" t="str">
        <x:v>3</x:v>
      </x:c>
      <x:c r="E362" s="1"/>
      <x:c r="F362" s="7" t="n">
        <x:v>44726</x:v>
      </x:c>
      <x:c r="G362" s="7" t="n">
        <x:v>44728</x:v>
      </x:c>
      <x:c r="H362" s="8" t="n">
        <x:v>240000</x:v>
      </x:c>
      <x:c r="I362" s="8"/>
      <x:c r="J362" s="8" t="n">
        <x:v>1</x:v>
      </x:c>
      <x:c r="K362" s="9" t="n">
        <x:v>9.83</x:v>
      </x:c>
      <x:c r="L362" s="8" t="n">
        <x:v>100</x:v>
      </x:c>
      <x:c r="M362" s="10" t="n">
        <x:v>27576</x:v>
      </x:c>
      <x:c r="N362" s="8" t="str">
        <x:v>i</x:v>
      </x:c>
      <x:c r="O362" s="8" t="n">
        <x:v>0</x:v>
      </x:c>
      <x:c r="P362" s="11" t="n">
        <x:f>MIN(X362,MAX(0,SUMIFS('Current inventory'!$D$2:$D$127,'Current inventory'!$A$2:$A$127,A362,'Current inventory'!$B$2:$B$127,B362)-SUMIFS($X$2:X361,$A$2:A361,A362,$B$2:B361,B362)))</x:f>
        <x:v>0</x:v>
      </x:c>
      <x:c r="Q362" s="1" t="str">
        <x:v>Received history</x:v>
      </x:c>
      <x:c r="R362" s="1" t="str">
        <x:v>Receipts data film c400 c800 plastic.csv</x:v>
      </x:c>
      <x:c r="S362" s="12" t="n">
        <x:f>IF(O362=1,I362*J362,0)</x:f>
        <x:v>0</x:v>
      </x:c>
      <x:c r="T362" s="13" t="n">
        <x:f>IF(L362&gt;0,K362/L362,"n.a.")</x:f>
        <x:v>0.0983</x:v>
      </x:c>
      <x:c r="U362" s="12" t="n">
        <x:f>IF(Q362="Old cost",S362,0)</x:f>
        <x:v>0</x:v>
      </x:c>
      <x:c r="V362" s="12" t="n">
        <x:f>IF(Q362="Higher cost",S362,0)</x:f>
        <x:v>0</x:v>
      </x:c>
      <x:c r="W362" s="12" t="n">
        <x:f>IF(Q362="Unclassified",S362,0)</x:f>
        <x:v>0</x:v>
      </x:c>
      <x:c r="X362" s="12" t="n">
        <x:f>IF(AND(ISNUMBER(F362),F362&gt;0,F362&lt;=Summary!$D$5,H362&gt;0),H362*J362,0)</x:f>
        <x:v>240000</x:v>
      </x:c>
    </x:row>
    <x:row r="363" ht="21" customHeight="1">
      <x:c r="A363" s="1" t="str">
        <x:v>10</x:v>
      </x:c>
      <x:c r="B363" s="1" t="str">
        <x:v>800BBLKDSC</x:v>
      </x:c>
      <x:c r="C363" s="1" t="str">
        <x:v>1054355</x:v>
      </x:c>
      <x:c r="D363" s="1" t="str">
        <x:v>3</x:v>
      </x:c>
      <x:c r="E363" s="1"/>
      <x:c r="F363" s="7" t="n">
        <x:v>44726</x:v>
      </x:c>
      <x:c r="G363" s="7" t="n">
        <x:v>44767</x:v>
      </x:c>
      <x:c r="H363" s="8" t="n">
        <x:v>0</x:v>
      </x:c>
      <x:c r="I363" s="8"/>
      <x:c r="J363" s="8" t="n">
        <x:v>1</x:v>
      </x:c>
      <x:c r="K363" s="9" t="n">
        <x:v>26.15</x:v>
      </x:c>
      <x:c r="L363" s="8" t="n">
        <x:v>100</x:v>
      </x:c>
      <x:c r="M363" s="10" t="n">
        <x:v>0</x:v>
      </x:c>
      <x:c r="N363" s="8" t="str">
        <x:v>i</x:v>
      </x:c>
      <x:c r="O363" s="8" t="n">
        <x:v>0</x:v>
      </x:c>
      <x:c r="P363" s="11" t="n">
        <x:f>MIN(X363,MAX(0,SUMIFS('Current inventory'!$D$2:$D$127,'Current inventory'!$A$2:$A$127,A363,'Current inventory'!$B$2:$B$127,B363)-SUMIFS($X$2:X362,$A$2:A362,A363,$B$2:B362,B363)))</x:f>
        <x:v>0</x:v>
      </x:c>
      <x:c r="Q363" s="1" t="str">
        <x:v>Received history</x:v>
      </x:c>
      <x:c r="R363" s="1" t="str">
        <x:v>Receipts data film c400 c800 plastic.csv</x:v>
      </x:c>
      <x:c r="S363" s="12" t="n">
        <x:f>IF(O363=1,I363*J363,0)</x:f>
        <x:v>0</x:v>
      </x:c>
      <x:c r="T363" s="13" t="n">
        <x:f>IF(L363&gt;0,K363/L363,"n.a.")</x:f>
        <x:v>0.2615</x:v>
      </x:c>
      <x:c r="U363" s="12" t="n">
        <x:f>IF(Q363="Old cost",S363,0)</x:f>
        <x:v>0</x:v>
      </x:c>
      <x:c r="V363" s="12" t="n">
        <x:f>IF(Q363="Higher cost",S363,0)</x:f>
        <x:v>0</x:v>
      </x:c>
      <x:c r="W363" s="12" t="n">
        <x:f>IF(Q363="Unclassified",S363,0)</x:f>
        <x:v>0</x:v>
      </x:c>
      <x:c r="X363" s="12" t="n">
        <x:f>IF(AND(ISNUMBER(F363),F363&gt;0,F363&lt;=Summary!$D$5,H363&gt;0),H363*J363,0)</x:f>
        <x:v>0</x:v>
      </x:c>
    </x:row>
    <x:row r="364" ht="21" customHeight="1">
      <x:c r="A364" s="1" t="str">
        <x:v>10</x:v>
      </x:c>
      <x:c r="B364" s="1" t="str">
        <x:v>800BBLKISC</x:v>
      </x:c>
      <x:c r="C364" s="1" t="str">
        <x:v>1054355</x:v>
      </x:c>
      <x:c r="D364" s="1" t="str">
        <x:v>3</x:v>
      </x:c>
      <x:c r="E364" s="1"/>
      <x:c r="F364" s="7" t="n">
        <x:v>44726</x:v>
      </x:c>
      <x:c r="G364" s="7" t="n">
        <x:v>44767</x:v>
      </x:c>
      <x:c r="H364" s="8" t="n">
        <x:v>0</x:v>
      </x:c>
      <x:c r="I364" s="8"/>
      <x:c r="J364" s="8" t="n">
        <x:v>1</x:v>
      </x:c>
      <x:c r="K364" s="9" t="n">
        <x:v>13.42</x:v>
      </x:c>
      <x:c r="L364" s="8" t="n">
        <x:v>100</x:v>
      </x:c>
      <x:c r="M364" s="10" t="n">
        <x:v>0</x:v>
      </x:c>
      <x:c r="N364" s="8" t="str">
        <x:v>i</x:v>
      </x:c>
      <x:c r="O364" s="8" t="n">
        <x:v>0</x:v>
      </x:c>
      <x:c r="P364" s="11" t="n">
        <x:f>MIN(X364,MAX(0,SUMIFS('Current inventory'!$D$2:$D$127,'Current inventory'!$A$2:$A$127,A364,'Current inventory'!$B$2:$B$127,B364)-SUMIFS($X$2:X363,$A$2:A363,A364,$B$2:B363,B364)))</x:f>
        <x:v>0</x:v>
      </x:c>
      <x:c r="Q364" s="1" t="str">
        <x:v>Received history</x:v>
      </x:c>
      <x:c r="R364" s="1" t="str">
        <x:v>Receipts data film c400 c800 plastic.csv</x:v>
      </x:c>
      <x:c r="S364" s="12" t="n">
        <x:f>IF(O364=1,I364*J364,0)</x:f>
        <x:v>0</x:v>
      </x:c>
      <x:c r="T364" s="13" t="n">
        <x:f>IF(L364&gt;0,K364/L364,"n.a.")</x:f>
        <x:v>0.13419999999999999</x:v>
      </x:c>
      <x:c r="U364" s="12" t="n">
        <x:f>IF(Q364="Old cost",S364,0)</x:f>
        <x:v>0</x:v>
      </x:c>
      <x:c r="V364" s="12" t="n">
        <x:f>IF(Q364="Higher cost",S364,0)</x:f>
        <x:v>0</x:v>
      </x:c>
      <x:c r="W364" s="12" t="n">
        <x:f>IF(Q364="Unclassified",S364,0)</x:f>
        <x:v>0</x:v>
      </x:c>
      <x:c r="X364" s="12" t="n">
        <x:f>IF(AND(ISNUMBER(F364),F364&gt;0,F364&lt;=Summary!$D$5,H364&gt;0),H364*J364,0)</x:f>
        <x:v>0</x:v>
      </x:c>
    </x:row>
    <x:row r="365" ht="21" customHeight="1">
      <x:c r="A365" s="1" t="str">
        <x:v>10</x:v>
      </x:c>
      <x:c r="B365" s="1" t="str">
        <x:v>800BBLKASC</x:v>
      </x:c>
      <x:c r="C365" s="1" t="str">
        <x:v>1054355</x:v>
      </x:c>
      <x:c r="D365" s="1" t="str">
        <x:v>2</x:v>
      </x:c>
      <x:c r="E365" s="1"/>
      <x:c r="F365" s="7" t="n">
        <x:v>44637</x:v>
      </x:c>
      <x:c r="G365" s="7" t="n">
        <x:v>44636</x:v>
      </x:c>
      <x:c r="H365" s="8" t="n">
        <x:v>80000</x:v>
      </x:c>
      <x:c r="I365" s="8"/>
      <x:c r="J365" s="8" t="n">
        <x:v>1</x:v>
      </x:c>
      <x:c r="K365" s="9" t="n">
        <x:v>9.83</x:v>
      </x:c>
      <x:c r="L365" s="8" t="n">
        <x:v>100</x:v>
      </x:c>
      <x:c r="M365" s="10" t="n">
        <x:v>8952</x:v>
      </x:c>
      <x:c r="N365" s="8" t="str">
        <x:v>i</x:v>
      </x:c>
      <x:c r="O365" s="8" t="n">
        <x:v>0</x:v>
      </x:c>
      <x:c r="P365" s="11" t="n">
        <x:f>MIN(X365,MAX(0,SUMIFS('Current inventory'!$D$2:$D$127,'Current inventory'!$A$2:$A$127,A365,'Current inventory'!$B$2:$B$127,B365)-SUMIFS($X$2:X364,$A$2:A364,A365,$B$2:B364,B365)))</x:f>
        <x:v>0</x:v>
      </x:c>
      <x:c r="Q365" s="1" t="str">
        <x:v>Received history</x:v>
      </x:c>
      <x:c r="R365" s="1" t="str">
        <x:v>Receipts data film c400 c800 plastic.csv</x:v>
      </x:c>
      <x:c r="S365" s="12" t="n">
        <x:f>IF(O365=1,I365*J365,0)</x:f>
        <x:v>0</x:v>
      </x:c>
      <x:c r="T365" s="13" t="n">
        <x:f>IF(L365&gt;0,K365/L365,"n.a.")</x:f>
        <x:v>0.0983</x:v>
      </x:c>
      <x:c r="U365" s="12" t="n">
        <x:f>IF(Q365="Old cost",S365,0)</x:f>
        <x:v>0</x:v>
      </x:c>
      <x:c r="V365" s="12" t="n">
        <x:f>IF(Q365="Higher cost",S365,0)</x:f>
        <x:v>0</x:v>
      </x:c>
      <x:c r="W365" s="12" t="n">
        <x:f>IF(Q365="Unclassified",S365,0)</x:f>
        <x:v>0</x:v>
      </x:c>
      <x:c r="X365" s="12" t="n">
        <x:f>IF(AND(ISNUMBER(F365),F365&gt;0,F365&lt;=Summary!$D$5,H365&gt;0),H365*J365,0)</x:f>
        <x:v>80000</x:v>
      </x:c>
    </x:row>
    <x:row r="366" ht="21" customHeight="1">
      <x:c r="A366" s="1" t="str">
        <x:v>10</x:v>
      </x:c>
      <x:c r="B366" s="1" t="str">
        <x:v>800BBLKDSC</x:v>
      </x:c>
      <x:c r="C366" s="1" t="str">
        <x:v>1054355</x:v>
      </x:c>
      <x:c r="D366" s="1" t="str">
        <x:v>2</x:v>
      </x:c>
      <x:c r="E366" s="1"/>
      <x:c r="F366" s="7" t="n">
        <x:v>44637</x:v>
      </x:c>
      <x:c r="G366" s="7" t="n">
        <x:v>44658</x:v>
      </x:c>
      <x:c r="H366" s="8" t="n">
        <x:v>0</x:v>
      </x:c>
      <x:c r="I366" s="8"/>
      <x:c r="J366" s="8" t="n">
        <x:v>1</x:v>
      </x:c>
      <x:c r="K366" s="9" t="n">
        <x:v>26.15</x:v>
      </x:c>
      <x:c r="L366" s="8" t="n">
        <x:v>100</x:v>
      </x:c>
      <x:c r="M366" s="10" t="n">
        <x:v>0</x:v>
      </x:c>
      <x:c r="N366" s="8" t="str">
        <x:v>i</x:v>
      </x:c>
      <x:c r="O366" s="8" t="n">
        <x:v>0</x:v>
      </x:c>
      <x:c r="P366" s="11" t="n">
        <x:f>MIN(X366,MAX(0,SUMIFS('Current inventory'!$D$2:$D$127,'Current inventory'!$A$2:$A$127,A366,'Current inventory'!$B$2:$B$127,B366)-SUMIFS($X$2:X365,$A$2:A365,A366,$B$2:B365,B366)))</x:f>
        <x:v>0</x:v>
      </x:c>
      <x:c r="Q366" s="1" t="str">
        <x:v>Received history</x:v>
      </x:c>
      <x:c r="R366" s="1" t="str">
        <x:v>Receipts data film c400 c800 plastic.csv</x:v>
      </x:c>
      <x:c r="S366" s="12" t="n">
        <x:f>IF(O366=1,I366*J366,0)</x:f>
        <x:v>0</x:v>
      </x:c>
      <x:c r="T366" s="13" t="n">
        <x:f>IF(L366&gt;0,K366/L366,"n.a.")</x:f>
        <x:v>0.2615</x:v>
      </x:c>
      <x:c r="U366" s="12" t="n">
        <x:f>IF(Q366="Old cost",S366,0)</x:f>
        <x:v>0</x:v>
      </x:c>
      <x:c r="V366" s="12" t="n">
        <x:f>IF(Q366="Higher cost",S366,0)</x:f>
        <x:v>0</x:v>
      </x:c>
      <x:c r="W366" s="12" t="n">
        <x:f>IF(Q366="Unclassified",S366,0)</x:f>
        <x:v>0</x:v>
      </x:c>
      <x:c r="X366" s="12" t="n">
        <x:f>IF(AND(ISNUMBER(F366),F366&gt;0,F366&lt;=Summary!$D$5,H366&gt;0),H366*J366,0)</x:f>
        <x:v>0</x:v>
      </x:c>
    </x:row>
    <x:row r="367" ht="21" customHeight="1">
      <x:c r="A367" s="1" t="str">
        <x:v>10</x:v>
      </x:c>
      <x:c r="B367" s="1" t="str">
        <x:v>800BBLKISC</x:v>
      </x:c>
      <x:c r="C367" s="1" t="str">
        <x:v>1054355</x:v>
      </x:c>
      <x:c r="D367" s="1" t="str">
        <x:v>2</x:v>
      </x:c>
      <x:c r="E367" s="1"/>
      <x:c r="F367" s="7" t="n">
        <x:v>44637</x:v>
      </x:c>
      <x:c r="G367" s="7" t="n">
        <x:v>44658</x:v>
      </x:c>
      <x:c r="H367" s="8" t="n">
        <x:v>0</x:v>
      </x:c>
      <x:c r="I367" s="8"/>
      <x:c r="J367" s="8" t="n">
        <x:v>1</x:v>
      </x:c>
      <x:c r="K367" s="9" t="n">
        <x:v>13.42</x:v>
      </x:c>
      <x:c r="L367" s="8" t="n">
        <x:v>100</x:v>
      </x:c>
      <x:c r="M367" s="10" t="n">
        <x:v>0</x:v>
      </x:c>
      <x:c r="N367" s="8" t="str">
        <x:v>i</x:v>
      </x:c>
      <x:c r="O367" s="8" t="n">
        <x:v>0</x:v>
      </x:c>
      <x:c r="P367" s="11" t="n">
        <x:f>MIN(X367,MAX(0,SUMIFS('Current inventory'!$D$2:$D$127,'Current inventory'!$A$2:$A$127,A367,'Current inventory'!$B$2:$B$127,B367)-SUMIFS($X$2:X366,$A$2:A366,A367,$B$2:B366,B367)))</x:f>
        <x:v>0</x:v>
      </x:c>
      <x:c r="Q367" s="1" t="str">
        <x:v>Received history</x:v>
      </x:c>
      <x:c r="R367" s="1" t="str">
        <x:v>Receipts data film c400 c800 plastic.csv</x:v>
      </x:c>
      <x:c r="S367" s="12" t="n">
        <x:f>IF(O367=1,I367*J367,0)</x:f>
        <x:v>0</x:v>
      </x:c>
      <x:c r="T367" s="13" t="n">
        <x:f>IF(L367&gt;0,K367/L367,"n.a.")</x:f>
        <x:v>0.13419999999999999</x:v>
      </x:c>
      <x:c r="U367" s="12" t="n">
        <x:f>IF(Q367="Old cost",S367,0)</x:f>
        <x:v>0</x:v>
      </x:c>
      <x:c r="V367" s="12" t="n">
        <x:f>IF(Q367="Higher cost",S367,0)</x:f>
        <x:v>0</x:v>
      </x:c>
      <x:c r="W367" s="12" t="n">
        <x:f>IF(Q367="Unclassified",S367,0)</x:f>
        <x:v>0</x:v>
      </x:c>
      <x:c r="X367" s="12" t="n">
        <x:f>IF(AND(ISNUMBER(F367),F367&gt;0,F367&lt;=Summary!$D$5,H367&gt;0),H367*J367,0)</x:f>
        <x:v>0</x:v>
      </x:c>
    </x:row>
    <x:row r="368" ht="21" customHeight="1">
      <x:c r="A368" s="1" t="str">
        <x:v>10</x:v>
      </x:c>
      <x:c r="B368" s="1" t="str">
        <x:v>800BLKE</x:v>
      </x:c>
      <x:c r="C368" s="1" t="str">
        <x:v>1054355</x:v>
      </x:c>
      <x:c r="D368" s="1" t="str">
        <x:v>2</x:v>
      </x:c>
      <x:c r="E368" s="1"/>
      <x:c r="F368" s="7" t="n">
        <x:v>44637</x:v>
      </x:c>
      <x:c r="G368" s="7" t="n">
        <x:v>44636</x:v>
      </x:c>
      <x:c r="H368" s="8" t="n">
        <x:v>8500</x:v>
      </x:c>
      <x:c r="I368" s="8"/>
      <x:c r="J368" s="8" t="n">
        <x:v>1</x:v>
      </x:c>
      <x:c r="K368" s="9" t="n">
        <x:v>719</x:v>
      </x:c>
      <x:c r="L368" s="8" t="n">
        <x:v>1000</x:v>
      </x:c>
      <x:c r="M368" s="10" t="n">
        <x:v>6757.5</x:v>
      </x:c>
      <x:c r="N368" s="8" t="str">
        <x:v>i</x:v>
      </x:c>
      <x:c r="O368" s="8" t="n">
        <x:v>0</x:v>
      </x:c>
      <x:c r="P368" s="11" t="n">
        <x:f>MIN(X368,MAX(0,SUMIFS('Current inventory'!$D$2:$D$127,'Current inventory'!$A$2:$A$127,A368,'Current inventory'!$B$2:$B$127,B368)-SUMIFS($X$2:X367,$A$2:A367,A368,$B$2:B367,B368)))</x:f>
        <x:v>0</x:v>
      </x:c>
      <x:c r="Q368" s="1" t="str">
        <x:v>Received history</x:v>
      </x:c>
      <x:c r="R368" s="1" t="str">
        <x:v>Receipts data film c400 c800 plastic.csv</x:v>
      </x:c>
      <x:c r="S368" s="12" t="n">
        <x:f>IF(O368=1,I368*J368,0)</x:f>
        <x:v>0</x:v>
      </x:c>
      <x:c r="T368" s="13" t="n">
        <x:f>IF(L368&gt;0,K368/L368,"n.a.")</x:f>
        <x:v>0.719</x:v>
      </x:c>
      <x:c r="U368" s="12" t="n">
        <x:f>IF(Q368="Old cost",S368,0)</x:f>
        <x:v>0</x:v>
      </x:c>
      <x:c r="V368" s="12" t="n">
        <x:f>IF(Q368="Higher cost",S368,0)</x:f>
        <x:v>0</x:v>
      </x:c>
      <x:c r="W368" s="12" t="n">
        <x:f>IF(Q368="Unclassified",S368,0)</x:f>
        <x:v>0</x:v>
      </x:c>
      <x:c r="X368" s="12" t="n">
        <x:f>IF(AND(ISNUMBER(F368),F368&gt;0,F368&lt;=Summary!$D$5,H368&gt;0),H368*J368,0)</x:f>
        <x:v>8500</x:v>
      </x:c>
    </x:row>
    <x:row r="369" ht="21" customHeight="1">
      <x:c r="A369" s="1" t="str">
        <x:v>60</x:v>
      </x:c>
      <x:c r="B369" s="1" t="str">
        <x:v>800BBLKASC</x:v>
      </x:c>
      <x:c r="C369" s="1" t="str">
        <x:v>6102635</x:v>
      </x:c>
      <x:c r="D369" s="1" t="str">
        <x:v>1</x:v>
      </x:c>
      <x:c r="E369" s="1"/>
      <x:c r="F369" s="7" t="n">
        <x:v>44635</x:v>
      </x:c>
      <x:c r="G369" s="7" t="n">
        <x:v>44635</x:v>
      </x:c>
      <x:c r="H369" s="8" t="n">
        <x:v>40000</x:v>
      </x:c>
      <x:c r="I369" s="8"/>
      <x:c r="J369" s="8" t="n">
        <x:v>1</x:v>
      </x:c>
      <x:c r="K369" s="9" t="n">
        <x:v>9.83</x:v>
      </x:c>
      <x:c r="L369" s="8" t="n">
        <x:v>100</x:v>
      </x:c>
      <x:c r="M369" s="10" t="n">
        <x:v>4476</x:v>
      </x:c>
      <x:c r="N369" s="8" t="str">
        <x:v>i</x:v>
      </x:c>
      <x:c r="O369" s="8" t="n">
        <x:v>0</x:v>
      </x:c>
      <x:c r="P369" s="11" t="n">
        <x:f>MIN(X369,MAX(0,SUMIFS('Current inventory'!$D$2:$D$127,'Current inventory'!$A$2:$A$127,A369,'Current inventory'!$B$2:$B$127,B369)-SUMIFS($X$2:X368,$A$2:A368,A369,$B$2:B368,B369)))</x:f>
        <x:v>0</x:v>
      </x:c>
      <x:c r="Q369" s="1" t="str">
        <x:v>Received history</x:v>
      </x:c>
      <x:c r="R369" s="1" t="str">
        <x:v>Receipts data film c400 c800 plastic.csv</x:v>
      </x:c>
      <x:c r="S369" s="12" t="n">
        <x:f>IF(O369=1,I369*J369,0)</x:f>
        <x:v>0</x:v>
      </x:c>
      <x:c r="T369" s="13" t="n">
        <x:f>IF(L369&gt;0,K369/L369,"n.a.")</x:f>
        <x:v>0.0983</x:v>
      </x:c>
      <x:c r="U369" s="12" t="n">
        <x:f>IF(Q369="Old cost",S369,0)</x:f>
        <x:v>0</x:v>
      </x:c>
      <x:c r="V369" s="12" t="n">
        <x:f>IF(Q369="Higher cost",S369,0)</x:f>
        <x:v>0</x:v>
      </x:c>
      <x:c r="W369" s="12" t="n">
        <x:f>IF(Q369="Unclassified",S369,0)</x:f>
        <x:v>0</x:v>
      </x:c>
      <x:c r="X369" s="12" t="n">
        <x:f>IF(AND(ISNUMBER(F369),F369&gt;0,F369&lt;=Summary!$D$5,H369&gt;0),H369*J369,0)</x:f>
        <x:v>40000</x:v>
      </x:c>
    </x:row>
    <x:row r="370" ht="21" customHeight="1">
      <x:c r="A370" s="1" t="str">
        <x:v>60</x:v>
      </x:c>
      <x:c r="B370" s="1" t="str">
        <x:v>800BBLKDSC</x:v>
      </x:c>
      <x:c r="C370" s="1" t="str">
        <x:v>6102635</x:v>
      </x:c>
      <x:c r="D370" s="1" t="str">
        <x:v>1</x:v>
      </x:c>
      <x:c r="E370" s="1"/>
      <x:c r="F370" s="7" t="n">
        <x:v>44635</x:v>
      </x:c>
      <x:c r="G370" s="7" t="n">
        <x:v>44658</x:v>
      </x:c>
      <x:c r="H370" s="8" t="n">
        <x:v>0</x:v>
      </x:c>
      <x:c r="I370" s="8"/>
      <x:c r="J370" s="8" t="n">
        <x:v>1</x:v>
      </x:c>
      <x:c r="K370" s="9" t="n">
        <x:v>26.15</x:v>
      </x:c>
      <x:c r="L370" s="8" t="n">
        <x:v>100</x:v>
      </x:c>
      <x:c r="M370" s="10" t="n">
        <x:v>0</x:v>
      </x:c>
      <x:c r="N370" s="8" t="str">
        <x:v>i</x:v>
      </x:c>
      <x:c r="O370" s="8" t="n">
        <x:v>0</x:v>
      </x:c>
      <x:c r="P370" s="11" t="n">
        <x:f>MIN(X370,MAX(0,SUMIFS('Current inventory'!$D$2:$D$127,'Current inventory'!$A$2:$A$127,A370,'Current inventory'!$B$2:$B$127,B370)-SUMIFS($X$2:X369,$A$2:A369,A370,$B$2:B369,B370)))</x:f>
        <x:v>0</x:v>
      </x:c>
      <x:c r="Q370" s="1" t="str">
        <x:v>Received history</x:v>
      </x:c>
      <x:c r="R370" s="1" t="str">
        <x:v>Receipts data film c400 c800 plastic.csv</x:v>
      </x:c>
      <x:c r="S370" s="12" t="n">
        <x:f>IF(O370=1,I370*J370,0)</x:f>
        <x:v>0</x:v>
      </x:c>
      <x:c r="T370" s="13" t="n">
        <x:f>IF(L370&gt;0,K370/L370,"n.a.")</x:f>
        <x:v>0.2615</x:v>
      </x:c>
      <x:c r="U370" s="12" t="n">
        <x:f>IF(Q370="Old cost",S370,0)</x:f>
        <x:v>0</x:v>
      </x:c>
      <x:c r="V370" s="12" t="n">
        <x:f>IF(Q370="Higher cost",S370,0)</x:f>
        <x:v>0</x:v>
      </x:c>
      <x:c r="W370" s="12" t="n">
        <x:f>IF(Q370="Unclassified",S370,0)</x:f>
        <x:v>0</x:v>
      </x:c>
      <x:c r="X370" s="12" t="n">
        <x:f>IF(AND(ISNUMBER(F370),F370&gt;0,F370&lt;=Summary!$D$5,H370&gt;0),H370*J370,0)</x:f>
        <x:v>0</x:v>
      </x:c>
    </x:row>
    <x:row r="371" ht="21" customHeight="1">
      <x:c r="A371" s="1" t="str">
        <x:v>60</x:v>
      </x:c>
      <x:c r="B371" s="1" t="str">
        <x:v>800BBLKISC</x:v>
      </x:c>
      <x:c r="C371" s="1" t="str">
        <x:v>6102635</x:v>
      </x:c>
      <x:c r="D371" s="1" t="str">
        <x:v>1</x:v>
      </x:c>
      <x:c r="E371" s="1"/>
      <x:c r="F371" s="7" t="n">
        <x:v>44635</x:v>
      </x:c>
      <x:c r="G371" s="7" t="n">
        <x:v>44658</x:v>
      </x:c>
      <x:c r="H371" s="8" t="n">
        <x:v>0</x:v>
      </x:c>
      <x:c r="I371" s="8"/>
      <x:c r="J371" s="8" t="n">
        <x:v>1</x:v>
      </x:c>
      <x:c r="K371" s="9" t="n">
        <x:v>13.42</x:v>
      </x:c>
      <x:c r="L371" s="8" t="n">
        <x:v>100</x:v>
      </x:c>
      <x:c r="M371" s="10" t="n">
        <x:v>0</x:v>
      </x:c>
      <x:c r="N371" s="8" t="str">
        <x:v>i</x:v>
      </x:c>
      <x:c r="O371" s="8" t="n">
        <x:v>0</x:v>
      </x:c>
      <x:c r="P371" s="11" t="n">
        <x:f>MIN(X371,MAX(0,SUMIFS('Current inventory'!$D$2:$D$127,'Current inventory'!$A$2:$A$127,A371,'Current inventory'!$B$2:$B$127,B371)-SUMIFS($X$2:X370,$A$2:A370,A371,$B$2:B370,B371)))</x:f>
        <x:v>0</x:v>
      </x:c>
      <x:c r="Q371" s="1" t="str">
        <x:v>Received history</x:v>
      </x:c>
      <x:c r="R371" s="1" t="str">
        <x:v>Receipts data film c400 c800 plastic.csv</x:v>
      </x:c>
      <x:c r="S371" s="12" t="n">
        <x:f>IF(O371=1,I371*J371,0)</x:f>
        <x:v>0</x:v>
      </x:c>
      <x:c r="T371" s="13" t="n">
        <x:f>IF(L371&gt;0,K371/L371,"n.a.")</x:f>
        <x:v>0.13419999999999999</x:v>
      </x:c>
      <x:c r="U371" s="12" t="n">
        <x:f>IF(Q371="Old cost",S371,0)</x:f>
        <x:v>0</x:v>
      </x:c>
      <x:c r="V371" s="12" t="n">
        <x:f>IF(Q371="Higher cost",S371,0)</x:f>
        <x:v>0</x:v>
      </x:c>
      <x:c r="W371" s="12" t="n">
        <x:f>IF(Q371="Unclassified",S371,0)</x:f>
        <x:v>0</x:v>
      </x:c>
      <x:c r="X371" s="12" t="n">
        <x:f>IF(AND(ISNUMBER(F371),F371&gt;0,F371&lt;=Summary!$D$5,H371&gt;0),H371*J371,0)</x:f>
        <x:v>0</x:v>
      </x:c>
    </x:row>
    <x:row r="372" ht="21" customHeight="1">
      <x:c r="A372" s="1" t="str">
        <x:v>60</x:v>
      </x:c>
      <x:c r="B372" s="1" t="str">
        <x:v>800BFGASC</x:v>
      </x:c>
      <x:c r="C372" s="1" t="str">
        <x:v>6102635</x:v>
      </x:c>
      <x:c r="D372" s="1" t="str">
        <x:v>1</x:v>
      </x:c>
      <x:c r="E372" s="1"/>
      <x:c r="F372" s="7" t="n">
        <x:v>44635</x:v>
      </x:c>
      <x:c r="G372" s="7" t="n">
        <x:v>44658</x:v>
      </x:c>
      <x:c r="H372" s="8" t="n">
        <x:v>0</x:v>
      </x:c>
      <x:c r="I372" s="8"/>
      <x:c r="J372" s="8" t="n">
        <x:v>1</x:v>
      </x:c>
      <x:c r="K372" s="9" t="n">
        <x:v>13.54</x:v>
      </x:c>
      <x:c r="L372" s="8" t="n">
        <x:v>100</x:v>
      </x:c>
      <x:c r="M372" s="10" t="n">
        <x:v>0</x:v>
      </x:c>
      <x:c r="N372" s="8" t="str">
        <x:v>i</x:v>
      </x:c>
      <x:c r="O372" s="8" t="n">
        <x:v>0</x:v>
      </x:c>
      <x:c r="P372" s="11" t="n">
        <x:f>MIN(X372,MAX(0,SUMIFS('Current inventory'!$D$2:$D$127,'Current inventory'!$A$2:$A$127,A372,'Current inventory'!$B$2:$B$127,B372)-SUMIFS($X$2:X371,$A$2:A371,A372,$B$2:B371,B372)))</x:f>
        <x:v>0</x:v>
      </x:c>
      <x:c r="Q372" s="1" t="str">
        <x:v>Received history</x:v>
      </x:c>
      <x:c r="R372" s="1" t="str">
        <x:v>Receipts data film c400 c800 plastic.csv</x:v>
      </x:c>
      <x:c r="S372" s="12" t="n">
        <x:f>IF(O372=1,I372*J372,0)</x:f>
        <x:v>0</x:v>
      </x:c>
      <x:c r="T372" s="13" t="n">
        <x:f>IF(L372&gt;0,K372/L372,"n.a.")</x:f>
        <x:v>0.1354</x:v>
      </x:c>
      <x:c r="U372" s="12" t="n">
        <x:f>IF(Q372="Old cost",S372,0)</x:f>
        <x:v>0</x:v>
      </x:c>
      <x:c r="V372" s="12" t="n">
        <x:f>IF(Q372="Higher cost",S372,0)</x:f>
        <x:v>0</x:v>
      </x:c>
      <x:c r="W372" s="12" t="n">
        <x:f>IF(Q372="Unclassified",S372,0)</x:f>
        <x:v>0</x:v>
      </x:c>
      <x:c r="X372" s="12" t="n">
        <x:f>IF(AND(ISNUMBER(F372),F372&gt;0,F372&lt;=Summary!$D$5,H372&gt;0),H372*J372,0)</x:f>
        <x:v>0</x:v>
      </x:c>
    </x:row>
    <x:row r="373" ht="21" customHeight="1">
      <x:c r="A373" s="1" t="str">
        <x:v>60</x:v>
      </x:c>
      <x:c r="B373" s="1" t="str">
        <x:v>800BLKE</x:v>
      </x:c>
      <x:c r="C373" s="1" t="str">
        <x:v>6102635</x:v>
      </x:c>
      <x:c r="D373" s="1" t="str">
        <x:v>1</x:v>
      </x:c>
      <x:c r="E373" s="1"/>
      <x:c r="F373" s="7" t="n">
        <x:v>44635</x:v>
      </x:c>
      <x:c r="G373" s="7" t="n">
        <x:v>44635</x:v>
      </x:c>
      <x:c r="H373" s="8" t="n">
        <x:v>5100</x:v>
      </x:c>
      <x:c r="I373" s="8"/>
      <x:c r="J373" s="8" t="n">
        <x:v>1</x:v>
      </x:c>
      <x:c r="K373" s="9" t="n">
        <x:v>719</x:v>
      </x:c>
      <x:c r="L373" s="8" t="n">
        <x:v>1000</x:v>
      </x:c>
      <x:c r="M373" s="10" t="n">
        <x:v>4054.5</x:v>
      </x:c>
      <x:c r="N373" s="8" t="str">
        <x:v>i</x:v>
      </x:c>
      <x:c r="O373" s="8" t="n">
        <x:v>0</x:v>
      </x:c>
      <x:c r="P373" s="11" t="n">
        <x:f>MIN(X373,MAX(0,SUMIFS('Current inventory'!$D$2:$D$127,'Current inventory'!$A$2:$A$127,A373,'Current inventory'!$B$2:$B$127,B373)-SUMIFS($X$2:X372,$A$2:A372,A373,$B$2:B372,B373)))</x:f>
        <x:v>0</x:v>
      </x:c>
      <x:c r="Q373" s="1" t="str">
        <x:v>Received history</x:v>
      </x:c>
      <x:c r="R373" s="1" t="str">
        <x:v>Receipts data film c400 c800 plastic.csv</x:v>
      </x:c>
      <x:c r="S373" s="12" t="n">
        <x:f>IF(O373=1,I373*J373,0)</x:f>
        <x:v>0</x:v>
      </x:c>
      <x:c r="T373" s="13" t="n">
        <x:f>IF(L373&gt;0,K373/L373,"n.a.")</x:f>
        <x:v>0.719</x:v>
      </x:c>
      <x:c r="U373" s="12" t="n">
        <x:f>IF(Q373="Old cost",S373,0)</x:f>
        <x:v>0</x:v>
      </x:c>
      <x:c r="V373" s="12" t="n">
        <x:f>IF(Q373="Higher cost",S373,0)</x:f>
        <x:v>0</x:v>
      </x:c>
      <x:c r="W373" s="12" t="n">
        <x:f>IF(Q373="Unclassified",S373,0)</x:f>
        <x:v>0</x:v>
      </x:c>
      <x:c r="X373" s="12" t="n">
        <x:f>IF(AND(ISNUMBER(F373),F373&gt;0,F373&lt;=Summary!$D$5,H373&gt;0),H373*J373,0)</x:f>
        <x:v>5100</x:v>
      </x:c>
    </x:row>
    <x:row r="374" ht="21" customHeight="1">
      <x:c r="A374" s="1" t="str">
        <x:v>60</x:v>
      </x:c>
      <x:c r="B374" s="1" t="str">
        <x:v>800BWHTASC</x:v>
      </x:c>
      <x:c r="C374" s="1" t="str">
        <x:v>6102635</x:v>
      </x:c>
      <x:c r="D374" s="1" t="str">
        <x:v>1</x:v>
      </x:c>
      <x:c r="E374" s="1"/>
      <x:c r="F374" s="7" t="n">
        <x:v>44635</x:v>
      </x:c>
      <x:c r="G374" s="7" t="n">
        <x:v>44658</x:v>
      </x:c>
      <x:c r="H374" s="8" t="n">
        <x:v>0</x:v>
      </x:c>
      <x:c r="I374" s="8"/>
      <x:c r="J374" s="8" t="n">
        <x:v>1</x:v>
      </x:c>
      <x:c r="K374" s="9" t="n">
        <x:v>13.54</x:v>
      </x:c>
      <x:c r="L374" s="8" t="n">
        <x:v>100</x:v>
      </x:c>
      <x:c r="M374" s="10" t="n">
        <x:v>0</x:v>
      </x:c>
      <x:c r="N374" s="8" t="str">
        <x:v>i</x:v>
      </x:c>
      <x:c r="O374" s="8" t="n">
        <x:v>0</x:v>
      </x:c>
      <x:c r="P374" s="11" t="n">
        <x:f>MIN(X374,MAX(0,SUMIFS('Current inventory'!$D$2:$D$127,'Current inventory'!$A$2:$A$127,A374,'Current inventory'!$B$2:$B$127,B374)-SUMIFS($X$2:X373,$A$2:A373,A374,$B$2:B373,B374)))</x:f>
        <x:v>0</x:v>
      </x:c>
      <x:c r="Q374" s="1" t="str">
        <x:v>Received history</x:v>
      </x:c>
      <x:c r="R374" s="1" t="str">
        <x:v>Receipts data film c400 c800 plastic.csv</x:v>
      </x:c>
      <x:c r="S374" s="12" t="n">
        <x:f>IF(O374=1,I374*J374,0)</x:f>
        <x:v>0</x:v>
      </x:c>
      <x:c r="T374" s="13" t="n">
        <x:f>IF(L374&gt;0,K374/L374,"n.a.")</x:f>
        <x:v>0.1354</x:v>
      </x:c>
      <x:c r="U374" s="12" t="n">
        <x:f>IF(Q374="Old cost",S374,0)</x:f>
        <x:v>0</x:v>
      </x:c>
      <x:c r="V374" s="12" t="n">
        <x:f>IF(Q374="Higher cost",S374,0)</x:f>
        <x:v>0</x:v>
      </x:c>
      <x:c r="W374" s="12" t="n">
        <x:f>IF(Q374="Unclassified",S374,0)</x:f>
        <x:v>0</x:v>
      </x:c>
      <x:c r="X374" s="12" t="n">
        <x:f>IF(AND(ISNUMBER(F374),F374&gt;0,F374&lt;=Summary!$D$5,H374&gt;0),H374*J374,0)</x:f>
        <x:v>0</x:v>
      </x:c>
    </x:row>
    <x:row r="375" ht="21" customHeight="1">
      <x:c r="A375" s="1" t="str">
        <x:v>30</x:v>
      </x:c>
      <x:c r="B375" s="1" t="str">
        <x:v>800BBLKASC</x:v>
      </x:c>
      <x:c r="C375" s="1" t="str">
        <x:v>3003712</x:v>
      </x:c>
      <x:c r="D375" s="1" t="str">
        <x:v>0</x:v>
      </x:c>
      <x:c r="E375" s="1"/>
      <x:c r="F375" s="7" t="n">
        <x:v>44629</x:v>
      </x:c>
      <x:c r="G375" s="7" t="n">
        <x:v>44629</x:v>
      </x:c>
      <x:c r="H375" s="8" t="n">
        <x:v>40000</x:v>
      </x:c>
      <x:c r="I375" s="8"/>
      <x:c r="J375" s="8" t="n">
        <x:v>1</x:v>
      </x:c>
      <x:c r="K375" s="9" t="n">
        <x:v>9.83</x:v>
      </x:c>
      <x:c r="L375" s="8" t="n">
        <x:v>100</x:v>
      </x:c>
      <x:c r="M375" s="10" t="n">
        <x:v>4476</x:v>
      </x:c>
      <x:c r="N375" s="8" t="str">
        <x:v>i</x:v>
      </x:c>
      <x:c r="O375" s="8" t="n">
        <x:v>0</x:v>
      </x:c>
      <x:c r="P375" s="11" t="n">
        <x:f>MIN(X375,MAX(0,SUMIFS('Current inventory'!$D$2:$D$127,'Current inventory'!$A$2:$A$127,A375,'Current inventory'!$B$2:$B$127,B375)-SUMIFS($X$2:X374,$A$2:A374,A375,$B$2:B374,B375)))</x:f>
        <x:v>0</x:v>
      </x:c>
      <x:c r="Q375" s="1" t="str">
        <x:v>Received history</x:v>
      </x:c>
      <x:c r="R375" s="1" t="str">
        <x:v>Receipts data film c400 c800 plastic.csv</x:v>
      </x:c>
      <x:c r="S375" s="12" t="n">
        <x:f>IF(O375=1,I375*J375,0)</x:f>
        <x:v>0</x:v>
      </x:c>
      <x:c r="T375" s="13" t="n">
        <x:f>IF(L375&gt;0,K375/L375,"n.a.")</x:f>
        <x:v>0.0983</x:v>
      </x:c>
      <x:c r="U375" s="12" t="n">
        <x:f>IF(Q375="Old cost",S375,0)</x:f>
        <x:v>0</x:v>
      </x:c>
      <x:c r="V375" s="12" t="n">
        <x:f>IF(Q375="Higher cost",S375,0)</x:f>
        <x:v>0</x:v>
      </x:c>
      <x:c r="W375" s="12" t="n">
        <x:f>IF(Q375="Unclassified",S375,0)</x:f>
        <x:v>0</x:v>
      </x:c>
      <x:c r="X375" s="12" t="n">
        <x:f>IF(AND(ISNUMBER(F375),F375&gt;0,F375&lt;=Summary!$D$5,H375&gt;0),H375*J375,0)</x:f>
        <x:v>40000</x:v>
      </x:c>
    </x:row>
    <x:row r="376" ht="21" customHeight="1">
      <x:c r="A376" s="1" t="str">
        <x:v>30</x:v>
      </x:c>
      <x:c r="B376" s="1" t="str">
        <x:v>800BBLKDSC</x:v>
      </x:c>
      <x:c r="C376" s="1" t="str">
        <x:v>3003712</x:v>
      </x:c>
      <x:c r="D376" s="1" t="str">
        <x:v>0</x:v>
      </x:c>
      <x:c r="E376" s="1"/>
      <x:c r="F376" s="7" t="n">
        <x:v>44629</x:v>
      </x:c>
      <x:c r="G376" s="7" t="n">
        <x:v>44658</x:v>
      </x:c>
      <x:c r="H376" s="8" t="n">
        <x:v>0</x:v>
      </x:c>
      <x:c r="I376" s="8"/>
      <x:c r="J376" s="8" t="n">
        <x:v>1</x:v>
      </x:c>
      <x:c r="K376" s="9" t="n">
        <x:v>26.15</x:v>
      </x:c>
      <x:c r="L376" s="8" t="n">
        <x:v>100</x:v>
      </x:c>
      <x:c r="M376" s="10" t="n">
        <x:v>0</x:v>
      </x:c>
      <x:c r="N376" s="8" t="str">
        <x:v>i</x:v>
      </x:c>
      <x:c r="O376" s="8" t="n">
        <x:v>0</x:v>
      </x:c>
      <x:c r="P376" s="11" t="n">
        <x:f>MIN(X376,MAX(0,SUMIFS('Current inventory'!$D$2:$D$127,'Current inventory'!$A$2:$A$127,A376,'Current inventory'!$B$2:$B$127,B376)-SUMIFS($X$2:X375,$A$2:A375,A376,$B$2:B375,B376)))</x:f>
        <x:v>0</x:v>
      </x:c>
      <x:c r="Q376" s="1" t="str">
        <x:v>Received history</x:v>
      </x:c>
      <x:c r="R376" s="1" t="str">
        <x:v>Receipts data film c400 c800 plastic.csv</x:v>
      </x:c>
      <x:c r="S376" s="12" t="n">
        <x:f>IF(O376=1,I376*J376,0)</x:f>
        <x:v>0</x:v>
      </x:c>
      <x:c r="T376" s="13" t="n">
        <x:f>IF(L376&gt;0,K376/L376,"n.a.")</x:f>
        <x:v>0.2615</x:v>
      </x:c>
      <x:c r="U376" s="12" t="n">
        <x:f>IF(Q376="Old cost",S376,0)</x:f>
        <x:v>0</x:v>
      </x:c>
      <x:c r="V376" s="12" t="n">
        <x:f>IF(Q376="Higher cost",S376,0)</x:f>
        <x:v>0</x:v>
      </x:c>
      <x:c r="W376" s="12" t="n">
        <x:f>IF(Q376="Unclassified",S376,0)</x:f>
        <x:v>0</x:v>
      </x:c>
      <x:c r="X376" s="12" t="n">
        <x:f>IF(AND(ISNUMBER(F376),F376&gt;0,F376&lt;=Summary!$D$5,H376&gt;0),H376*J376,0)</x:f>
        <x:v>0</x:v>
      </x:c>
    </x:row>
    <x:row r="377" ht="21" customHeight="1">
      <x:c r="A377" s="1" t="str">
        <x:v>30</x:v>
      </x:c>
      <x:c r="B377" s="1" t="str">
        <x:v>800BFGASC</x:v>
      </x:c>
      <x:c r="C377" s="1" t="str">
        <x:v>3003712</x:v>
      </x:c>
      <x:c r="D377" s="1" t="str">
        <x:v>0</x:v>
      </x:c>
      <x:c r="E377" s="1"/>
      <x:c r="F377" s="7" t="n">
        <x:v>44629</x:v>
      </x:c>
      <x:c r="G377" s="7" t="n">
        <x:v>44658</x:v>
      </x:c>
      <x:c r="H377" s="8" t="n">
        <x:v>0</x:v>
      </x:c>
      <x:c r="I377" s="8"/>
      <x:c r="J377" s="8" t="n">
        <x:v>1</x:v>
      </x:c>
      <x:c r="K377" s="9" t="n">
        <x:v>13.54</x:v>
      </x:c>
      <x:c r="L377" s="8" t="n">
        <x:v>100</x:v>
      </x:c>
      <x:c r="M377" s="10" t="n">
        <x:v>0</x:v>
      </x:c>
      <x:c r="N377" s="8" t="str">
        <x:v>i</x:v>
      </x:c>
      <x:c r="O377" s="8" t="n">
        <x:v>0</x:v>
      </x:c>
      <x:c r="P377" s="11" t="n">
        <x:f>MIN(X377,MAX(0,SUMIFS('Current inventory'!$D$2:$D$127,'Current inventory'!$A$2:$A$127,A377,'Current inventory'!$B$2:$B$127,B377)-SUMIFS($X$2:X376,$A$2:A376,A377,$B$2:B376,B377)))</x:f>
        <x:v>0</x:v>
      </x:c>
      <x:c r="Q377" s="1" t="str">
        <x:v>Received history</x:v>
      </x:c>
      <x:c r="R377" s="1" t="str">
        <x:v>Receipts data film c400 c800 plastic.csv</x:v>
      </x:c>
      <x:c r="S377" s="12" t="n">
        <x:f>IF(O377=1,I377*J377,0)</x:f>
        <x:v>0</x:v>
      </x:c>
      <x:c r="T377" s="13" t="n">
        <x:f>IF(L377&gt;0,K377/L377,"n.a.")</x:f>
        <x:v>0.1354</x:v>
      </x:c>
      <x:c r="U377" s="12" t="n">
        <x:f>IF(Q377="Old cost",S377,0)</x:f>
        <x:v>0</x:v>
      </x:c>
      <x:c r="V377" s="12" t="n">
        <x:f>IF(Q377="Higher cost",S377,0)</x:f>
        <x:v>0</x:v>
      </x:c>
      <x:c r="W377" s="12" t="n">
        <x:f>IF(Q377="Unclassified",S377,0)</x:f>
        <x:v>0</x:v>
      </x:c>
      <x:c r="X377" s="12" t="n">
        <x:f>IF(AND(ISNUMBER(F377),F377&gt;0,F377&lt;=Summary!$D$5,H377&gt;0),H377*J377,0)</x:f>
        <x:v>0</x:v>
      </x:c>
    </x:row>
    <x:row r="378" ht="21" customHeight="1">
      <x:c r="A378" s="1" t="str">
        <x:v>30</x:v>
      </x:c>
      <x:c r="B378" s="1" t="str">
        <x:v>800BMARASC</x:v>
      </x:c>
      <x:c r="C378" s="1" t="str">
        <x:v>3003712</x:v>
      </x:c>
      <x:c r="D378" s="1" t="str">
        <x:v>0</x:v>
      </x:c>
      <x:c r="E378" s="1"/>
      <x:c r="F378" s="7" t="n">
        <x:v>44629</x:v>
      </x:c>
      <x:c r="G378" s="7" t="n">
        <x:v>44629</x:v>
      </x:c>
      <x:c r="H378" s="8" t="n">
        <x:v>20000</x:v>
      </x:c>
      <x:c r="I378" s="8"/>
      <x:c r="J378" s="8" t="n">
        <x:v>1</x:v>
      </x:c>
      <x:c r="K378" s="9" t="n">
        <x:v>12.45</x:v>
      </x:c>
      <x:c r="L378" s="8" t="n">
        <x:v>100</x:v>
      </x:c>
      <x:c r="M378" s="10" t="n">
        <x:v>2676</x:v>
      </x:c>
      <x:c r="N378" s="8" t="str">
        <x:v>i</x:v>
      </x:c>
      <x:c r="O378" s="8" t="n">
        <x:v>0</x:v>
      </x:c>
      <x:c r="P378" s="11" t="n">
        <x:f>MIN(X378,MAX(0,SUMIFS('Current inventory'!$D$2:$D$127,'Current inventory'!$A$2:$A$127,A378,'Current inventory'!$B$2:$B$127,B378)-SUMIFS($X$2:X377,$A$2:A377,A378,$B$2:B377,B378)))</x:f>
        <x:v>0</x:v>
      </x:c>
      <x:c r="Q378" s="1" t="str">
        <x:v>Received history</x:v>
      </x:c>
      <x:c r="R378" s="1" t="str">
        <x:v>Receipts data film c400 c800 plastic.csv</x:v>
      </x:c>
      <x:c r="S378" s="12" t="n">
        <x:f>IF(O378=1,I378*J378,0)</x:f>
        <x:v>0</x:v>
      </x:c>
      <x:c r="T378" s="13" t="n">
        <x:f>IF(L378&gt;0,K378/L378,"n.a.")</x:f>
        <x:v>0.1245</x:v>
      </x:c>
      <x:c r="U378" s="12" t="n">
        <x:f>IF(Q378="Old cost",S378,0)</x:f>
        <x:v>0</x:v>
      </x:c>
      <x:c r="V378" s="12" t="n">
        <x:f>IF(Q378="Higher cost",S378,0)</x:f>
        <x:v>0</x:v>
      </x:c>
      <x:c r="W378" s="12" t="n">
        <x:f>IF(Q378="Unclassified",S378,0)</x:f>
        <x:v>0</x:v>
      </x:c>
      <x:c r="X378" s="12" t="n">
        <x:f>IF(AND(ISNUMBER(F378),F378&gt;0,F378&lt;=Summary!$D$5,H378&gt;0),H378*J378,0)</x:f>
        <x:v>20000</x:v>
      </x:c>
    </x:row>
    <x:row r="379" ht="21" customHeight="1">
      <x:c r="A379" s="1" t="str">
        <x:v>30</x:v>
      </x:c>
      <x:c r="B379" s="1" t="str">
        <x:v>800BWHTASC</x:v>
      </x:c>
      <x:c r="C379" s="1" t="str">
        <x:v>3003712</x:v>
      </x:c>
      <x:c r="D379" s="1" t="str">
        <x:v>0</x:v>
      </x:c>
      <x:c r="E379" s="1"/>
      <x:c r="F379" s="7" t="n">
        <x:v>44629</x:v>
      </x:c>
      <x:c r="G379" s="7" t="n">
        <x:v>44658</x:v>
      </x:c>
      <x:c r="H379" s="8" t="n">
        <x:v>0</x:v>
      </x:c>
      <x:c r="I379" s="8"/>
      <x:c r="J379" s="8" t="n">
        <x:v>1</x:v>
      </x:c>
      <x:c r="K379" s="9" t="n">
        <x:v>13.54</x:v>
      </x:c>
      <x:c r="L379" s="8" t="n">
        <x:v>100</x:v>
      </x:c>
      <x:c r="M379" s="10" t="n">
        <x:v>0</x:v>
      </x:c>
      <x:c r="N379" s="8" t="str">
        <x:v>i</x:v>
      </x:c>
      <x:c r="O379" s="8" t="n">
        <x:v>0</x:v>
      </x:c>
      <x:c r="P379" s="11" t="n">
        <x:f>MIN(X379,MAX(0,SUMIFS('Current inventory'!$D$2:$D$127,'Current inventory'!$A$2:$A$127,A379,'Current inventory'!$B$2:$B$127,B379)-SUMIFS($X$2:X378,$A$2:A378,A379,$B$2:B378,B379)))</x:f>
        <x:v>0</x:v>
      </x:c>
      <x:c r="Q379" s="1" t="str">
        <x:v>Received history</x:v>
      </x:c>
      <x:c r="R379" s="1" t="str">
        <x:v>Receipts data film c400 c800 plastic.csv</x:v>
      </x:c>
      <x:c r="S379" s="12" t="n">
        <x:f>IF(O379=1,I379*J379,0)</x:f>
        <x:v>0</x:v>
      </x:c>
      <x:c r="T379" s="13" t="n">
        <x:f>IF(L379&gt;0,K379/L379,"n.a.")</x:f>
        <x:v>0.1354</x:v>
      </x:c>
      <x:c r="U379" s="12" t="n">
        <x:f>IF(Q379="Old cost",S379,0)</x:f>
        <x:v>0</x:v>
      </x:c>
      <x:c r="V379" s="12" t="n">
        <x:f>IF(Q379="Higher cost",S379,0)</x:f>
        <x:v>0</x:v>
      </x:c>
      <x:c r="W379" s="12" t="n">
        <x:f>IF(Q379="Unclassified",S379,0)</x:f>
        <x:v>0</x:v>
      </x:c>
      <x:c r="X379" s="12" t="n">
        <x:f>IF(AND(ISNUMBER(F379),F379&gt;0,F379&lt;=Summary!$D$5,H379&gt;0),H379*J379,0)</x:f>
        <x:v>0</x:v>
      </x:c>
    </x:row>
    <x:row r="380" ht="21" customHeight="1">
      <x:c r="A380" s="1" t="str">
        <x:v>30</x:v>
      </x:c>
      <x:c r="B380" s="1" t="str">
        <x:v>800BBLKDSC</x:v>
      </x:c>
      <x:c r="C380" s="1" t="str">
        <x:v>3003711</x:v>
      </x:c>
      <x:c r="D380" s="1" t="str">
        <x:v>1</x:v>
      </x:c>
      <x:c r="E380" s="1"/>
      <x:c r="F380" s="7" t="n">
        <x:v>44629</x:v>
      </x:c>
      <x:c r="G380" s="7" t="n">
        <x:v>44658</x:v>
      </x:c>
      <x:c r="H380" s="8" t="n">
        <x:v>0</x:v>
      </x:c>
      <x:c r="I380" s="8"/>
      <x:c r="J380" s="8" t="n">
        <x:v>1</x:v>
      </x:c>
      <x:c r="K380" s="9" t="n">
        <x:v>26.15</x:v>
      </x:c>
      <x:c r="L380" s="8" t="n">
        <x:v>100</x:v>
      </x:c>
      <x:c r="M380" s="10" t="n">
        <x:v>0</x:v>
      </x:c>
      <x:c r="N380" s="8" t="str">
        <x:v>i</x:v>
      </x:c>
      <x:c r="O380" s="8" t="n">
        <x:v>0</x:v>
      </x:c>
      <x:c r="P380" s="11" t="n">
        <x:f>MIN(X380,MAX(0,SUMIFS('Current inventory'!$D$2:$D$127,'Current inventory'!$A$2:$A$127,A380,'Current inventory'!$B$2:$B$127,B380)-SUMIFS($X$2:X379,$A$2:A379,A380,$B$2:B379,B380)))</x:f>
        <x:v>0</x:v>
      </x:c>
      <x:c r="Q380" s="1" t="str">
        <x:v>Received history</x:v>
      </x:c>
      <x:c r="R380" s="1" t="str">
        <x:v>Receipts data film c400 c800 plastic.csv</x:v>
      </x:c>
      <x:c r="S380" s="12" t="n">
        <x:f>IF(O380=1,I380*J380,0)</x:f>
        <x:v>0</x:v>
      </x:c>
      <x:c r="T380" s="13" t="n">
        <x:f>IF(L380&gt;0,K380/L380,"n.a.")</x:f>
        <x:v>0.2615</x:v>
      </x:c>
      <x:c r="U380" s="12" t="n">
        <x:f>IF(Q380="Old cost",S380,0)</x:f>
        <x:v>0</x:v>
      </x:c>
      <x:c r="V380" s="12" t="n">
        <x:f>IF(Q380="Higher cost",S380,0)</x:f>
        <x:v>0</x:v>
      </x:c>
      <x:c r="W380" s="12" t="n">
        <x:f>IF(Q380="Unclassified",S380,0)</x:f>
        <x:v>0</x:v>
      </x:c>
      <x:c r="X380" s="12" t="n">
        <x:f>IF(AND(ISNUMBER(F380),F380&gt;0,F380&lt;=Summary!$D$5,H380&gt;0),H380*J380,0)</x:f>
        <x:v>0</x:v>
      </x:c>
    </x:row>
    <x:row r="381" ht="21" customHeight="1">
      <x:c r="A381" s="1" t="str">
        <x:v>30</x:v>
      </x:c>
      <x:c r="B381" s="1" t="str">
        <x:v>800BBLKISC</x:v>
      </x:c>
      <x:c r="C381" s="1" t="str">
        <x:v>3003711</x:v>
      </x:c>
      <x:c r="D381" s="1" t="str">
        <x:v>1</x:v>
      </x:c>
      <x:c r="E381" s="1"/>
      <x:c r="F381" s="7" t="n">
        <x:v>44629</x:v>
      </x:c>
      <x:c r="G381" s="7" t="n">
        <x:v>44658</x:v>
      </x:c>
      <x:c r="H381" s="8" t="n">
        <x:v>0</x:v>
      </x:c>
      <x:c r="I381" s="8"/>
      <x:c r="J381" s="8" t="n">
        <x:v>1</x:v>
      </x:c>
      <x:c r="K381" s="9" t="n">
        <x:v>13.42</x:v>
      </x:c>
      <x:c r="L381" s="8" t="n">
        <x:v>100</x:v>
      </x:c>
      <x:c r="M381" s="10" t="n">
        <x:v>0</x:v>
      </x:c>
      <x:c r="N381" s="8" t="str">
        <x:v>i</x:v>
      </x:c>
      <x:c r="O381" s="8" t="n">
        <x:v>0</x:v>
      </x:c>
      <x:c r="P381" s="11" t="n">
        <x:f>MIN(X381,MAX(0,SUMIFS('Current inventory'!$D$2:$D$127,'Current inventory'!$A$2:$A$127,A381,'Current inventory'!$B$2:$B$127,B381)-SUMIFS($X$2:X380,$A$2:A380,A381,$B$2:B380,B381)))</x:f>
        <x:v>0</x:v>
      </x:c>
      <x:c r="Q381" s="1" t="str">
        <x:v>Received history</x:v>
      </x:c>
      <x:c r="R381" s="1" t="str">
        <x:v>Receipts data film c400 c800 plastic.csv</x:v>
      </x:c>
      <x:c r="S381" s="12" t="n">
        <x:f>IF(O381=1,I381*J381,0)</x:f>
        <x:v>0</x:v>
      </x:c>
      <x:c r="T381" s="13" t="n">
        <x:f>IF(L381&gt;0,K381/L381,"n.a.")</x:f>
        <x:v>0.13419999999999999</x:v>
      </x:c>
      <x:c r="U381" s="12" t="n">
        <x:f>IF(Q381="Old cost",S381,0)</x:f>
        <x:v>0</x:v>
      </x:c>
      <x:c r="V381" s="12" t="n">
        <x:f>IF(Q381="Higher cost",S381,0)</x:f>
        <x:v>0</x:v>
      </x:c>
      <x:c r="W381" s="12" t="n">
        <x:f>IF(Q381="Unclassified",S381,0)</x:f>
        <x:v>0</x:v>
      </x:c>
      <x:c r="X381" s="12" t="n">
        <x:f>IF(AND(ISNUMBER(F381),F381&gt;0,F381&lt;=Summary!$D$5,H381&gt;0),H381*J381,0)</x:f>
        <x:v>0</x:v>
      </x:c>
    </x:row>
    <x:row r="382" ht="21" customHeight="1">
      <x:c r="A382" s="1" t="str">
        <x:v>30</x:v>
      </x:c>
      <x:c r="B382" s="1" t="str">
        <x:v>800BFGASC</x:v>
      </x:c>
      <x:c r="C382" s="1" t="str">
        <x:v>3003711</x:v>
      </x:c>
      <x:c r="D382" s="1" t="str">
        <x:v>1</x:v>
      </x:c>
      <x:c r="E382" s="1"/>
      <x:c r="F382" s="7" t="n">
        <x:v>44629</x:v>
      </x:c>
      <x:c r="G382" s="7" t="n">
        <x:v>44658</x:v>
      </x:c>
      <x:c r="H382" s="8" t="n">
        <x:v>0</x:v>
      </x:c>
      <x:c r="I382" s="8"/>
      <x:c r="J382" s="8" t="n">
        <x:v>1</x:v>
      </x:c>
      <x:c r="K382" s="9" t="n">
        <x:v>13.54</x:v>
      </x:c>
      <x:c r="L382" s="8" t="n">
        <x:v>100</x:v>
      </x:c>
      <x:c r="M382" s="10" t="n">
        <x:v>0</x:v>
      </x:c>
      <x:c r="N382" s="8" t="str">
        <x:v>i</x:v>
      </x:c>
      <x:c r="O382" s="8" t="n">
        <x:v>0</x:v>
      </x:c>
      <x:c r="P382" s="11" t="n">
        <x:f>MIN(X382,MAX(0,SUMIFS('Current inventory'!$D$2:$D$127,'Current inventory'!$A$2:$A$127,A382,'Current inventory'!$B$2:$B$127,B382)-SUMIFS($X$2:X381,$A$2:A381,A382,$B$2:B381,B382)))</x:f>
        <x:v>0</x:v>
      </x:c>
      <x:c r="Q382" s="1" t="str">
        <x:v>Received history</x:v>
      </x:c>
      <x:c r="R382" s="1" t="str">
        <x:v>Receipts data film c400 c800 plastic.csv</x:v>
      </x:c>
      <x:c r="S382" s="12" t="n">
        <x:f>IF(O382=1,I382*J382,0)</x:f>
        <x:v>0</x:v>
      </x:c>
      <x:c r="T382" s="13" t="n">
        <x:f>IF(L382&gt;0,K382/L382,"n.a.")</x:f>
        <x:v>0.1354</x:v>
      </x:c>
      <x:c r="U382" s="12" t="n">
        <x:f>IF(Q382="Old cost",S382,0)</x:f>
        <x:v>0</x:v>
      </x:c>
      <x:c r="V382" s="12" t="n">
        <x:f>IF(Q382="Higher cost",S382,0)</x:f>
        <x:v>0</x:v>
      </x:c>
      <x:c r="W382" s="12" t="n">
        <x:f>IF(Q382="Unclassified",S382,0)</x:f>
        <x:v>0</x:v>
      </x:c>
      <x:c r="X382" s="12" t="n">
        <x:f>IF(AND(ISNUMBER(F382),F382&gt;0,F382&lt;=Summary!$D$5,H382&gt;0),H382*J382,0)</x:f>
        <x:v>0</x:v>
      </x:c>
    </x:row>
    <x:row r="383" ht="21" customHeight="1">
      <x:c r="A383" s="1" t="str">
        <x:v>30</x:v>
      </x:c>
      <x:c r="B383" s="1" t="str">
        <x:v>800BMARASC</x:v>
      </x:c>
      <x:c r="C383" s="1" t="str">
        <x:v>3003711</x:v>
      </x:c>
      <x:c r="D383" s="1" t="str">
        <x:v>1</x:v>
      </x:c>
      <x:c r="E383" s="1"/>
      <x:c r="F383" s="7" t="n">
        <x:v>44629</x:v>
      </x:c>
      <x:c r="G383" s="7" t="n">
        <x:v>44629</x:v>
      </x:c>
      <x:c r="H383" s="8" t="n">
        <x:v>20000</x:v>
      </x:c>
      <x:c r="I383" s="8"/>
      <x:c r="J383" s="8" t="n">
        <x:v>1</x:v>
      </x:c>
      <x:c r="K383" s="9" t="n">
        <x:v>12.45</x:v>
      </x:c>
      <x:c r="L383" s="8" t="n">
        <x:v>100</x:v>
      </x:c>
      <x:c r="M383" s="10" t="n">
        <x:v>2676</x:v>
      </x:c>
      <x:c r="N383" s="8" t="str">
        <x:v>i</x:v>
      </x:c>
      <x:c r="O383" s="8" t="n">
        <x:v>0</x:v>
      </x:c>
      <x:c r="P383" s="11" t="n">
        <x:f>MIN(X383,MAX(0,SUMIFS('Current inventory'!$D$2:$D$127,'Current inventory'!$A$2:$A$127,A383,'Current inventory'!$B$2:$B$127,B383)-SUMIFS($X$2:X382,$A$2:A382,A383,$B$2:B382,B383)))</x:f>
        <x:v>0</x:v>
      </x:c>
      <x:c r="Q383" s="1" t="str">
        <x:v>Received history</x:v>
      </x:c>
      <x:c r="R383" s="1" t="str">
        <x:v>Receipts data film c400 c800 plastic.csv</x:v>
      </x:c>
      <x:c r="S383" s="12" t="n">
        <x:f>IF(O383=1,I383*J383,0)</x:f>
        <x:v>0</x:v>
      </x:c>
      <x:c r="T383" s="13" t="n">
        <x:f>IF(L383&gt;0,K383/L383,"n.a.")</x:f>
        <x:v>0.1245</x:v>
      </x:c>
      <x:c r="U383" s="12" t="n">
        <x:f>IF(Q383="Old cost",S383,0)</x:f>
        <x:v>0</x:v>
      </x:c>
      <x:c r="V383" s="12" t="n">
        <x:f>IF(Q383="Higher cost",S383,0)</x:f>
        <x:v>0</x:v>
      </x:c>
      <x:c r="W383" s="12" t="n">
        <x:f>IF(Q383="Unclassified",S383,0)</x:f>
        <x:v>0</x:v>
      </x:c>
      <x:c r="X383" s="12" t="n">
        <x:f>IF(AND(ISNUMBER(F383),F383&gt;0,F383&lt;=Summary!$D$5,H383&gt;0),H383*J383,0)</x:f>
        <x:v>20000</x:v>
      </x:c>
    </x:row>
    <x:row r="384" ht="21" customHeight="1">
      <x:c r="A384" s="1" t="str">
        <x:v>30</x:v>
      </x:c>
      <x:c r="B384" s="1" t="str">
        <x:v>800BWHTASC</x:v>
      </x:c>
      <x:c r="C384" s="1" t="str">
        <x:v>3003711</x:v>
      </x:c>
      <x:c r="D384" s="1" t="str">
        <x:v>1</x:v>
      </x:c>
      <x:c r="E384" s="1"/>
      <x:c r="F384" s="7" t="n">
        <x:v>44629</x:v>
      </x:c>
      <x:c r="G384" s="7" t="n">
        <x:v>44658</x:v>
      </x:c>
      <x:c r="H384" s="8" t="n">
        <x:v>0</x:v>
      </x:c>
      <x:c r="I384" s="8"/>
      <x:c r="J384" s="8" t="n">
        <x:v>1</x:v>
      </x:c>
      <x:c r="K384" s="9" t="n">
        <x:v>13.54</x:v>
      </x:c>
      <x:c r="L384" s="8" t="n">
        <x:v>100</x:v>
      </x:c>
      <x:c r="M384" s="10" t="n">
        <x:v>0</x:v>
      </x:c>
      <x:c r="N384" s="8" t="str">
        <x:v>i</x:v>
      </x:c>
      <x:c r="O384" s="8" t="n">
        <x:v>0</x:v>
      </x:c>
      <x:c r="P384" s="11" t="n">
        <x:f>MIN(X384,MAX(0,SUMIFS('Current inventory'!$D$2:$D$127,'Current inventory'!$A$2:$A$127,A384,'Current inventory'!$B$2:$B$127,B384)-SUMIFS($X$2:X383,$A$2:A383,A384,$B$2:B383,B384)))</x:f>
        <x:v>0</x:v>
      </x:c>
      <x:c r="Q384" s="1" t="str">
        <x:v>Received history</x:v>
      </x:c>
      <x:c r="R384" s="1" t="str">
        <x:v>Receipts data film c400 c800 plastic.csv</x:v>
      </x:c>
      <x:c r="S384" s="12" t="n">
        <x:f>IF(O384=1,I384*J384,0)</x:f>
        <x:v>0</x:v>
      </x:c>
      <x:c r="T384" s="13" t="n">
        <x:f>IF(L384&gt;0,K384/L384,"n.a.")</x:f>
        <x:v>0.1354</x:v>
      </x:c>
      <x:c r="U384" s="12" t="n">
        <x:f>IF(Q384="Old cost",S384,0)</x:f>
        <x:v>0</x:v>
      </x:c>
      <x:c r="V384" s="12" t="n">
        <x:f>IF(Q384="Higher cost",S384,0)</x:f>
        <x:v>0</x:v>
      </x:c>
      <x:c r="W384" s="12" t="n">
        <x:f>IF(Q384="Unclassified",S384,0)</x:f>
        <x:v>0</x:v>
      </x:c>
      <x:c r="X384" s="12" t="n">
        <x:f>IF(AND(ISNUMBER(F384),F384&gt;0,F384&lt;=Summary!$D$5,H384&gt;0),H384*J384,0)</x:f>
        <x:v>0</x:v>
      </x:c>
    </x:row>
    <x:row r="385" ht="21" customHeight="1">
      <x:c r="A385" s="1" t="str">
        <x:v>10</x:v>
      </x:c>
      <x:c r="B385" s="1" t="str">
        <x:v>800BBLKASC</x:v>
      </x:c>
      <x:c r="C385" s="1" t="str">
        <x:v>1054355</x:v>
      </x:c>
      <x:c r="D385" s="1" t="str">
        <x:v>1</x:v>
      </x:c>
      <x:c r="E385" s="1"/>
      <x:c r="F385" s="7" t="n">
        <x:v>44628</x:v>
      </x:c>
      <x:c r="G385" s="7" t="n">
        <x:v>44627</x:v>
      </x:c>
      <x:c r="H385" s="8" t="n">
        <x:v>80000</x:v>
      </x:c>
      <x:c r="I385" s="8"/>
      <x:c r="J385" s="8" t="n">
        <x:v>1</x:v>
      </x:c>
      <x:c r="K385" s="9" t="n">
        <x:v>9.83</x:v>
      </x:c>
      <x:c r="L385" s="8" t="n">
        <x:v>100</x:v>
      </x:c>
      <x:c r="M385" s="10" t="n">
        <x:v>8952</x:v>
      </x:c>
      <x:c r="N385" s="8" t="str">
        <x:v>i</x:v>
      </x:c>
      <x:c r="O385" s="8" t="n">
        <x:v>0</x:v>
      </x:c>
      <x:c r="P385" s="11" t="n">
        <x:f>MIN(X385,MAX(0,SUMIFS('Current inventory'!$D$2:$D$127,'Current inventory'!$A$2:$A$127,A385,'Current inventory'!$B$2:$B$127,B385)-SUMIFS($X$2:X384,$A$2:A384,A385,$B$2:B384,B385)))</x:f>
        <x:v>0</x:v>
      </x:c>
      <x:c r="Q385" s="1" t="str">
        <x:v>Received history</x:v>
      </x:c>
      <x:c r="R385" s="1" t="str">
        <x:v>Receipts data film c400 c800 plastic.csv</x:v>
      </x:c>
      <x:c r="S385" s="12" t="n">
        <x:f>IF(O385=1,I385*J385,0)</x:f>
        <x:v>0</x:v>
      </x:c>
      <x:c r="T385" s="13" t="n">
        <x:f>IF(L385&gt;0,K385/L385,"n.a.")</x:f>
        <x:v>0.0983</x:v>
      </x:c>
      <x:c r="U385" s="12" t="n">
        <x:f>IF(Q385="Old cost",S385,0)</x:f>
        <x:v>0</x:v>
      </x:c>
      <x:c r="V385" s="12" t="n">
        <x:f>IF(Q385="Higher cost",S385,0)</x:f>
        <x:v>0</x:v>
      </x:c>
      <x:c r="W385" s="12" t="n">
        <x:f>IF(Q385="Unclassified",S385,0)</x:f>
        <x:v>0</x:v>
      </x:c>
      <x:c r="X385" s="12" t="n">
        <x:f>IF(AND(ISNUMBER(F385),F385&gt;0,F385&lt;=Summary!$D$5,H385&gt;0),H385*J385,0)</x:f>
        <x:v>80000</x:v>
      </x:c>
    </x:row>
    <x:row r="386" ht="21" customHeight="1">
      <x:c r="A386" s="1" t="str">
        <x:v>10</x:v>
      </x:c>
      <x:c r="B386" s="1" t="str">
        <x:v>800BBLKDSC</x:v>
      </x:c>
      <x:c r="C386" s="1" t="str">
        <x:v>1054355</x:v>
      </x:c>
      <x:c r="D386" s="1" t="str">
        <x:v>1</x:v>
      </x:c>
      <x:c r="E386" s="1"/>
      <x:c r="F386" s="7" t="n">
        <x:v>44628</x:v>
      </x:c>
      <x:c r="G386" s="7" t="n">
        <x:v>44651</x:v>
      </x:c>
      <x:c r="H386" s="8" t="n">
        <x:v>0</x:v>
      </x:c>
      <x:c r="I386" s="8"/>
      <x:c r="J386" s="8" t="n">
        <x:v>1</x:v>
      </x:c>
      <x:c r="K386" s="9" t="n">
        <x:v>26.15</x:v>
      </x:c>
      <x:c r="L386" s="8" t="n">
        <x:v>100</x:v>
      </x:c>
      <x:c r="M386" s="10" t="n">
        <x:v>0</x:v>
      </x:c>
      <x:c r="N386" s="8" t="str">
        <x:v>i</x:v>
      </x:c>
      <x:c r="O386" s="8" t="n">
        <x:v>0</x:v>
      </x:c>
      <x:c r="P386" s="11" t="n">
        <x:f>MIN(X386,MAX(0,SUMIFS('Current inventory'!$D$2:$D$127,'Current inventory'!$A$2:$A$127,A386,'Current inventory'!$B$2:$B$127,B386)-SUMIFS($X$2:X385,$A$2:A385,A386,$B$2:B385,B386)))</x:f>
        <x:v>0</x:v>
      </x:c>
      <x:c r="Q386" s="1" t="str">
        <x:v>Received history</x:v>
      </x:c>
      <x:c r="R386" s="1" t="str">
        <x:v>Receipts data film c400 c800 plastic.csv</x:v>
      </x:c>
      <x:c r="S386" s="12" t="n">
        <x:f>IF(O386=1,I386*J386,0)</x:f>
        <x:v>0</x:v>
      </x:c>
      <x:c r="T386" s="13" t="n">
        <x:f>IF(L386&gt;0,K386/L386,"n.a.")</x:f>
        <x:v>0.2615</x:v>
      </x:c>
      <x:c r="U386" s="12" t="n">
        <x:f>IF(Q386="Old cost",S386,0)</x:f>
        <x:v>0</x:v>
      </x:c>
      <x:c r="V386" s="12" t="n">
        <x:f>IF(Q386="Higher cost",S386,0)</x:f>
        <x:v>0</x:v>
      </x:c>
      <x:c r="W386" s="12" t="n">
        <x:f>IF(Q386="Unclassified",S386,0)</x:f>
        <x:v>0</x:v>
      </x:c>
      <x:c r="X386" s="12" t="n">
        <x:f>IF(AND(ISNUMBER(F386),F386&gt;0,F386&lt;=Summary!$D$5,H386&gt;0),H386*J386,0)</x:f>
        <x:v>0</x:v>
      </x:c>
    </x:row>
    <x:row r="387" ht="21" customHeight="1">
      <x:c r="A387" s="1" t="str">
        <x:v>10</x:v>
      </x:c>
      <x:c r="B387" s="1" t="str">
        <x:v>800BBLKISC</x:v>
      </x:c>
      <x:c r="C387" s="1" t="str">
        <x:v>1054355</x:v>
      </x:c>
      <x:c r="D387" s="1" t="str">
        <x:v>1</x:v>
      </x:c>
      <x:c r="E387" s="1"/>
      <x:c r="F387" s="7" t="n">
        <x:v>44628</x:v>
      </x:c>
      <x:c r="G387" s="7" t="n">
        <x:v>44651</x:v>
      </x:c>
      <x:c r="H387" s="8" t="n">
        <x:v>0</x:v>
      </x:c>
      <x:c r="I387" s="8"/>
      <x:c r="J387" s="8" t="n">
        <x:v>1</x:v>
      </x:c>
      <x:c r="K387" s="9" t="n">
        <x:v>13.42</x:v>
      </x:c>
      <x:c r="L387" s="8" t="n">
        <x:v>100</x:v>
      </x:c>
      <x:c r="M387" s="10" t="n">
        <x:v>0</x:v>
      </x:c>
      <x:c r="N387" s="8" t="str">
        <x:v>i</x:v>
      </x:c>
      <x:c r="O387" s="8" t="n">
        <x:v>0</x:v>
      </x:c>
      <x:c r="P387" s="11" t="n">
        <x:f>MIN(X387,MAX(0,SUMIFS('Current inventory'!$D$2:$D$127,'Current inventory'!$A$2:$A$127,A387,'Current inventory'!$B$2:$B$127,B387)-SUMIFS($X$2:X386,$A$2:A386,A387,$B$2:B386,B387)))</x:f>
        <x:v>0</x:v>
      </x:c>
      <x:c r="Q387" s="1" t="str">
        <x:v>Received history</x:v>
      </x:c>
      <x:c r="R387" s="1" t="str">
        <x:v>Receipts data film c400 c800 plastic.csv</x:v>
      </x:c>
      <x:c r="S387" s="12" t="n">
        <x:f>IF(O387=1,I387*J387,0)</x:f>
        <x:v>0</x:v>
      </x:c>
      <x:c r="T387" s="13" t="n">
        <x:f>IF(L387&gt;0,K387/L387,"n.a.")</x:f>
        <x:v>0.13419999999999999</x:v>
      </x:c>
      <x:c r="U387" s="12" t="n">
        <x:f>IF(Q387="Old cost",S387,0)</x:f>
        <x:v>0</x:v>
      </x:c>
      <x:c r="V387" s="12" t="n">
        <x:f>IF(Q387="Higher cost",S387,0)</x:f>
        <x:v>0</x:v>
      </x:c>
      <x:c r="W387" s="12" t="n">
        <x:f>IF(Q387="Unclassified",S387,0)</x:f>
        <x:v>0</x:v>
      </x:c>
      <x:c r="X387" s="12" t="n">
        <x:f>IF(AND(ISNUMBER(F387),F387&gt;0,F387&lt;=Summary!$D$5,H387&gt;0),H387*J387,0)</x:f>
        <x:v>0</x:v>
      </x:c>
    </x:row>
    <x:row r="388" ht="21" customHeight="1">
      <x:c r="A388" s="1" t="str">
        <x:v>10</x:v>
      </x:c>
      <x:c r="B388" s="1" t="str">
        <x:v>800BLKE</x:v>
      </x:c>
      <x:c r="C388" s="1" t="str">
        <x:v>1054355</x:v>
      </x:c>
      <x:c r="D388" s="1" t="str">
        <x:v>1</x:v>
      </x:c>
      <x:c r="E388" s="1"/>
      <x:c r="F388" s="7" t="n">
        <x:v>44628</x:v>
      </x:c>
      <x:c r="G388" s="7" t="n">
        <x:v>44635</x:v>
      </x:c>
      <x:c r="H388" s="8" t="n">
        <x:v>0</x:v>
      </x:c>
      <x:c r="I388" s="8"/>
      <x:c r="J388" s="8" t="n">
        <x:v>1</x:v>
      </x:c>
      <x:c r="K388" s="9" t="n">
        <x:v>719</x:v>
      </x:c>
      <x:c r="L388" s="8" t="n">
        <x:v>1000</x:v>
      </x:c>
      <x:c r="M388" s="10" t="n">
        <x:v>0</x:v>
      </x:c>
      <x:c r="N388" s="8" t="str">
        <x:v>i</x:v>
      </x:c>
      <x:c r="O388" s="8" t="n">
        <x:v>0</x:v>
      </x:c>
      <x:c r="P388" s="11" t="n">
        <x:f>MIN(X388,MAX(0,SUMIFS('Current inventory'!$D$2:$D$127,'Current inventory'!$A$2:$A$127,A388,'Current inventory'!$B$2:$B$127,B388)-SUMIFS($X$2:X387,$A$2:A387,A388,$B$2:B387,B388)))</x:f>
        <x:v>0</x:v>
      </x:c>
      <x:c r="Q388" s="1" t="str">
        <x:v>Received history</x:v>
      </x:c>
      <x:c r="R388" s="1" t="str">
        <x:v>Receipts data film c400 c800 plastic.csv</x:v>
      </x:c>
      <x:c r="S388" s="12" t="n">
        <x:f>IF(O388=1,I388*J388,0)</x:f>
        <x:v>0</x:v>
      </x:c>
      <x:c r="T388" s="13" t="n">
        <x:f>IF(L388&gt;0,K388/L388,"n.a.")</x:f>
        <x:v>0.719</x:v>
      </x:c>
      <x:c r="U388" s="12" t="n">
        <x:f>IF(Q388="Old cost",S388,0)</x:f>
        <x:v>0</x:v>
      </x:c>
      <x:c r="V388" s="12" t="n">
        <x:f>IF(Q388="Higher cost",S388,0)</x:f>
        <x:v>0</x:v>
      </x:c>
      <x:c r="W388" s="12" t="n">
        <x:f>IF(Q388="Unclassified",S388,0)</x:f>
        <x:v>0</x:v>
      </x:c>
      <x:c r="X388" s="12" t="n">
        <x:f>IF(AND(ISNUMBER(F388),F388&gt;0,F388&lt;=Summary!$D$5,H388&gt;0),H388*J388,0)</x:f>
        <x:v>0</x:v>
      </x:c>
    </x:row>
    <x:row r="389" ht="21" customHeight="1">
      <x:c r="A389" s="1" t="str">
        <x:v>10</x:v>
      </x:c>
      <x:c r="B389" s="1" t="str">
        <x:v>800BMARASC</x:v>
      </x:c>
      <x:c r="C389" s="1" t="str">
        <x:v>1054355</x:v>
      </x:c>
      <x:c r="D389" s="1" t="str">
        <x:v>1</x:v>
      </x:c>
      <x:c r="E389" s="1"/>
      <x:c r="F389" s="7" t="n">
        <x:v>44628</x:v>
      </x:c>
      <x:c r="G389" s="7" t="n">
        <x:v>44627</x:v>
      </x:c>
      <x:c r="H389" s="8" t="n">
        <x:v>20000</x:v>
      </x:c>
      <x:c r="I389" s="8"/>
      <x:c r="J389" s="8" t="n">
        <x:v>1</x:v>
      </x:c>
      <x:c r="K389" s="9" t="n">
        <x:v>12.45</x:v>
      </x:c>
      <x:c r="L389" s="8" t="n">
        <x:v>100</x:v>
      </x:c>
      <x:c r="M389" s="10" t="n">
        <x:v>2676</x:v>
      </x:c>
      <x:c r="N389" s="8" t="str">
        <x:v>i</x:v>
      </x:c>
      <x:c r="O389" s="8" t="n">
        <x:v>0</x:v>
      </x:c>
      <x:c r="P389" s="11" t="n">
        <x:f>MIN(X389,MAX(0,SUMIFS('Current inventory'!$D$2:$D$127,'Current inventory'!$A$2:$A$127,A389,'Current inventory'!$B$2:$B$127,B389)-SUMIFS($X$2:X388,$A$2:A388,A389,$B$2:B388,B389)))</x:f>
        <x:v>0</x:v>
      </x:c>
      <x:c r="Q389" s="1" t="str">
        <x:v>Received history</x:v>
      </x:c>
      <x:c r="R389" s="1" t="str">
        <x:v>Receipts data film c400 c800 plastic.csv</x:v>
      </x:c>
      <x:c r="S389" s="12" t="n">
        <x:f>IF(O389=1,I389*J389,0)</x:f>
        <x:v>0</x:v>
      </x:c>
      <x:c r="T389" s="13" t="n">
        <x:f>IF(L389&gt;0,K389/L389,"n.a.")</x:f>
        <x:v>0.1245</x:v>
      </x:c>
      <x:c r="U389" s="12" t="n">
        <x:f>IF(Q389="Old cost",S389,0)</x:f>
        <x:v>0</x:v>
      </x:c>
      <x:c r="V389" s="12" t="n">
        <x:f>IF(Q389="Higher cost",S389,0)</x:f>
        <x:v>0</x:v>
      </x:c>
      <x:c r="W389" s="12" t="n">
        <x:f>IF(Q389="Unclassified",S389,0)</x:f>
        <x:v>0</x:v>
      </x:c>
      <x:c r="X389" s="12" t="n">
        <x:f>IF(AND(ISNUMBER(F389),F389&gt;0,F389&lt;=Summary!$D$5,H389&gt;0),H389*J389,0)</x:f>
        <x:v>20000</x:v>
      </x:c>
    </x:row>
    <x:row r="390" ht="21" customHeight="1">
      <x:c r="A390" s="1" t="str">
        <x:v>10</x:v>
      </x:c>
      <x:c r="B390" s="1" t="str">
        <x:v>800BWHTASC</x:v>
      </x:c>
      <x:c r="C390" s="1" t="str">
        <x:v>1054355</x:v>
      </x:c>
      <x:c r="D390" s="1" t="str">
        <x:v>1</x:v>
      </x:c>
      <x:c r="E390" s="1"/>
      <x:c r="F390" s="7" t="n">
        <x:v>44628</x:v>
      </x:c>
      <x:c r="G390" s="7" t="n">
        <x:v>44627</x:v>
      </x:c>
      <x:c r="H390" s="8" t="n">
        <x:v>20000</x:v>
      </x:c>
      <x:c r="I390" s="8"/>
      <x:c r="J390" s="8" t="n">
        <x:v>1</x:v>
      </x:c>
      <x:c r="K390" s="9" t="n">
        <x:v>13.54</x:v>
      </x:c>
      <x:c r="L390" s="8" t="n">
        <x:v>100</x:v>
      </x:c>
      <x:c r="M390" s="10" t="n">
        <x:v>2912</x:v>
      </x:c>
      <x:c r="N390" s="8" t="str">
        <x:v>i</x:v>
      </x:c>
      <x:c r="O390" s="8" t="n">
        <x:v>0</x:v>
      </x:c>
      <x:c r="P390" s="11" t="n">
        <x:f>MIN(X390,MAX(0,SUMIFS('Current inventory'!$D$2:$D$127,'Current inventory'!$A$2:$A$127,A390,'Current inventory'!$B$2:$B$127,B390)-SUMIFS($X$2:X389,$A$2:A389,A390,$B$2:B389,B390)))</x:f>
        <x:v>0</x:v>
      </x:c>
      <x:c r="Q390" s="1" t="str">
        <x:v>Received history</x:v>
      </x:c>
      <x:c r="R390" s="1" t="str">
        <x:v>Receipts data film c400 c800 plastic.csv</x:v>
      </x:c>
      <x:c r="S390" s="12" t="n">
        <x:f>IF(O390=1,I390*J390,0)</x:f>
        <x:v>0</x:v>
      </x:c>
      <x:c r="T390" s="13" t="n">
        <x:f>IF(L390&gt;0,K390/L390,"n.a.")</x:f>
        <x:v>0.1354</x:v>
      </x:c>
      <x:c r="U390" s="12" t="n">
        <x:f>IF(Q390="Old cost",S390,0)</x:f>
        <x:v>0</x:v>
      </x:c>
      <x:c r="V390" s="12" t="n">
        <x:f>IF(Q390="Higher cost",S390,0)</x:f>
        <x:v>0</x:v>
      </x:c>
      <x:c r="W390" s="12" t="n">
        <x:f>IF(Q390="Unclassified",S390,0)</x:f>
        <x:v>0</x:v>
      </x:c>
      <x:c r="X390" s="12" t="n">
        <x:f>IF(AND(ISNUMBER(F390),F390&gt;0,F390&lt;=Summary!$D$5,H390&gt;0),H390*J390,0)</x:f>
        <x:v>20000</x:v>
      </x:c>
    </x:row>
    <x:row r="391" ht="21" customHeight="1">
      <x:c r="A391" s="1" t="str">
        <x:v>10</x:v>
      </x:c>
      <x:c r="B391" s="1" t="str">
        <x:v>800BBLKDSC</x:v>
      </x:c>
      <x:c r="C391" s="1" t="str">
        <x:v>1054353</x:v>
      </x:c>
      <x:c r="D391" s="1" t="str">
        <x:v>1</x:v>
      </x:c>
      <x:c r="E391" s="1"/>
      <x:c r="F391" s="7" t="n">
        <x:v>44628</x:v>
      </x:c>
      <x:c r="G391" s="7" t="n">
        <x:v>44651</x:v>
      </x:c>
      <x:c r="H391" s="8" t="n">
        <x:v>0</x:v>
      </x:c>
      <x:c r="I391" s="8"/>
      <x:c r="J391" s="8" t="n">
        <x:v>1</x:v>
      </x:c>
      <x:c r="K391" s="9" t="n">
        <x:v>26.15</x:v>
      </x:c>
      <x:c r="L391" s="8" t="n">
        <x:v>100</x:v>
      </x:c>
      <x:c r="M391" s="10" t="n">
        <x:v>0</x:v>
      </x:c>
      <x:c r="N391" s="8" t="str">
        <x:v>i</x:v>
      </x:c>
      <x:c r="O391" s="8" t="n">
        <x:v>0</x:v>
      </x:c>
      <x:c r="P391" s="11" t="n">
        <x:f>MIN(X391,MAX(0,SUMIFS('Current inventory'!$D$2:$D$127,'Current inventory'!$A$2:$A$127,A391,'Current inventory'!$B$2:$B$127,B391)-SUMIFS($X$2:X390,$A$2:A390,A391,$B$2:B390,B391)))</x:f>
        <x:v>0</x:v>
      </x:c>
      <x:c r="Q391" s="1" t="str">
        <x:v>Received history</x:v>
      </x:c>
      <x:c r="R391" s="1" t="str">
        <x:v>Receipts data film c400 c800 plastic.csv</x:v>
      </x:c>
      <x:c r="S391" s="12" t="n">
        <x:f>IF(O391=1,I391*J391,0)</x:f>
        <x:v>0</x:v>
      </x:c>
      <x:c r="T391" s="13" t="n">
        <x:f>IF(L391&gt;0,K391/L391,"n.a.")</x:f>
        <x:v>0.2615</x:v>
      </x:c>
      <x:c r="U391" s="12" t="n">
        <x:f>IF(Q391="Old cost",S391,0)</x:f>
        <x:v>0</x:v>
      </x:c>
      <x:c r="V391" s="12" t="n">
        <x:f>IF(Q391="Higher cost",S391,0)</x:f>
        <x:v>0</x:v>
      </x:c>
      <x:c r="W391" s="12" t="n">
        <x:f>IF(Q391="Unclassified",S391,0)</x:f>
        <x:v>0</x:v>
      </x:c>
      <x:c r="X391" s="12" t="n">
        <x:f>IF(AND(ISNUMBER(F391),F391&gt;0,F391&lt;=Summary!$D$5,H391&gt;0),H391*J391,0)</x:f>
        <x:v>0</x:v>
      </x:c>
    </x:row>
    <x:row r="392" ht="21" customHeight="1">
      <x:c r="A392" s="1" t="str">
        <x:v>10</x:v>
      </x:c>
      <x:c r="B392" s="1" t="str">
        <x:v>800BMARASC</x:v>
      </x:c>
      <x:c r="C392" s="1" t="str">
        <x:v>1054353</x:v>
      </x:c>
      <x:c r="D392" s="1" t="str">
        <x:v>1</x:v>
      </x:c>
      <x:c r="E392" s="1"/>
      <x:c r="F392" s="7" t="n">
        <x:v>44628</x:v>
      </x:c>
      <x:c r="G392" s="7" t="n">
        <x:v>44627</x:v>
      </x:c>
      <x:c r="H392" s="8" t="n">
        <x:v>20000</x:v>
      </x:c>
      <x:c r="I392" s="8"/>
      <x:c r="J392" s="8" t="n">
        <x:v>1</x:v>
      </x:c>
      <x:c r="K392" s="9" t="n">
        <x:v>12.45</x:v>
      </x:c>
      <x:c r="L392" s="8" t="n">
        <x:v>100</x:v>
      </x:c>
      <x:c r="M392" s="10" t="n">
        <x:v>2676</x:v>
      </x:c>
      <x:c r="N392" s="8" t="str">
        <x:v>i</x:v>
      </x:c>
      <x:c r="O392" s="8" t="n">
        <x:v>0</x:v>
      </x:c>
      <x:c r="P392" s="11" t="n">
        <x:f>MIN(X392,MAX(0,SUMIFS('Current inventory'!$D$2:$D$127,'Current inventory'!$A$2:$A$127,A392,'Current inventory'!$B$2:$B$127,B392)-SUMIFS($X$2:X391,$A$2:A391,A392,$B$2:B391,B392)))</x:f>
        <x:v>0</x:v>
      </x:c>
      <x:c r="Q392" s="1" t="str">
        <x:v>Received history</x:v>
      </x:c>
      <x:c r="R392" s="1" t="str">
        <x:v>Receipts data film c400 c800 plastic.csv</x:v>
      </x:c>
      <x:c r="S392" s="12" t="n">
        <x:f>IF(O392=1,I392*J392,0)</x:f>
        <x:v>0</x:v>
      </x:c>
      <x:c r="T392" s="13" t="n">
        <x:f>IF(L392&gt;0,K392/L392,"n.a.")</x:f>
        <x:v>0.1245</x:v>
      </x:c>
      <x:c r="U392" s="12" t="n">
        <x:f>IF(Q392="Old cost",S392,0)</x:f>
        <x:v>0</x:v>
      </x:c>
      <x:c r="V392" s="12" t="n">
        <x:f>IF(Q392="Higher cost",S392,0)</x:f>
        <x:v>0</x:v>
      </x:c>
      <x:c r="W392" s="12" t="n">
        <x:f>IF(Q392="Unclassified",S392,0)</x:f>
        <x:v>0</x:v>
      </x:c>
      <x:c r="X392" s="12" t="n">
        <x:f>IF(AND(ISNUMBER(F392),F392&gt;0,F392&lt;=Summary!$D$5,H392&gt;0),H392*J392,0)</x:f>
        <x:v>20000</x:v>
      </x:c>
    </x:row>
    <x:row r="393" ht="21" customHeight="1">
      <x:c r="A393" s="1" t="str">
        <x:v>10</x:v>
      </x:c>
      <x:c r="B393" s="1" t="str">
        <x:v>800BWHTASC</x:v>
      </x:c>
      <x:c r="C393" s="1" t="str">
        <x:v>1054353</x:v>
      </x:c>
      <x:c r="D393" s="1" t="str">
        <x:v>1</x:v>
      </x:c>
      <x:c r="E393" s="1"/>
      <x:c r="F393" s="7" t="n">
        <x:v>44628</x:v>
      </x:c>
      <x:c r="G393" s="7" t="n">
        <x:v>44627</x:v>
      </x:c>
      <x:c r="H393" s="8" t="n">
        <x:v>20000</x:v>
      </x:c>
      <x:c r="I393" s="8"/>
      <x:c r="J393" s="8" t="n">
        <x:v>1</x:v>
      </x:c>
      <x:c r="K393" s="9" t="n">
        <x:v>13.54</x:v>
      </x:c>
      <x:c r="L393" s="8" t="n">
        <x:v>100</x:v>
      </x:c>
      <x:c r="M393" s="10" t="n">
        <x:v>2912</x:v>
      </x:c>
      <x:c r="N393" s="8" t="str">
        <x:v>i</x:v>
      </x:c>
      <x:c r="O393" s="8" t="n">
        <x:v>0</x:v>
      </x:c>
      <x:c r="P393" s="11" t="n">
        <x:f>MIN(X393,MAX(0,SUMIFS('Current inventory'!$D$2:$D$127,'Current inventory'!$A$2:$A$127,A393,'Current inventory'!$B$2:$B$127,B393)-SUMIFS($X$2:X392,$A$2:A392,A393,$B$2:B392,B393)))</x:f>
        <x:v>0</x:v>
      </x:c>
      <x:c r="Q393" s="1" t="str">
        <x:v>Received history</x:v>
      </x:c>
      <x:c r="R393" s="1" t="str">
        <x:v>Receipts data film c400 c800 plastic.csv</x:v>
      </x:c>
      <x:c r="S393" s="12" t="n">
        <x:f>IF(O393=1,I393*J393,0)</x:f>
        <x:v>0</x:v>
      </x:c>
      <x:c r="T393" s="13" t="n">
        <x:f>IF(L393&gt;0,K393/L393,"n.a.")</x:f>
        <x:v>0.1354</x:v>
      </x:c>
      <x:c r="U393" s="12" t="n">
        <x:f>IF(Q393="Old cost",S393,0)</x:f>
        <x:v>0</x:v>
      </x:c>
      <x:c r="V393" s="12" t="n">
        <x:f>IF(Q393="Higher cost",S393,0)</x:f>
        <x:v>0</x:v>
      </x:c>
      <x:c r="W393" s="12" t="n">
        <x:f>IF(Q393="Unclassified",S393,0)</x:f>
        <x:v>0</x:v>
      </x:c>
      <x:c r="X393" s="12" t="n">
        <x:f>IF(AND(ISNUMBER(F393),F393&gt;0,F393&lt;=Summary!$D$5,H393&gt;0),H393*J393,0)</x:f>
        <x:v>20000</x:v>
      </x:c>
    </x:row>
    <x:row r="394" ht="21" customHeight="1">
      <x:c r="A394" s="1" t="str">
        <x:v>10</x:v>
      </x:c>
      <x:c r="B394" s="1" t="str">
        <x:v>800FGE</x:v>
      </x:c>
      <x:c r="C394" s="1" t="str">
        <x:v>1054353</x:v>
      </x:c>
      <x:c r="D394" s="1" t="str">
        <x:v>1</x:v>
      </x:c>
      <x:c r="E394" s="1"/>
      <x:c r="F394" s="7" t="n">
        <x:v>44628</x:v>
      </x:c>
      <x:c r="G394" s="7" t="n">
        <x:v>44651</x:v>
      </x:c>
      <x:c r="H394" s="8" t="n">
        <x:v>0</x:v>
      </x:c>
      <x:c r="I394" s="8"/>
      <x:c r="J394" s="8" t="n">
        <x:v>1</x:v>
      </x:c>
      <x:c r="K394" s="9" t="n">
        <x:v>980</x:v>
      </x:c>
      <x:c r="L394" s="8" t="n">
        <x:v>100</x:v>
      </x:c>
      <x:c r="M394" s="10" t="n">
        <x:v>0</x:v>
      </x:c>
      <x:c r="N394" s="8" t="str">
        <x:v>i</x:v>
      </x:c>
      <x:c r="O394" s="8" t="n">
        <x:v>0</x:v>
      </x:c>
      <x:c r="P394" s="11" t="n">
        <x:f>MIN(X394,MAX(0,SUMIFS('Current inventory'!$D$2:$D$127,'Current inventory'!$A$2:$A$127,A394,'Current inventory'!$B$2:$B$127,B394)-SUMIFS($X$2:X393,$A$2:A393,A394,$B$2:B393,B394)))</x:f>
        <x:v>0</x:v>
      </x:c>
      <x:c r="Q394" s="1" t="str">
        <x:v>Received history</x:v>
      </x:c>
      <x:c r="R394" s="1" t="str">
        <x:v>Receipts data film c400 c800 plastic.csv</x:v>
      </x:c>
      <x:c r="S394" s="12" t="n">
        <x:f>IF(O394=1,I394*J394,0)</x:f>
        <x:v>0</x:v>
      </x:c>
      <x:c r="T394" s="13" t="n">
        <x:f>IF(L394&gt;0,K394/L394,"n.a.")</x:f>
        <x:v>9.8</x:v>
      </x:c>
      <x:c r="U394" s="12" t="n">
        <x:f>IF(Q394="Old cost",S394,0)</x:f>
        <x:v>0</x:v>
      </x:c>
      <x:c r="V394" s="12" t="n">
        <x:f>IF(Q394="Higher cost",S394,0)</x:f>
        <x:v>0</x:v>
      </x:c>
      <x:c r="W394" s="12" t="n">
        <x:f>IF(Q394="Unclassified",S394,0)</x:f>
        <x:v>0</x:v>
      </x:c>
      <x:c r="X394" s="12" t="n">
        <x:f>IF(AND(ISNUMBER(F394),F394&gt;0,F394&lt;=Summary!$D$5,H394&gt;0),H394*J394,0)</x:f>
        <x:v>0</x:v>
      </x:c>
    </x:row>
    <x:row r="395" ht="21" customHeight="1">
      <x:c r="A395" s="1" t="str">
        <x:v>10</x:v>
      </x:c>
      <x:c r="B395" s="1" t="str">
        <x:v>800MARE</x:v>
      </x:c>
      <x:c r="C395" s="1" t="str">
        <x:v>1054353</x:v>
      </x:c>
      <x:c r="D395" s="1" t="str">
        <x:v>1</x:v>
      </x:c>
      <x:c r="E395" s="1"/>
      <x:c r="F395" s="7" t="n">
        <x:v>44628</x:v>
      </x:c>
      <x:c r="G395" s="7" t="n">
        <x:v>44651</x:v>
      </x:c>
      <x:c r="H395" s="8" t="n">
        <x:v>0</x:v>
      </x:c>
      <x:c r="I395" s="8"/>
      <x:c r="J395" s="8" t="n">
        <x:v>1</x:v>
      </x:c>
      <x:c r="K395" s="9" t="n">
        <x:v>980</x:v>
      </x:c>
      <x:c r="L395" s="8" t="n">
        <x:v>1000</x:v>
      </x:c>
      <x:c r="M395" s="10" t="n">
        <x:v>0</x:v>
      </x:c>
      <x:c r="N395" s="8" t="str">
        <x:v>i</x:v>
      </x:c>
      <x:c r="O395" s="8" t="n">
        <x:v>0</x:v>
      </x:c>
      <x:c r="P395" s="11" t="n">
        <x:f>MIN(X395,MAX(0,SUMIFS('Current inventory'!$D$2:$D$127,'Current inventory'!$A$2:$A$127,A395,'Current inventory'!$B$2:$B$127,B395)-SUMIFS($X$2:X394,$A$2:A394,A395,$B$2:B394,B395)))</x:f>
        <x:v>0</x:v>
      </x:c>
      <x:c r="Q395" s="1" t="str">
        <x:v>Received history</x:v>
      </x:c>
      <x:c r="R395" s="1" t="str">
        <x:v>Receipts data film c400 c800 plastic.csv</x:v>
      </x:c>
      <x:c r="S395" s="12" t="n">
        <x:f>IF(O395=1,I395*J395,0)</x:f>
        <x:v>0</x:v>
      </x:c>
      <x:c r="T395" s="13" t="n">
        <x:f>IF(L395&gt;0,K395/L395,"n.a.")</x:f>
        <x:v>0.98</x:v>
      </x:c>
      <x:c r="U395" s="12" t="n">
        <x:f>IF(Q395="Old cost",S395,0)</x:f>
        <x:v>0</x:v>
      </x:c>
      <x:c r="V395" s="12" t="n">
        <x:f>IF(Q395="Higher cost",S395,0)</x:f>
        <x:v>0</x:v>
      </x:c>
      <x:c r="W395" s="12" t="n">
        <x:f>IF(Q395="Unclassified",S395,0)</x:f>
        <x:v>0</x:v>
      </x:c>
      <x:c r="X395" s="12" t="n">
        <x:f>IF(AND(ISNUMBER(F395),F395&gt;0,F395&lt;=Summary!$D$5,H395&gt;0),H395*J395,0)</x:f>
        <x:v>0</x:v>
      </x:c>
    </x:row>
    <x:row r="396" ht="21" customHeight="1">
      <x:c r="A396" s="1" t="str">
        <x:v>60</x:v>
      </x:c>
      <x:c r="B396" s="1" t="str">
        <x:v>800BBLKASC</x:v>
      </x:c>
      <x:c r="C396" s="1" t="str">
        <x:v>6102635</x:v>
      </x:c>
      <x:c r="D396" s="1" t="str">
        <x:v>0</x:v>
      </x:c>
      <x:c r="E396" s="1"/>
      <x:c r="F396" s="7" t="n">
        <x:v>44624</x:v>
      </x:c>
      <x:c r="G396" s="7" t="n">
        <x:v>44624</x:v>
      </x:c>
      <x:c r="H396" s="8" t="n">
        <x:v>40000</x:v>
      </x:c>
      <x:c r="I396" s="8"/>
      <x:c r="J396" s="8" t="n">
        <x:v>1</x:v>
      </x:c>
      <x:c r="K396" s="9" t="n">
        <x:v>9.83</x:v>
      </x:c>
      <x:c r="L396" s="8" t="n">
        <x:v>100</x:v>
      </x:c>
      <x:c r="M396" s="10" t="n">
        <x:v>4476</x:v>
      </x:c>
      <x:c r="N396" s="8" t="str">
        <x:v>i</x:v>
      </x:c>
      <x:c r="O396" s="8" t="n">
        <x:v>0</x:v>
      </x:c>
      <x:c r="P396" s="11" t="n">
        <x:f>MIN(X396,MAX(0,SUMIFS('Current inventory'!$D$2:$D$127,'Current inventory'!$A$2:$A$127,A396,'Current inventory'!$B$2:$B$127,B396)-SUMIFS($X$2:X395,$A$2:A395,A396,$B$2:B395,B396)))</x:f>
        <x:v>0</x:v>
      </x:c>
      <x:c r="Q396" s="1" t="str">
        <x:v>Received history</x:v>
      </x:c>
      <x:c r="R396" s="1" t="str">
        <x:v>Receipts data film c400 c800 plastic.csv</x:v>
      </x:c>
      <x:c r="S396" s="12" t="n">
        <x:f>IF(O396=1,I396*J396,0)</x:f>
        <x:v>0</x:v>
      </x:c>
      <x:c r="T396" s="13" t="n">
        <x:f>IF(L396&gt;0,K396/L396,"n.a.")</x:f>
        <x:v>0.0983</x:v>
      </x:c>
      <x:c r="U396" s="12" t="n">
        <x:f>IF(Q396="Old cost",S396,0)</x:f>
        <x:v>0</x:v>
      </x:c>
      <x:c r="V396" s="12" t="n">
        <x:f>IF(Q396="Higher cost",S396,0)</x:f>
        <x:v>0</x:v>
      </x:c>
      <x:c r="W396" s="12" t="n">
        <x:f>IF(Q396="Unclassified",S396,0)</x:f>
        <x:v>0</x:v>
      </x:c>
      <x:c r="X396" s="12" t="n">
        <x:f>IF(AND(ISNUMBER(F396),F396&gt;0,F396&lt;=Summary!$D$5,H396&gt;0),H396*J396,0)</x:f>
        <x:v>40000</x:v>
      </x:c>
    </x:row>
    <x:row r="397" ht="21" customHeight="1">
      <x:c r="A397" s="1" t="str">
        <x:v>60</x:v>
      </x:c>
      <x:c r="B397" s="1" t="str">
        <x:v>800BBLKDSC</x:v>
      </x:c>
      <x:c r="C397" s="1" t="str">
        <x:v>6102635</x:v>
      </x:c>
      <x:c r="D397" s="1" t="str">
        <x:v>0</x:v>
      </x:c>
      <x:c r="E397" s="1"/>
      <x:c r="F397" s="7" t="n">
        <x:v>44624</x:v>
      </x:c>
      <x:c r="G397" s="7" t="n">
        <x:v>44651</x:v>
      </x:c>
      <x:c r="H397" s="8" t="n">
        <x:v>0</x:v>
      </x:c>
      <x:c r="I397" s="8"/>
      <x:c r="J397" s="8" t="n">
        <x:v>1</x:v>
      </x:c>
      <x:c r="K397" s="9" t="n">
        <x:v>26.15</x:v>
      </x:c>
      <x:c r="L397" s="8" t="n">
        <x:v>100</x:v>
      </x:c>
      <x:c r="M397" s="10" t="n">
        <x:v>0</x:v>
      </x:c>
      <x:c r="N397" s="8" t="str">
        <x:v>i</x:v>
      </x:c>
      <x:c r="O397" s="8" t="n">
        <x:v>0</x:v>
      </x:c>
      <x:c r="P397" s="11" t="n">
        <x:f>MIN(X397,MAX(0,SUMIFS('Current inventory'!$D$2:$D$127,'Current inventory'!$A$2:$A$127,A397,'Current inventory'!$B$2:$B$127,B397)-SUMIFS($X$2:X396,$A$2:A396,A397,$B$2:B396,B397)))</x:f>
        <x:v>0</x:v>
      </x:c>
      <x:c r="Q397" s="1" t="str">
        <x:v>Received history</x:v>
      </x:c>
      <x:c r="R397" s="1" t="str">
        <x:v>Receipts data film c400 c800 plastic.csv</x:v>
      </x:c>
      <x:c r="S397" s="12" t="n">
        <x:f>IF(O397=1,I397*J397,0)</x:f>
        <x:v>0</x:v>
      </x:c>
      <x:c r="T397" s="13" t="n">
        <x:f>IF(L397&gt;0,K397/L397,"n.a.")</x:f>
        <x:v>0.2615</x:v>
      </x:c>
      <x:c r="U397" s="12" t="n">
        <x:f>IF(Q397="Old cost",S397,0)</x:f>
        <x:v>0</x:v>
      </x:c>
      <x:c r="V397" s="12" t="n">
        <x:f>IF(Q397="Higher cost",S397,0)</x:f>
        <x:v>0</x:v>
      </x:c>
      <x:c r="W397" s="12" t="n">
        <x:f>IF(Q397="Unclassified",S397,0)</x:f>
        <x:v>0</x:v>
      </x:c>
      <x:c r="X397" s="12" t="n">
        <x:f>IF(AND(ISNUMBER(F397),F397&gt;0,F397&lt;=Summary!$D$5,H397&gt;0),H397*J397,0)</x:f>
        <x:v>0</x:v>
      </x:c>
    </x:row>
    <x:row r="398" ht="21" customHeight="1">
      <x:c r="A398" s="1" t="str">
        <x:v>60</x:v>
      </x:c>
      <x:c r="B398" s="1" t="str">
        <x:v>800BBLKISC</x:v>
      </x:c>
      <x:c r="C398" s="1" t="str">
        <x:v>6102635</x:v>
      </x:c>
      <x:c r="D398" s="1" t="str">
        <x:v>0</x:v>
      </x:c>
      <x:c r="E398" s="1"/>
      <x:c r="F398" s="7" t="n">
        <x:v>44624</x:v>
      </x:c>
      <x:c r="G398" s="7" t="n">
        <x:v>44651</x:v>
      </x:c>
      <x:c r="H398" s="8" t="n">
        <x:v>0</x:v>
      </x:c>
      <x:c r="I398" s="8"/>
      <x:c r="J398" s="8" t="n">
        <x:v>1</x:v>
      </x:c>
      <x:c r="K398" s="9" t="n">
        <x:v>13.42</x:v>
      </x:c>
      <x:c r="L398" s="8" t="n">
        <x:v>100</x:v>
      </x:c>
      <x:c r="M398" s="10" t="n">
        <x:v>0</x:v>
      </x:c>
      <x:c r="N398" s="8" t="str">
        <x:v>i</x:v>
      </x:c>
      <x:c r="O398" s="8" t="n">
        <x:v>0</x:v>
      </x:c>
      <x:c r="P398" s="11" t="n">
        <x:f>MIN(X398,MAX(0,SUMIFS('Current inventory'!$D$2:$D$127,'Current inventory'!$A$2:$A$127,A398,'Current inventory'!$B$2:$B$127,B398)-SUMIFS($X$2:X397,$A$2:A397,A398,$B$2:B397,B398)))</x:f>
        <x:v>0</x:v>
      </x:c>
      <x:c r="Q398" s="1" t="str">
        <x:v>Received history</x:v>
      </x:c>
      <x:c r="R398" s="1" t="str">
        <x:v>Receipts data film c400 c800 plastic.csv</x:v>
      </x:c>
      <x:c r="S398" s="12" t="n">
        <x:f>IF(O398=1,I398*J398,0)</x:f>
        <x:v>0</x:v>
      </x:c>
      <x:c r="T398" s="13" t="n">
        <x:f>IF(L398&gt;0,K398/L398,"n.a.")</x:f>
        <x:v>0.13419999999999999</x:v>
      </x:c>
      <x:c r="U398" s="12" t="n">
        <x:f>IF(Q398="Old cost",S398,0)</x:f>
        <x:v>0</x:v>
      </x:c>
      <x:c r="V398" s="12" t="n">
        <x:f>IF(Q398="Higher cost",S398,0)</x:f>
        <x:v>0</x:v>
      </x:c>
      <x:c r="W398" s="12" t="n">
        <x:f>IF(Q398="Unclassified",S398,0)</x:f>
        <x:v>0</x:v>
      </x:c>
      <x:c r="X398" s="12" t="n">
        <x:f>IF(AND(ISNUMBER(F398),F398&gt;0,F398&lt;=Summary!$D$5,H398&gt;0),H398*J398,0)</x:f>
        <x:v>0</x:v>
      </x:c>
    </x:row>
    <x:row r="399" ht="21" customHeight="1">
      <x:c r="A399" s="1" t="str">
        <x:v>60</x:v>
      </x:c>
      <x:c r="B399" s="1" t="str">
        <x:v>800BFGASC</x:v>
      </x:c>
      <x:c r="C399" s="1" t="str">
        <x:v>6102635</x:v>
      </x:c>
      <x:c r="D399" s="1" t="str">
        <x:v>0</x:v>
      </x:c>
      <x:c r="E399" s="1"/>
      <x:c r="F399" s="7" t="n">
        <x:v>44624</x:v>
      </x:c>
      <x:c r="G399" s="7" t="n">
        <x:v>44651</x:v>
      </x:c>
      <x:c r="H399" s="8" t="n">
        <x:v>0</x:v>
      </x:c>
      <x:c r="I399" s="8"/>
      <x:c r="J399" s="8" t="n">
        <x:v>1</x:v>
      </x:c>
      <x:c r="K399" s="9" t="n">
        <x:v>13.54</x:v>
      </x:c>
      <x:c r="L399" s="8" t="n">
        <x:v>100</x:v>
      </x:c>
      <x:c r="M399" s="10" t="n">
        <x:v>0</x:v>
      </x:c>
      <x:c r="N399" s="8" t="str">
        <x:v>i</x:v>
      </x:c>
      <x:c r="O399" s="8" t="n">
        <x:v>0</x:v>
      </x:c>
      <x:c r="P399" s="11" t="n">
        <x:f>MIN(X399,MAX(0,SUMIFS('Current inventory'!$D$2:$D$127,'Current inventory'!$A$2:$A$127,A399,'Current inventory'!$B$2:$B$127,B399)-SUMIFS($X$2:X398,$A$2:A398,A399,$B$2:B398,B399)))</x:f>
        <x:v>0</x:v>
      </x:c>
      <x:c r="Q399" s="1" t="str">
        <x:v>Received history</x:v>
      </x:c>
      <x:c r="R399" s="1" t="str">
        <x:v>Receipts data film c400 c800 plastic.csv</x:v>
      </x:c>
      <x:c r="S399" s="12" t="n">
        <x:f>IF(O399=1,I399*J399,0)</x:f>
        <x:v>0</x:v>
      </x:c>
      <x:c r="T399" s="13" t="n">
        <x:f>IF(L399&gt;0,K399/L399,"n.a.")</x:f>
        <x:v>0.1354</x:v>
      </x:c>
      <x:c r="U399" s="12" t="n">
        <x:f>IF(Q399="Old cost",S399,0)</x:f>
        <x:v>0</x:v>
      </x:c>
      <x:c r="V399" s="12" t="n">
        <x:f>IF(Q399="Higher cost",S399,0)</x:f>
        <x:v>0</x:v>
      </x:c>
      <x:c r="W399" s="12" t="n">
        <x:f>IF(Q399="Unclassified",S399,0)</x:f>
        <x:v>0</x:v>
      </x:c>
      <x:c r="X399" s="12" t="n">
        <x:f>IF(AND(ISNUMBER(F399),F399&gt;0,F399&lt;=Summary!$D$5,H399&gt;0),H399*J399,0)</x:f>
        <x:v>0</x:v>
      </x:c>
    </x:row>
    <x:row r="400" ht="21" customHeight="1">
      <x:c r="A400" s="1" t="str">
        <x:v>60</x:v>
      </x:c>
      <x:c r="B400" s="1" t="str">
        <x:v>800BLKE</x:v>
      </x:c>
      <x:c r="C400" s="1" t="str">
        <x:v>6102635</x:v>
      </x:c>
      <x:c r="D400" s="1" t="str">
        <x:v>0</x:v>
      </x:c>
      <x:c r="E400" s="1"/>
      <x:c r="F400" s="7" t="n">
        <x:v>44624</x:v>
      </x:c>
      <x:c r="G400" s="7" t="n">
        <x:v>44631</x:v>
      </x:c>
      <x:c r="H400" s="8" t="n">
        <x:v>0</x:v>
      </x:c>
      <x:c r="I400" s="8"/>
      <x:c r="J400" s="8" t="n">
        <x:v>1</x:v>
      </x:c>
      <x:c r="K400" s="9" t="n">
        <x:v>719</x:v>
      </x:c>
      <x:c r="L400" s="8" t="n">
        <x:v>1000</x:v>
      </x:c>
      <x:c r="M400" s="10" t="n">
        <x:v>0</x:v>
      </x:c>
      <x:c r="N400" s="8" t="str">
        <x:v>i</x:v>
      </x:c>
      <x:c r="O400" s="8" t="n">
        <x:v>0</x:v>
      </x:c>
      <x:c r="P400" s="11" t="n">
        <x:f>MIN(X400,MAX(0,SUMIFS('Current inventory'!$D$2:$D$127,'Current inventory'!$A$2:$A$127,A400,'Current inventory'!$B$2:$B$127,B400)-SUMIFS($X$2:X399,$A$2:A399,A400,$B$2:B399,B400)))</x:f>
        <x:v>0</x:v>
      </x:c>
      <x:c r="Q400" s="1" t="str">
        <x:v>Received history</x:v>
      </x:c>
      <x:c r="R400" s="1" t="str">
        <x:v>Receipts data film c400 c800 plastic.csv</x:v>
      </x:c>
      <x:c r="S400" s="12" t="n">
        <x:f>IF(O400=1,I400*J400,0)</x:f>
        <x:v>0</x:v>
      </x:c>
      <x:c r="T400" s="13" t="n">
        <x:f>IF(L400&gt;0,K400/L400,"n.a.")</x:f>
        <x:v>0.719</x:v>
      </x:c>
      <x:c r="U400" s="12" t="n">
        <x:f>IF(Q400="Old cost",S400,0)</x:f>
        <x:v>0</x:v>
      </x:c>
      <x:c r="V400" s="12" t="n">
        <x:f>IF(Q400="Higher cost",S400,0)</x:f>
        <x:v>0</x:v>
      </x:c>
      <x:c r="W400" s="12" t="n">
        <x:f>IF(Q400="Unclassified",S400,0)</x:f>
        <x:v>0</x:v>
      </x:c>
      <x:c r="X400" s="12" t="n">
        <x:f>IF(AND(ISNUMBER(F400),F400&gt;0,F400&lt;=Summary!$D$5,H400&gt;0),H400*J400,0)</x:f>
        <x:v>0</x:v>
      </x:c>
    </x:row>
    <x:row r="401" ht="21" customHeight="1">
      <x:c r="A401" s="1" t="str">
        <x:v>60</x:v>
      </x:c>
      <x:c r="B401" s="1" t="str">
        <x:v>800BMARASC</x:v>
      </x:c>
      <x:c r="C401" s="1" t="str">
        <x:v>6102635</x:v>
      </x:c>
      <x:c r="D401" s="1" t="str">
        <x:v>0</x:v>
      </x:c>
      <x:c r="E401" s="1"/>
      <x:c r="F401" s="7" t="n">
        <x:v>44624</x:v>
      </x:c>
      <x:c r="G401" s="7" t="n">
        <x:v>44624</x:v>
      </x:c>
      <x:c r="H401" s="8" t="n">
        <x:v>40000</x:v>
      </x:c>
      <x:c r="I401" s="8"/>
      <x:c r="J401" s="8" t="n">
        <x:v>1</x:v>
      </x:c>
      <x:c r="K401" s="9" t="n">
        <x:v>12.45</x:v>
      </x:c>
      <x:c r="L401" s="8" t="n">
        <x:v>100</x:v>
      </x:c>
      <x:c r="M401" s="10" t="n">
        <x:v>5352</x:v>
      </x:c>
      <x:c r="N401" s="8" t="str">
        <x:v>i</x:v>
      </x:c>
      <x:c r="O401" s="8" t="n">
        <x:v>0</x:v>
      </x:c>
      <x:c r="P401" s="11" t="n">
        <x:f>MIN(X401,MAX(0,SUMIFS('Current inventory'!$D$2:$D$127,'Current inventory'!$A$2:$A$127,A401,'Current inventory'!$B$2:$B$127,B401)-SUMIFS($X$2:X400,$A$2:A400,A401,$B$2:B400,B401)))</x:f>
        <x:v>0</x:v>
      </x:c>
      <x:c r="Q401" s="1" t="str">
        <x:v>Received history</x:v>
      </x:c>
      <x:c r="R401" s="1" t="str">
        <x:v>Receipts data film c400 c800 plastic.csv</x:v>
      </x:c>
      <x:c r="S401" s="12" t="n">
        <x:f>IF(O401=1,I401*J401,0)</x:f>
        <x:v>0</x:v>
      </x:c>
      <x:c r="T401" s="13" t="n">
        <x:f>IF(L401&gt;0,K401/L401,"n.a.")</x:f>
        <x:v>0.1245</x:v>
      </x:c>
      <x:c r="U401" s="12" t="n">
        <x:f>IF(Q401="Old cost",S401,0)</x:f>
        <x:v>0</x:v>
      </x:c>
      <x:c r="V401" s="12" t="n">
        <x:f>IF(Q401="Higher cost",S401,0)</x:f>
        <x:v>0</x:v>
      </x:c>
      <x:c r="W401" s="12" t="n">
        <x:f>IF(Q401="Unclassified",S401,0)</x:f>
        <x:v>0</x:v>
      </x:c>
      <x:c r="X401" s="12" t="n">
        <x:f>IF(AND(ISNUMBER(F401),F401&gt;0,F401&lt;=Summary!$D$5,H401&gt;0),H401*J401,0)</x:f>
        <x:v>40000</x:v>
      </x:c>
    </x:row>
    <x:row r="402" ht="21" customHeight="1">
      <x:c r="A402" s="1" t="str">
        <x:v>60</x:v>
      </x:c>
      <x:c r="B402" s="1" t="str">
        <x:v>800BWHTASC</x:v>
      </x:c>
      <x:c r="C402" s="1" t="str">
        <x:v>6102635</x:v>
      </x:c>
      <x:c r="D402" s="1" t="str">
        <x:v>0</x:v>
      </x:c>
      <x:c r="E402" s="1"/>
      <x:c r="F402" s="7" t="n">
        <x:v>44624</x:v>
      </x:c>
      <x:c r="G402" s="7" t="n">
        <x:v>44651</x:v>
      </x:c>
      <x:c r="H402" s="8" t="n">
        <x:v>0</x:v>
      </x:c>
      <x:c r="I402" s="8"/>
      <x:c r="J402" s="8" t="n">
        <x:v>1</x:v>
      </x:c>
      <x:c r="K402" s="9" t="n">
        <x:v>13.54</x:v>
      </x:c>
      <x:c r="L402" s="8" t="n">
        <x:v>100</x:v>
      </x:c>
      <x:c r="M402" s="10" t="n">
        <x:v>0</x:v>
      </x:c>
      <x:c r="N402" s="8" t="str">
        <x:v>i</x:v>
      </x:c>
      <x:c r="O402" s="8" t="n">
        <x:v>0</x:v>
      </x:c>
      <x:c r="P402" s="11" t="n">
        <x:f>MIN(X402,MAX(0,SUMIFS('Current inventory'!$D$2:$D$127,'Current inventory'!$A$2:$A$127,A402,'Current inventory'!$B$2:$B$127,B402)-SUMIFS($X$2:X401,$A$2:A401,A402,$B$2:B401,B402)))</x:f>
        <x:v>0</x:v>
      </x:c>
      <x:c r="Q402" s="1" t="str">
        <x:v>Received history</x:v>
      </x:c>
      <x:c r="R402" s="1" t="str">
        <x:v>Receipts data film c400 c800 plastic.csv</x:v>
      </x:c>
      <x:c r="S402" s="12" t="n">
        <x:f>IF(O402=1,I402*J402,0)</x:f>
        <x:v>0</x:v>
      </x:c>
      <x:c r="T402" s="13" t="n">
        <x:f>IF(L402&gt;0,K402/L402,"n.a.")</x:f>
        <x:v>0.1354</x:v>
      </x:c>
      <x:c r="U402" s="12" t="n">
        <x:f>IF(Q402="Old cost",S402,0)</x:f>
        <x:v>0</x:v>
      </x:c>
      <x:c r="V402" s="12" t="n">
        <x:f>IF(Q402="Higher cost",S402,0)</x:f>
        <x:v>0</x:v>
      </x:c>
      <x:c r="W402" s="12" t="n">
        <x:f>IF(Q402="Unclassified",S402,0)</x:f>
        <x:v>0</x:v>
      </x:c>
      <x:c r="X402" s="12" t="n">
        <x:f>IF(AND(ISNUMBER(F402),F402&gt;0,F402&lt;=Summary!$D$5,H402&gt;0),H402*J402,0)</x:f>
        <x:v>0</x:v>
      </x:c>
    </x:row>
    <x:row r="403" ht="21" customHeight="1">
      <x:c r="A403" s="1" t="str">
        <x:v>60</x:v>
      </x:c>
      <x:c r="B403" s="1" t="str">
        <x:v>800BBLKDSC</x:v>
      </x:c>
      <x:c r="C403" s="1" t="str">
        <x:v>6102624</x:v>
      </x:c>
      <x:c r="D403" s="1" t="str">
        <x:v>1</x:v>
      </x:c>
      <x:c r="E403" s="1"/>
      <x:c r="F403" s="7" t="n">
        <x:v>44624</x:v>
      </x:c>
      <x:c r="G403" s="7" t="n">
        <x:v>44651</x:v>
      </x:c>
      <x:c r="H403" s="8" t="n">
        <x:v>0</x:v>
      </x:c>
      <x:c r="I403" s="8"/>
      <x:c r="J403" s="8" t="n">
        <x:v>1</x:v>
      </x:c>
      <x:c r="K403" s="9" t="n">
        <x:v>26.15</x:v>
      </x:c>
      <x:c r="L403" s="8" t="n">
        <x:v>100</x:v>
      </x:c>
      <x:c r="M403" s="10" t="n">
        <x:v>0</x:v>
      </x:c>
      <x:c r="N403" s="8" t="str">
        <x:v>i</x:v>
      </x:c>
      <x:c r="O403" s="8" t="n">
        <x:v>0</x:v>
      </x:c>
      <x:c r="P403" s="11" t="n">
        <x:f>MIN(X403,MAX(0,SUMIFS('Current inventory'!$D$2:$D$127,'Current inventory'!$A$2:$A$127,A403,'Current inventory'!$B$2:$B$127,B403)-SUMIFS($X$2:X402,$A$2:A402,A403,$B$2:B402,B403)))</x:f>
        <x:v>0</x:v>
      </x:c>
      <x:c r="Q403" s="1" t="str">
        <x:v>Received history</x:v>
      </x:c>
      <x:c r="R403" s="1" t="str">
        <x:v>Receipts data film c400 c800 plastic.csv</x:v>
      </x:c>
      <x:c r="S403" s="12" t="n">
        <x:f>IF(O403=1,I403*J403,0)</x:f>
        <x:v>0</x:v>
      </x:c>
      <x:c r="T403" s="13" t="n">
        <x:f>IF(L403&gt;0,K403/L403,"n.a.")</x:f>
        <x:v>0.2615</x:v>
      </x:c>
      <x:c r="U403" s="12" t="n">
        <x:f>IF(Q403="Old cost",S403,0)</x:f>
        <x:v>0</x:v>
      </x:c>
      <x:c r="V403" s="12" t="n">
        <x:f>IF(Q403="Higher cost",S403,0)</x:f>
        <x:v>0</x:v>
      </x:c>
      <x:c r="W403" s="12" t="n">
        <x:f>IF(Q403="Unclassified",S403,0)</x:f>
        <x:v>0</x:v>
      </x:c>
      <x:c r="X403" s="12" t="n">
        <x:f>IF(AND(ISNUMBER(F403),F403&gt;0,F403&lt;=Summary!$D$5,H403&gt;0),H403*J403,0)</x:f>
        <x:v>0</x:v>
      </x:c>
    </x:row>
    <x:row r="404" ht="21" customHeight="1">
      <x:c r="A404" s="1" t="str">
        <x:v>60</x:v>
      </x:c>
      <x:c r="B404" s="1" t="str">
        <x:v>800BFGASC</x:v>
      </x:c>
      <x:c r="C404" s="1" t="str">
        <x:v>6102624</x:v>
      </x:c>
      <x:c r="D404" s="1" t="str">
        <x:v>1</x:v>
      </x:c>
      <x:c r="E404" s="1"/>
      <x:c r="F404" s="7" t="n">
        <x:v>44624</x:v>
      </x:c>
      <x:c r="G404" s="7" t="n">
        <x:v>44651</x:v>
      </x:c>
      <x:c r="H404" s="8" t="n">
        <x:v>0</x:v>
      </x:c>
      <x:c r="I404" s="8"/>
      <x:c r="J404" s="8" t="n">
        <x:v>1</x:v>
      </x:c>
      <x:c r="K404" s="9" t="n">
        <x:v>13.54</x:v>
      </x:c>
      <x:c r="L404" s="8" t="n">
        <x:v>100</x:v>
      </x:c>
      <x:c r="M404" s="10" t="n">
        <x:v>0</x:v>
      </x:c>
      <x:c r="N404" s="8" t="str">
        <x:v>i</x:v>
      </x:c>
      <x:c r="O404" s="8" t="n">
        <x:v>0</x:v>
      </x:c>
      <x:c r="P404" s="11" t="n">
        <x:f>MIN(X404,MAX(0,SUMIFS('Current inventory'!$D$2:$D$127,'Current inventory'!$A$2:$A$127,A404,'Current inventory'!$B$2:$B$127,B404)-SUMIFS($X$2:X403,$A$2:A403,A404,$B$2:B403,B404)))</x:f>
        <x:v>0</x:v>
      </x:c>
      <x:c r="Q404" s="1" t="str">
        <x:v>Received history</x:v>
      </x:c>
      <x:c r="R404" s="1" t="str">
        <x:v>Receipts data film c400 c800 plastic.csv</x:v>
      </x:c>
      <x:c r="S404" s="12" t="n">
        <x:f>IF(O404=1,I404*J404,0)</x:f>
        <x:v>0</x:v>
      </x:c>
      <x:c r="T404" s="13" t="n">
        <x:f>IF(L404&gt;0,K404/L404,"n.a.")</x:f>
        <x:v>0.1354</x:v>
      </x:c>
      <x:c r="U404" s="12" t="n">
        <x:f>IF(Q404="Old cost",S404,0)</x:f>
        <x:v>0</x:v>
      </x:c>
      <x:c r="V404" s="12" t="n">
        <x:f>IF(Q404="Higher cost",S404,0)</x:f>
        <x:v>0</x:v>
      </x:c>
      <x:c r="W404" s="12" t="n">
        <x:f>IF(Q404="Unclassified",S404,0)</x:f>
        <x:v>0</x:v>
      </x:c>
      <x:c r="X404" s="12" t="n">
        <x:f>IF(AND(ISNUMBER(F404),F404&gt;0,F404&lt;=Summary!$D$5,H404&gt;0),H404*J404,0)</x:f>
        <x:v>0</x:v>
      </x:c>
    </x:row>
    <x:row r="405" ht="21" customHeight="1">
      <x:c r="A405" s="1" t="str">
        <x:v>60</x:v>
      </x:c>
      <x:c r="B405" s="1" t="str">
        <x:v>800BMARASC</x:v>
      </x:c>
      <x:c r="C405" s="1" t="str">
        <x:v>6102624</x:v>
      </x:c>
      <x:c r="D405" s="1" t="str">
        <x:v>1</x:v>
      </x:c>
      <x:c r="E405" s="1"/>
      <x:c r="F405" s="7" t="n">
        <x:v>44624</x:v>
      </x:c>
      <x:c r="G405" s="7" t="n">
        <x:v>44624</x:v>
      </x:c>
      <x:c r="H405" s="8" t="n">
        <x:v>40000</x:v>
      </x:c>
      <x:c r="I405" s="8"/>
      <x:c r="J405" s="8" t="n">
        <x:v>1</x:v>
      </x:c>
      <x:c r="K405" s="9" t="n">
        <x:v>12.45</x:v>
      </x:c>
      <x:c r="L405" s="8" t="n">
        <x:v>100</x:v>
      </x:c>
      <x:c r="M405" s="10" t="n">
        <x:v>5352</x:v>
      </x:c>
      <x:c r="N405" s="8" t="str">
        <x:v>i</x:v>
      </x:c>
      <x:c r="O405" s="8" t="n">
        <x:v>0</x:v>
      </x:c>
      <x:c r="P405" s="11" t="n">
        <x:f>MIN(X405,MAX(0,SUMIFS('Current inventory'!$D$2:$D$127,'Current inventory'!$A$2:$A$127,A405,'Current inventory'!$B$2:$B$127,B405)-SUMIFS($X$2:X404,$A$2:A404,A405,$B$2:B404,B405)))</x:f>
        <x:v>0</x:v>
      </x:c>
      <x:c r="Q405" s="1" t="str">
        <x:v>Received history</x:v>
      </x:c>
      <x:c r="R405" s="1" t="str">
        <x:v>Receipts data film c400 c800 plastic.csv</x:v>
      </x:c>
      <x:c r="S405" s="12" t="n">
        <x:f>IF(O405=1,I405*J405,0)</x:f>
        <x:v>0</x:v>
      </x:c>
      <x:c r="T405" s="13" t="n">
        <x:f>IF(L405&gt;0,K405/L405,"n.a.")</x:f>
        <x:v>0.1245</x:v>
      </x:c>
      <x:c r="U405" s="12" t="n">
        <x:f>IF(Q405="Old cost",S405,0)</x:f>
        <x:v>0</x:v>
      </x:c>
      <x:c r="V405" s="12" t="n">
        <x:f>IF(Q405="Higher cost",S405,0)</x:f>
        <x:v>0</x:v>
      </x:c>
      <x:c r="W405" s="12" t="n">
        <x:f>IF(Q405="Unclassified",S405,0)</x:f>
        <x:v>0</x:v>
      </x:c>
      <x:c r="X405" s="12" t="n">
        <x:f>IF(AND(ISNUMBER(F405),F405&gt;0,F405&lt;=Summary!$D$5,H405&gt;0),H405*J405,0)</x:f>
        <x:v>40000</x:v>
      </x:c>
    </x:row>
    <x:row r="406" ht="21" customHeight="1">
      <x:c r="A406" s="1" t="str">
        <x:v>60</x:v>
      </x:c>
      <x:c r="B406" s="1" t="str">
        <x:v>800BWHTASC</x:v>
      </x:c>
      <x:c r="C406" s="1" t="str">
        <x:v>6102624</x:v>
      </x:c>
      <x:c r="D406" s="1" t="str">
        <x:v>1</x:v>
      </x:c>
      <x:c r="E406" s="1"/>
      <x:c r="F406" s="7" t="n">
        <x:v>44624</x:v>
      </x:c>
      <x:c r="G406" s="7" t="n">
        <x:v>44651</x:v>
      </x:c>
      <x:c r="H406" s="8" t="n">
        <x:v>0</x:v>
      </x:c>
      <x:c r="I406" s="8"/>
      <x:c r="J406" s="8" t="n">
        <x:v>1</x:v>
      </x:c>
      <x:c r="K406" s="9" t="n">
        <x:v>13.54</x:v>
      </x:c>
      <x:c r="L406" s="8" t="n">
        <x:v>100</x:v>
      </x:c>
      <x:c r="M406" s="10" t="n">
        <x:v>0</x:v>
      </x:c>
      <x:c r="N406" s="8" t="str">
        <x:v>i</x:v>
      </x:c>
      <x:c r="O406" s="8" t="n">
        <x:v>0</x:v>
      </x:c>
      <x:c r="P406" s="11" t="n">
        <x:f>MIN(X406,MAX(0,SUMIFS('Current inventory'!$D$2:$D$127,'Current inventory'!$A$2:$A$127,A406,'Current inventory'!$B$2:$B$127,B406)-SUMIFS($X$2:X405,$A$2:A405,A406,$B$2:B405,B406)))</x:f>
        <x:v>0</x:v>
      </x:c>
      <x:c r="Q406" s="1" t="str">
        <x:v>Received history</x:v>
      </x:c>
      <x:c r="R406" s="1" t="str">
        <x:v>Receipts data film c400 c800 plastic.csv</x:v>
      </x:c>
      <x:c r="S406" s="12" t="n">
        <x:f>IF(O406=1,I406*J406,0)</x:f>
        <x:v>0</x:v>
      </x:c>
      <x:c r="T406" s="13" t="n">
        <x:f>IF(L406&gt;0,K406/L406,"n.a.")</x:f>
        <x:v>0.1354</x:v>
      </x:c>
      <x:c r="U406" s="12" t="n">
        <x:f>IF(Q406="Old cost",S406,0)</x:f>
        <x:v>0</x:v>
      </x:c>
      <x:c r="V406" s="12" t="n">
        <x:f>IF(Q406="Higher cost",S406,0)</x:f>
        <x:v>0</x:v>
      </x:c>
      <x:c r="W406" s="12" t="n">
        <x:f>IF(Q406="Unclassified",S406,0)</x:f>
        <x:v>0</x:v>
      </x:c>
      <x:c r="X406" s="12" t="n">
        <x:f>IF(AND(ISNUMBER(F406),F406&gt;0,F406&lt;=Summary!$D$5,H406&gt;0),H406*J406,0)</x:f>
        <x:v>0</x:v>
      </x:c>
    </x:row>
    <x:row r="407" ht="21" customHeight="1">
      <x:c r="A407" s="1" t="str">
        <x:v>60</x:v>
      </x:c>
      <x:c r="B407" s="1" t="str">
        <x:v>800FGE</x:v>
      </x:c>
      <x:c r="C407" s="1" t="str">
        <x:v>6102624</x:v>
      </x:c>
      <x:c r="D407" s="1" t="str">
        <x:v>1</x:v>
      </x:c>
      <x:c r="E407" s="1"/>
      <x:c r="F407" s="7" t="n">
        <x:v>44624</x:v>
      </x:c>
      <x:c r="G407" s="7" t="n">
        <x:v>44651</x:v>
      </x:c>
      <x:c r="H407" s="8" t="n">
        <x:v>0</x:v>
      </x:c>
      <x:c r="I407" s="8"/>
      <x:c r="J407" s="8" t="n">
        <x:v>1</x:v>
      </x:c>
      <x:c r="K407" s="9" t="n">
        <x:v>980</x:v>
      </x:c>
      <x:c r="L407" s="8" t="n">
        <x:v>100</x:v>
      </x:c>
      <x:c r="M407" s="10" t="n">
        <x:v>0</x:v>
      </x:c>
      <x:c r="N407" s="8" t="str">
        <x:v>i</x:v>
      </x:c>
      <x:c r="O407" s="8" t="n">
        <x:v>0</x:v>
      </x:c>
      <x:c r="P407" s="11" t="n">
        <x:f>MIN(X407,MAX(0,SUMIFS('Current inventory'!$D$2:$D$127,'Current inventory'!$A$2:$A$127,A407,'Current inventory'!$B$2:$B$127,B407)-SUMIFS($X$2:X406,$A$2:A406,A407,$B$2:B406,B407)))</x:f>
        <x:v>0</x:v>
      </x:c>
      <x:c r="Q407" s="1" t="str">
        <x:v>Received history</x:v>
      </x:c>
      <x:c r="R407" s="1" t="str">
        <x:v>Receipts data film c400 c800 plastic.csv</x:v>
      </x:c>
      <x:c r="S407" s="12" t="n">
        <x:f>IF(O407=1,I407*J407,0)</x:f>
        <x:v>0</x:v>
      </x:c>
      <x:c r="T407" s="13" t="n">
        <x:f>IF(L407&gt;0,K407/L407,"n.a.")</x:f>
        <x:v>9.8</x:v>
      </x:c>
      <x:c r="U407" s="12" t="n">
        <x:f>IF(Q407="Old cost",S407,0)</x:f>
        <x:v>0</x:v>
      </x:c>
      <x:c r="V407" s="12" t="n">
        <x:f>IF(Q407="Higher cost",S407,0)</x:f>
        <x:v>0</x:v>
      </x:c>
      <x:c r="W407" s="12" t="n">
        <x:f>IF(Q407="Unclassified",S407,0)</x:f>
        <x:v>0</x:v>
      </x:c>
      <x:c r="X407" s="12" t="n">
        <x:f>IF(AND(ISNUMBER(F407),F407&gt;0,F407&lt;=Summary!$D$5,H407&gt;0),H407*J407,0)</x:f>
        <x:v>0</x:v>
      </x:c>
    </x:row>
    <x:row r="408" ht="21" customHeight="1">
      <x:c r="A408" s="1" t="str">
        <x:v>60</x:v>
      </x:c>
      <x:c r="B408" s="1" t="str">
        <x:v>800MARE</x:v>
      </x:c>
      <x:c r="C408" s="1" t="str">
        <x:v>6102624</x:v>
      </x:c>
      <x:c r="D408" s="1" t="str">
        <x:v>1</x:v>
      </x:c>
      <x:c r="E408" s="1"/>
      <x:c r="F408" s="7" t="n">
        <x:v>44624</x:v>
      </x:c>
      <x:c r="G408" s="7" t="n">
        <x:v>44651</x:v>
      </x:c>
      <x:c r="H408" s="8" t="n">
        <x:v>0</x:v>
      </x:c>
      <x:c r="I408" s="8"/>
      <x:c r="J408" s="8" t="n">
        <x:v>1</x:v>
      </x:c>
      <x:c r="K408" s="9" t="n">
        <x:v>980</x:v>
      </x:c>
      <x:c r="L408" s="8" t="n">
        <x:v>1000</x:v>
      </x:c>
      <x:c r="M408" s="10" t="n">
        <x:v>0</x:v>
      </x:c>
      <x:c r="N408" s="8" t="str">
        <x:v>i</x:v>
      </x:c>
      <x:c r="O408" s="8" t="n">
        <x:v>0</x:v>
      </x:c>
      <x:c r="P408" s="11" t="n">
        <x:f>MIN(X408,MAX(0,SUMIFS('Current inventory'!$D$2:$D$127,'Current inventory'!$A$2:$A$127,A408,'Current inventory'!$B$2:$B$127,B408)-SUMIFS($X$2:X407,$A$2:A407,A408,$B$2:B407,B408)))</x:f>
        <x:v>0</x:v>
      </x:c>
      <x:c r="Q408" s="1" t="str">
        <x:v>Received history</x:v>
      </x:c>
      <x:c r="R408" s="1" t="str">
        <x:v>Receipts data film c400 c800 plastic.csv</x:v>
      </x:c>
      <x:c r="S408" s="12" t="n">
        <x:f>IF(O408=1,I408*J408,0)</x:f>
        <x:v>0</x:v>
      </x:c>
      <x:c r="T408" s="13" t="n">
        <x:f>IF(L408&gt;0,K408/L408,"n.a.")</x:f>
        <x:v>0.98</x:v>
      </x:c>
      <x:c r="U408" s="12" t="n">
        <x:f>IF(Q408="Old cost",S408,0)</x:f>
        <x:v>0</x:v>
      </x:c>
      <x:c r="V408" s="12" t="n">
        <x:f>IF(Q408="Higher cost",S408,0)</x:f>
        <x:v>0</x:v>
      </x:c>
      <x:c r="W408" s="12" t="n">
        <x:f>IF(Q408="Unclassified",S408,0)</x:f>
        <x:v>0</x:v>
      </x:c>
      <x:c r="X408" s="12" t="n">
        <x:f>IF(AND(ISNUMBER(F408),F408&gt;0,F408&lt;=Summary!$D$5,H408&gt;0),H408*J408,0)</x:f>
        <x:v>0</x:v>
      </x:c>
    </x:row>
    <x:row r="409" ht="21" customHeight="1">
      <x:c r="A409" s="1" t="str">
        <x:v>30</x:v>
      </x:c>
      <x:c r="B409" s="1" t="str">
        <x:v>800BBLKDSC</x:v>
      </x:c>
      <x:c r="C409" s="1" t="str">
        <x:v>3003711</x:v>
      </x:c>
      <x:c r="D409" s="1" t="str">
        <x:v>0</x:v>
      </x:c>
      <x:c r="E409" s="1"/>
      <x:c r="F409" s="7" t="n">
        <x:v>44601</x:v>
      </x:c>
      <x:c r="G409" s="7" t="n">
        <x:v>44596</x:v>
      </x:c>
      <x:c r="H409" s="8" t="n">
        <x:v>20000</x:v>
      </x:c>
      <x:c r="I409" s="8"/>
      <x:c r="J409" s="8" t="n">
        <x:v>1</x:v>
      </x:c>
      <x:c r="K409" s="9" t="n">
        <x:v>26.15</x:v>
      </x:c>
      <x:c r="L409" s="8" t="n">
        <x:v>100</x:v>
      </x:c>
      <x:c r="M409" s="10" t="n">
        <x:v>5754</x:v>
      </x:c>
      <x:c r="N409" s="8" t="str">
        <x:v>i</x:v>
      </x:c>
      <x:c r="O409" s="8" t="n">
        <x:v>0</x:v>
      </x:c>
      <x:c r="P409" s="11" t="n">
        <x:f>MIN(X409,MAX(0,SUMIFS('Current inventory'!$D$2:$D$127,'Current inventory'!$A$2:$A$127,A409,'Current inventory'!$B$2:$B$127,B409)-SUMIFS($X$2:X408,$A$2:A408,A409,$B$2:B408,B409)))</x:f>
        <x:v>0</x:v>
      </x:c>
      <x:c r="Q409" s="1" t="str">
        <x:v>Received history</x:v>
      </x:c>
      <x:c r="R409" s="1" t="str">
        <x:v>Receipts data film c400 c800 plastic.csv</x:v>
      </x:c>
      <x:c r="S409" s="12" t="n">
        <x:f>IF(O409=1,I409*J409,0)</x:f>
        <x:v>0</x:v>
      </x:c>
      <x:c r="T409" s="13" t="n">
        <x:f>IF(L409&gt;0,K409/L409,"n.a.")</x:f>
        <x:v>0.2615</x:v>
      </x:c>
      <x:c r="U409" s="12" t="n">
        <x:f>IF(Q409="Old cost",S409,0)</x:f>
        <x:v>0</x:v>
      </x:c>
      <x:c r="V409" s="12" t="n">
        <x:f>IF(Q409="Higher cost",S409,0)</x:f>
        <x:v>0</x:v>
      </x:c>
      <x:c r="W409" s="12" t="n">
        <x:f>IF(Q409="Unclassified",S409,0)</x:f>
        <x:v>0</x:v>
      </x:c>
      <x:c r="X409" s="12" t="n">
        <x:f>IF(AND(ISNUMBER(F409),F409&gt;0,F409&lt;=Summary!$D$5,H409&gt;0),H409*J409,0)</x:f>
        <x:v>20000</x:v>
      </x:c>
    </x:row>
    <x:row r="410" ht="21" customHeight="1">
      <x:c r="A410" s="1" t="str">
        <x:v>30</x:v>
      </x:c>
      <x:c r="B410" s="1" t="str">
        <x:v>800BBLKISC</x:v>
      </x:c>
      <x:c r="C410" s="1" t="str">
        <x:v>3003711</x:v>
      </x:c>
      <x:c r="D410" s="1" t="str">
        <x:v>0</x:v>
      </x:c>
      <x:c r="E410" s="1"/>
      <x:c r="F410" s="7" t="n">
        <x:v>44601</x:v>
      </x:c>
      <x:c r="G410" s="7" t="n">
        <x:v>44610</x:v>
      </x:c>
      <x:c r="H410" s="8" t="n">
        <x:v>0</x:v>
      </x:c>
      <x:c r="I410" s="8"/>
      <x:c r="J410" s="8" t="n">
        <x:v>1</x:v>
      </x:c>
      <x:c r="K410" s="9" t="n">
        <x:v>13.42</x:v>
      </x:c>
      <x:c r="L410" s="8" t="n">
        <x:v>100</x:v>
      </x:c>
      <x:c r="M410" s="10" t="n">
        <x:v>0</x:v>
      </x:c>
      <x:c r="N410" s="8" t="str">
        <x:v>i</x:v>
      </x:c>
      <x:c r="O410" s="8" t="n">
        <x:v>0</x:v>
      </x:c>
      <x:c r="P410" s="11" t="n">
        <x:f>MIN(X410,MAX(0,SUMIFS('Current inventory'!$D$2:$D$127,'Current inventory'!$A$2:$A$127,A410,'Current inventory'!$B$2:$B$127,B410)-SUMIFS($X$2:X409,$A$2:A409,A410,$B$2:B409,B410)))</x:f>
        <x:v>0</x:v>
      </x:c>
      <x:c r="Q410" s="1" t="str">
        <x:v>Received history</x:v>
      </x:c>
      <x:c r="R410" s="1" t="str">
        <x:v>Receipts data film c400 c800 plastic.csv</x:v>
      </x:c>
      <x:c r="S410" s="12" t="n">
        <x:f>IF(O410=1,I410*J410,0)</x:f>
        <x:v>0</x:v>
      </x:c>
      <x:c r="T410" s="13" t="n">
        <x:f>IF(L410&gt;0,K410/L410,"n.a.")</x:f>
        <x:v>0.13419999999999999</x:v>
      </x:c>
      <x:c r="U410" s="12" t="n">
        <x:f>IF(Q410="Old cost",S410,0)</x:f>
        <x:v>0</x:v>
      </x:c>
      <x:c r="V410" s="12" t="n">
        <x:f>IF(Q410="Higher cost",S410,0)</x:f>
        <x:v>0</x:v>
      </x:c>
      <x:c r="W410" s="12" t="n">
        <x:f>IF(Q410="Unclassified",S410,0)</x:f>
        <x:v>0</x:v>
      </x:c>
      <x:c r="X410" s="12" t="n">
        <x:f>IF(AND(ISNUMBER(F410),F410&gt;0,F410&lt;=Summary!$D$5,H410&gt;0),H410*J410,0)</x:f>
        <x:v>0</x:v>
      </x:c>
    </x:row>
    <x:row r="411" ht="21" customHeight="1">
      <x:c r="A411" s="1" t="str">
        <x:v>30</x:v>
      </x:c>
      <x:c r="B411" s="1" t="str">
        <x:v>800BFGASC</x:v>
      </x:c>
      <x:c r="C411" s="1" t="str">
        <x:v>3003711</x:v>
      </x:c>
      <x:c r="D411" s="1" t="str">
        <x:v>0</x:v>
      </x:c>
      <x:c r="E411" s="1"/>
      <x:c r="F411" s="7" t="n">
        <x:v>44601</x:v>
      </x:c>
      <x:c r="G411" s="7" t="n">
        <x:v>44610</x:v>
      </x:c>
      <x:c r="H411" s="8" t="n">
        <x:v>0</x:v>
      </x:c>
      <x:c r="I411" s="8"/>
      <x:c r="J411" s="8" t="n">
        <x:v>1</x:v>
      </x:c>
      <x:c r="K411" s="9" t="n">
        <x:v>13.54</x:v>
      </x:c>
      <x:c r="L411" s="8" t="n">
        <x:v>100</x:v>
      </x:c>
      <x:c r="M411" s="10" t="n">
        <x:v>0</x:v>
      </x:c>
      <x:c r="N411" s="8" t="str">
        <x:v>i</x:v>
      </x:c>
      <x:c r="O411" s="8" t="n">
        <x:v>0</x:v>
      </x:c>
      <x:c r="P411" s="11" t="n">
        <x:f>MIN(X411,MAX(0,SUMIFS('Current inventory'!$D$2:$D$127,'Current inventory'!$A$2:$A$127,A411,'Current inventory'!$B$2:$B$127,B411)-SUMIFS($X$2:X410,$A$2:A410,A411,$B$2:B410,B411)))</x:f>
        <x:v>0</x:v>
      </x:c>
      <x:c r="Q411" s="1" t="str">
        <x:v>Received history</x:v>
      </x:c>
      <x:c r="R411" s="1" t="str">
        <x:v>Receipts data film c400 c800 plastic.csv</x:v>
      </x:c>
      <x:c r="S411" s="12" t="n">
        <x:f>IF(O411=1,I411*J411,0)</x:f>
        <x:v>0</x:v>
      </x:c>
      <x:c r="T411" s="13" t="n">
        <x:f>IF(L411&gt;0,K411/L411,"n.a.")</x:f>
        <x:v>0.1354</x:v>
      </x:c>
      <x:c r="U411" s="12" t="n">
        <x:f>IF(Q411="Old cost",S411,0)</x:f>
        <x:v>0</x:v>
      </x:c>
      <x:c r="V411" s="12" t="n">
        <x:f>IF(Q411="Higher cost",S411,0)</x:f>
        <x:v>0</x:v>
      </x:c>
      <x:c r="W411" s="12" t="n">
        <x:f>IF(Q411="Unclassified",S411,0)</x:f>
        <x:v>0</x:v>
      </x:c>
      <x:c r="X411" s="12" t="n">
        <x:f>IF(AND(ISNUMBER(F411),F411&gt;0,F411&lt;=Summary!$D$5,H411&gt;0),H411*J411,0)</x:f>
        <x:v>0</x:v>
      </x:c>
    </x:row>
    <x:row r="412" ht="21" customHeight="1">
      <x:c r="A412" s="1" t="str">
        <x:v>30</x:v>
      </x:c>
      <x:c r="B412" s="1" t="str">
        <x:v>800BMARASC</x:v>
      </x:c>
      <x:c r="C412" s="1" t="str">
        <x:v>3003711</x:v>
      </x:c>
      <x:c r="D412" s="1" t="str">
        <x:v>0</x:v>
      </x:c>
      <x:c r="E412" s="1"/>
      <x:c r="F412" s="7" t="n">
        <x:v>44601</x:v>
      </x:c>
      <x:c r="G412" s="7" t="n">
        <x:v>44610</x:v>
      </x:c>
      <x:c r="H412" s="8" t="n">
        <x:v>0</x:v>
      </x:c>
      <x:c r="I412" s="8"/>
      <x:c r="J412" s="8" t="n">
        <x:v>1</x:v>
      </x:c>
      <x:c r="K412" s="9" t="n">
        <x:v>12.45</x:v>
      </x:c>
      <x:c r="L412" s="8" t="n">
        <x:v>100</x:v>
      </x:c>
      <x:c r="M412" s="10" t="n">
        <x:v>0</x:v>
      </x:c>
      <x:c r="N412" s="8" t="str">
        <x:v>i</x:v>
      </x:c>
      <x:c r="O412" s="8" t="n">
        <x:v>0</x:v>
      </x:c>
      <x:c r="P412" s="11" t="n">
        <x:f>MIN(X412,MAX(0,SUMIFS('Current inventory'!$D$2:$D$127,'Current inventory'!$A$2:$A$127,A412,'Current inventory'!$B$2:$B$127,B412)-SUMIFS($X$2:X411,$A$2:A411,A412,$B$2:B411,B412)))</x:f>
        <x:v>0</x:v>
      </x:c>
      <x:c r="Q412" s="1" t="str">
        <x:v>Received history</x:v>
      </x:c>
      <x:c r="R412" s="1" t="str">
        <x:v>Receipts data film c400 c800 plastic.csv</x:v>
      </x:c>
      <x:c r="S412" s="12" t="n">
        <x:f>IF(O412=1,I412*J412,0)</x:f>
        <x:v>0</x:v>
      </x:c>
      <x:c r="T412" s="13" t="n">
        <x:f>IF(L412&gt;0,K412/L412,"n.a.")</x:f>
        <x:v>0.1245</x:v>
      </x:c>
      <x:c r="U412" s="12" t="n">
        <x:f>IF(Q412="Old cost",S412,0)</x:f>
        <x:v>0</x:v>
      </x:c>
      <x:c r="V412" s="12" t="n">
        <x:f>IF(Q412="Higher cost",S412,0)</x:f>
        <x:v>0</x:v>
      </x:c>
      <x:c r="W412" s="12" t="n">
        <x:f>IF(Q412="Unclassified",S412,0)</x:f>
        <x:v>0</x:v>
      </x:c>
      <x:c r="X412" s="12" t="n">
        <x:f>IF(AND(ISNUMBER(F412),F412&gt;0,F412&lt;=Summary!$D$5,H412&gt;0),H412*J412,0)</x:f>
        <x:v>0</x:v>
      </x:c>
    </x:row>
    <x:row r="413" ht="21" customHeight="1">
      <x:c r="A413" s="1" t="str">
        <x:v>30</x:v>
      </x:c>
      <x:c r="B413" s="1" t="str">
        <x:v>800BWHTASC</x:v>
      </x:c>
      <x:c r="C413" s="1" t="str">
        <x:v>3003711</x:v>
      </x:c>
      <x:c r="D413" s="1" t="str">
        <x:v>0</x:v>
      </x:c>
      <x:c r="E413" s="1"/>
      <x:c r="F413" s="7" t="n">
        <x:v>44601</x:v>
      </x:c>
      <x:c r="G413" s="7" t="n">
        <x:v>44610</x:v>
      </x:c>
      <x:c r="H413" s="8" t="n">
        <x:v>0</x:v>
      </x:c>
      <x:c r="I413" s="8"/>
      <x:c r="J413" s="8" t="n">
        <x:v>1</x:v>
      </x:c>
      <x:c r="K413" s="9" t="n">
        <x:v>13.54</x:v>
      </x:c>
      <x:c r="L413" s="8" t="n">
        <x:v>100</x:v>
      </x:c>
      <x:c r="M413" s="10" t="n">
        <x:v>0</x:v>
      </x:c>
      <x:c r="N413" s="8" t="str">
        <x:v>i</x:v>
      </x:c>
      <x:c r="O413" s="8" t="n">
        <x:v>0</x:v>
      </x:c>
      <x:c r="P413" s="11" t="n">
        <x:f>MIN(X413,MAX(0,SUMIFS('Current inventory'!$D$2:$D$127,'Current inventory'!$A$2:$A$127,A413,'Current inventory'!$B$2:$B$127,B413)-SUMIFS($X$2:X412,$A$2:A412,A413,$B$2:B412,B413)))</x:f>
        <x:v>0</x:v>
      </x:c>
      <x:c r="Q413" s="1" t="str">
        <x:v>Received history</x:v>
      </x:c>
      <x:c r="R413" s="1" t="str">
        <x:v>Receipts data film c400 c800 plastic.csv</x:v>
      </x:c>
      <x:c r="S413" s="12" t="n">
        <x:f>IF(O413=1,I413*J413,0)</x:f>
        <x:v>0</x:v>
      </x:c>
      <x:c r="T413" s="13" t="n">
        <x:f>IF(L413&gt;0,K413/L413,"n.a.")</x:f>
        <x:v>0.1354</x:v>
      </x:c>
      <x:c r="U413" s="12" t="n">
        <x:f>IF(Q413="Old cost",S413,0)</x:f>
        <x:v>0</x:v>
      </x:c>
      <x:c r="V413" s="12" t="n">
        <x:f>IF(Q413="Higher cost",S413,0)</x:f>
        <x:v>0</x:v>
      </x:c>
      <x:c r="W413" s="12" t="n">
        <x:f>IF(Q413="Unclassified",S413,0)</x:f>
        <x:v>0</x:v>
      </x:c>
      <x:c r="X413" s="12" t="n">
        <x:f>IF(AND(ISNUMBER(F413),F413&gt;0,F413&lt;=Summary!$D$5,H413&gt;0),H413*J413,0)</x:f>
        <x:v>0</x:v>
      </x:c>
    </x:row>
    <x:row r="414" ht="21" customHeight="1">
      <x:c r="A414" s="1" t="str">
        <x:v>10</x:v>
      </x:c>
      <x:c r="B414" s="1" t="str">
        <x:v>800BBLKASC</x:v>
      </x:c>
      <x:c r="C414" s="1" t="str">
        <x:v>1054355</x:v>
      </x:c>
      <x:c r="D414" s="1" t="str">
        <x:v>0</x:v>
      </x:c>
      <x:c r="E414" s="1"/>
      <x:c r="F414" s="7" t="n">
        <x:v>44601</x:v>
      </x:c>
      <x:c r="G414" s="7" t="n">
        <x:v>44610</x:v>
      </x:c>
      <x:c r="H414" s="8" t="n">
        <x:v>0</x:v>
      </x:c>
      <x:c r="I414" s="8"/>
      <x:c r="J414" s="8" t="n">
        <x:v>1</x:v>
      </x:c>
      <x:c r="K414" s="9" t="n">
        <x:v>9.83</x:v>
      </x:c>
      <x:c r="L414" s="8" t="n">
        <x:v>100</x:v>
      </x:c>
      <x:c r="M414" s="10" t="n">
        <x:v>0</x:v>
      </x:c>
      <x:c r="N414" s="8" t="str">
        <x:v>i</x:v>
      </x:c>
      <x:c r="O414" s="8" t="n">
        <x:v>0</x:v>
      </x:c>
      <x:c r="P414" s="11" t="n">
        <x:f>MIN(X414,MAX(0,SUMIFS('Current inventory'!$D$2:$D$127,'Current inventory'!$A$2:$A$127,A414,'Current inventory'!$B$2:$B$127,B414)-SUMIFS($X$2:X413,$A$2:A413,A414,$B$2:B413,B414)))</x:f>
        <x:v>0</x:v>
      </x:c>
      <x:c r="Q414" s="1" t="str">
        <x:v>Received history</x:v>
      </x:c>
      <x:c r="R414" s="1" t="str">
        <x:v>Receipts data film c400 c800 plastic.csv</x:v>
      </x:c>
      <x:c r="S414" s="12" t="n">
        <x:f>IF(O414=1,I414*J414,0)</x:f>
        <x:v>0</x:v>
      </x:c>
      <x:c r="T414" s="13" t="n">
        <x:f>IF(L414&gt;0,K414/L414,"n.a.")</x:f>
        <x:v>0.0983</x:v>
      </x:c>
      <x:c r="U414" s="12" t="n">
        <x:f>IF(Q414="Old cost",S414,0)</x:f>
        <x:v>0</x:v>
      </x:c>
      <x:c r="V414" s="12" t="n">
        <x:f>IF(Q414="Higher cost",S414,0)</x:f>
        <x:v>0</x:v>
      </x:c>
      <x:c r="W414" s="12" t="n">
        <x:f>IF(Q414="Unclassified",S414,0)</x:f>
        <x:v>0</x:v>
      </x:c>
      <x:c r="X414" s="12" t="n">
        <x:f>IF(AND(ISNUMBER(F414),F414&gt;0,F414&lt;=Summary!$D$5,H414&gt;0),H414*J414,0)</x:f>
        <x:v>0</x:v>
      </x:c>
    </x:row>
    <x:row r="415" ht="21" customHeight="1">
      <x:c r="A415" s="1" t="str">
        <x:v>10</x:v>
      </x:c>
      <x:c r="B415" s="1" t="str">
        <x:v>800BBLKDSC</x:v>
      </x:c>
      <x:c r="C415" s="1" t="str">
        <x:v>1054355</x:v>
      </x:c>
      <x:c r="D415" s="1" t="str">
        <x:v>0</x:v>
      </x:c>
      <x:c r="E415" s="1"/>
      <x:c r="F415" s="7" t="n">
        <x:v>44601</x:v>
      </x:c>
      <x:c r="G415" s="7" t="n">
        <x:v>44610</x:v>
      </x:c>
      <x:c r="H415" s="8" t="n">
        <x:v>0</x:v>
      </x:c>
      <x:c r="I415" s="8"/>
      <x:c r="J415" s="8" t="n">
        <x:v>1</x:v>
      </x:c>
      <x:c r="K415" s="9" t="n">
        <x:v>26.15</x:v>
      </x:c>
      <x:c r="L415" s="8" t="n">
        <x:v>100</x:v>
      </x:c>
      <x:c r="M415" s="10" t="n">
        <x:v>0</x:v>
      </x:c>
      <x:c r="N415" s="8" t="str">
        <x:v>i</x:v>
      </x:c>
      <x:c r="O415" s="8" t="n">
        <x:v>0</x:v>
      </x:c>
      <x:c r="P415" s="11" t="n">
        <x:f>MIN(X415,MAX(0,SUMIFS('Current inventory'!$D$2:$D$127,'Current inventory'!$A$2:$A$127,A415,'Current inventory'!$B$2:$B$127,B415)-SUMIFS($X$2:X414,$A$2:A414,A415,$B$2:B414,B415)))</x:f>
        <x:v>0</x:v>
      </x:c>
      <x:c r="Q415" s="1" t="str">
        <x:v>Received history</x:v>
      </x:c>
      <x:c r="R415" s="1" t="str">
        <x:v>Receipts data film c400 c800 plastic.csv</x:v>
      </x:c>
      <x:c r="S415" s="12" t="n">
        <x:f>IF(O415=1,I415*J415,0)</x:f>
        <x:v>0</x:v>
      </x:c>
      <x:c r="T415" s="13" t="n">
        <x:f>IF(L415&gt;0,K415/L415,"n.a.")</x:f>
        <x:v>0.2615</x:v>
      </x:c>
      <x:c r="U415" s="12" t="n">
        <x:f>IF(Q415="Old cost",S415,0)</x:f>
        <x:v>0</x:v>
      </x:c>
      <x:c r="V415" s="12" t="n">
        <x:f>IF(Q415="Higher cost",S415,0)</x:f>
        <x:v>0</x:v>
      </x:c>
      <x:c r="W415" s="12" t="n">
        <x:f>IF(Q415="Unclassified",S415,0)</x:f>
        <x:v>0</x:v>
      </x:c>
      <x:c r="X415" s="12" t="n">
        <x:f>IF(AND(ISNUMBER(F415),F415&gt;0,F415&lt;=Summary!$D$5,H415&gt;0),H415*J415,0)</x:f>
        <x:v>0</x:v>
      </x:c>
    </x:row>
    <x:row r="416" ht="21" customHeight="1">
      <x:c r="A416" s="1" t="str">
        <x:v>10</x:v>
      </x:c>
      <x:c r="B416" s="1" t="str">
        <x:v>800BBLKISC</x:v>
      </x:c>
      <x:c r="C416" s="1" t="str">
        <x:v>1054355</x:v>
      </x:c>
      <x:c r="D416" s="1" t="str">
        <x:v>0</x:v>
      </x:c>
      <x:c r="E416" s="1"/>
      <x:c r="F416" s="7" t="n">
        <x:v>44601</x:v>
      </x:c>
      <x:c r="G416" s="7" t="n">
        <x:v>44610</x:v>
      </x:c>
      <x:c r="H416" s="8" t="n">
        <x:v>10000</x:v>
      </x:c>
      <x:c r="I416" s="8"/>
      <x:c r="J416" s="8" t="n">
        <x:v>1</x:v>
      </x:c>
      <x:c r="K416" s="9" t="n">
        <x:v>13.42</x:v>
      </x:c>
      <x:c r="L416" s="8" t="n">
        <x:v>100</x:v>
      </x:c>
      <x:c r="M416" s="10" t="n">
        <x:v>1476</x:v>
      </x:c>
      <x:c r="N416" s="8" t="str">
        <x:v>i</x:v>
      </x:c>
      <x:c r="O416" s="8" t="n">
        <x:v>0</x:v>
      </x:c>
      <x:c r="P416" s="11" t="n">
        <x:f>MIN(X416,MAX(0,SUMIFS('Current inventory'!$D$2:$D$127,'Current inventory'!$A$2:$A$127,A416,'Current inventory'!$B$2:$B$127,B416)-SUMIFS($X$2:X415,$A$2:A415,A416,$B$2:B415,B416)))</x:f>
        <x:v>0</x:v>
      </x:c>
      <x:c r="Q416" s="1" t="str">
        <x:v>Received history</x:v>
      </x:c>
      <x:c r="R416" s="1" t="str">
        <x:v>Receipts data film c400 c800 plastic.csv</x:v>
      </x:c>
      <x:c r="S416" s="12" t="n">
        <x:f>IF(O416=1,I416*J416,0)</x:f>
        <x:v>0</x:v>
      </x:c>
      <x:c r="T416" s="13" t="n">
        <x:f>IF(L416&gt;0,K416/L416,"n.a.")</x:f>
        <x:v>0.13419999999999999</x:v>
      </x:c>
      <x:c r="U416" s="12" t="n">
        <x:f>IF(Q416="Old cost",S416,0)</x:f>
        <x:v>0</x:v>
      </x:c>
      <x:c r="V416" s="12" t="n">
        <x:f>IF(Q416="Higher cost",S416,0)</x:f>
        <x:v>0</x:v>
      </x:c>
      <x:c r="W416" s="12" t="n">
        <x:f>IF(Q416="Unclassified",S416,0)</x:f>
        <x:v>0</x:v>
      </x:c>
      <x:c r="X416" s="12" t="n">
        <x:f>IF(AND(ISNUMBER(F416),F416&gt;0,F416&lt;=Summary!$D$5,H416&gt;0),H416*J416,0)</x:f>
        <x:v>10000</x:v>
      </x:c>
    </x:row>
    <x:row r="417" ht="21" customHeight="1">
      <x:c r="A417" s="1" t="str">
        <x:v>10</x:v>
      </x:c>
      <x:c r="B417" s="1" t="str">
        <x:v>800BFGASC</x:v>
      </x:c>
      <x:c r="C417" s="1" t="str">
        <x:v>1054355</x:v>
      </x:c>
      <x:c r="D417" s="1" t="str">
        <x:v>0</x:v>
      </x:c>
      <x:c r="E417" s="1"/>
      <x:c r="F417" s="7" t="n">
        <x:v>44601</x:v>
      </x:c>
      <x:c r="G417" s="7" t="n">
        <x:v>44596</x:v>
      </x:c>
      <x:c r="H417" s="8" t="n">
        <x:v>20000</x:v>
      </x:c>
      <x:c r="I417" s="8"/>
      <x:c r="J417" s="8" t="n">
        <x:v>1</x:v>
      </x:c>
      <x:c r="K417" s="9" t="n">
        <x:v>13.54</x:v>
      </x:c>
      <x:c r="L417" s="8" t="n">
        <x:v>100</x:v>
      </x:c>
      <x:c r="M417" s="10" t="n">
        <x:v>2912</x:v>
      </x:c>
      <x:c r="N417" s="8" t="str">
        <x:v>i</x:v>
      </x:c>
      <x:c r="O417" s="8" t="n">
        <x:v>0</x:v>
      </x:c>
      <x:c r="P417" s="11" t="n">
        <x:f>MIN(X417,MAX(0,SUMIFS('Current inventory'!$D$2:$D$127,'Current inventory'!$A$2:$A$127,A417,'Current inventory'!$B$2:$B$127,B417)-SUMIFS($X$2:X416,$A$2:A416,A417,$B$2:B416,B417)))</x:f>
        <x:v>0</x:v>
      </x:c>
      <x:c r="Q417" s="1" t="str">
        <x:v>Received history</x:v>
      </x:c>
      <x:c r="R417" s="1" t="str">
        <x:v>Receipts data film c400 c800 plastic.csv</x:v>
      </x:c>
      <x:c r="S417" s="12" t="n">
        <x:f>IF(O417=1,I417*J417,0)</x:f>
        <x:v>0</x:v>
      </x:c>
      <x:c r="T417" s="13" t="n">
        <x:f>IF(L417&gt;0,K417/L417,"n.a.")</x:f>
        <x:v>0.1354</x:v>
      </x:c>
      <x:c r="U417" s="12" t="n">
        <x:f>IF(Q417="Old cost",S417,0)</x:f>
        <x:v>0</x:v>
      </x:c>
      <x:c r="V417" s="12" t="n">
        <x:f>IF(Q417="Higher cost",S417,0)</x:f>
        <x:v>0</x:v>
      </x:c>
      <x:c r="W417" s="12" t="n">
        <x:f>IF(Q417="Unclassified",S417,0)</x:f>
        <x:v>0</x:v>
      </x:c>
      <x:c r="X417" s="12" t="n">
        <x:f>IF(AND(ISNUMBER(F417),F417&gt;0,F417&lt;=Summary!$D$5,H417&gt;0),H417*J417,0)</x:f>
        <x:v>20000</x:v>
      </x:c>
    </x:row>
    <x:row r="418" ht="21" customHeight="1">
      <x:c r="A418" s="1" t="str">
        <x:v>10</x:v>
      </x:c>
      <x:c r="B418" s="1" t="str">
        <x:v>800BLKE</x:v>
      </x:c>
      <x:c r="C418" s="1" t="str">
        <x:v>1054355</x:v>
      </x:c>
      <x:c r="D418" s="1" t="str">
        <x:v>0</x:v>
      </x:c>
      <x:c r="E418" s="1"/>
      <x:c r="F418" s="7" t="n">
        <x:v>44601</x:v>
      </x:c>
      <x:c r="G418" s="7" t="n">
        <x:v>44610</x:v>
      </x:c>
      <x:c r="H418" s="8" t="n">
        <x:v>0</x:v>
      </x:c>
      <x:c r="I418" s="8"/>
      <x:c r="J418" s="8" t="n">
        <x:v>1</x:v>
      </x:c>
      <x:c r="K418" s="9" t="n">
        <x:v>719</x:v>
      </x:c>
      <x:c r="L418" s="8" t="n">
        <x:v>1000</x:v>
      </x:c>
      <x:c r="M418" s="10" t="n">
        <x:v>0</x:v>
      </x:c>
      <x:c r="N418" s="8" t="str">
        <x:v>i</x:v>
      </x:c>
      <x:c r="O418" s="8" t="n">
        <x:v>0</x:v>
      </x:c>
      <x:c r="P418" s="11" t="n">
        <x:f>MIN(X418,MAX(0,SUMIFS('Current inventory'!$D$2:$D$127,'Current inventory'!$A$2:$A$127,A418,'Current inventory'!$B$2:$B$127,B418)-SUMIFS($X$2:X417,$A$2:A417,A418,$B$2:B417,B418)))</x:f>
        <x:v>0</x:v>
      </x:c>
      <x:c r="Q418" s="1" t="str">
        <x:v>Received history</x:v>
      </x:c>
      <x:c r="R418" s="1" t="str">
        <x:v>Receipts data film c400 c800 plastic.csv</x:v>
      </x:c>
      <x:c r="S418" s="12" t="n">
        <x:f>IF(O418=1,I418*J418,0)</x:f>
        <x:v>0</x:v>
      </x:c>
      <x:c r="T418" s="13" t="n">
        <x:f>IF(L418&gt;0,K418/L418,"n.a.")</x:f>
        <x:v>0.719</x:v>
      </x:c>
      <x:c r="U418" s="12" t="n">
        <x:f>IF(Q418="Old cost",S418,0)</x:f>
        <x:v>0</x:v>
      </x:c>
      <x:c r="V418" s="12" t="n">
        <x:f>IF(Q418="Higher cost",S418,0)</x:f>
        <x:v>0</x:v>
      </x:c>
      <x:c r="W418" s="12" t="n">
        <x:f>IF(Q418="Unclassified",S418,0)</x:f>
        <x:v>0</x:v>
      </x:c>
      <x:c r="X418" s="12" t="n">
        <x:f>IF(AND(ISNUMBER(F418),F418&gt;0,F418&lt;=Summary!$D$5,H418&gt;0),H418*J418,0)</x:f>
        <x:v>0</x:v>
      </x:c>
    </x:row>
    <x:row r="419" ht="21" customHeight="1">
      <x:c r="A419" s="1" t="str">
        <x:v>10</x:v>
      </x:c>
      <x:c r="B419" s="1" t="str">
        <x:v>800BMARASC</x:v>
      </x:c>
      <x:c r="C419" s="1" t="str">
        <x:v>1054355</x:v>
      </x:c>
      <x:c r="D419" s="1" t="str">
        <x:v>0</x:v>
      </x:c>
      <x:c r="E419" s="1"/>
      <x:c r="F419" s="7" t="n">
        <x:v>44601</x:v>
      </x:c>
      <x:c r="G419" s="7" t="n">
        <x:v>44610</x:v>
      </x:c>
      <x:c r="H419" s="8" t="n">
        <x:v>0</x:v>
      </x:c>
      <x:c r="I419" s="8"/>
      <x:c r="J419" s="8" t="n">
        <x:v>1</x:v>
      </x:c>
      <x:c r="K419" s="9" t="n">
        <x:v>12.45</x:v>
      </x:c>
      <x:c r="L419" s="8" t="n">
        <x:v>100</x:v>
      </x:c>
      <x:c r="M419" s="10" t="n">
        <x:v>0</x:v>
      </x:c>
      <x:c r="N419" s="8" t="str">
        <x:v>i</x:v>
      </x:c>
      <x:c r="O419" s="8" t="n">
        <x:v>0</x:v>
      </x:c>
      <x:c r="P419" s="11" t="n">
        <x:f>MIN(X419,MAX(0,SUMIFS('Current inventory'!$D$2:$D$127,'Current inventory'!$A$2:$A$127,A419,'Current inventory'!$B$2:$B$127,B419)-SUMIFS($X$2:X418,$A$2:A418,A419,$B$2:B418,B419)))</x:f>
        <x:v>0</x:v>
      </x:c>
      <x:c r="Q419" s="1" t="str">
        <x:v>Received history</x:v>
      </x:c>
      <x:c r="R419" s="1" t="str">
        <x:v>Receipts data film c400 c800 plastic.csv</x:v>
      </x:c>
      <x:c r="S419" s="12" t="n">
        <x:f>IF(O419=1,I419*J419,0)</x:f>
        <x:v>0</x:v>
      </x:c>
      <x:c r="T419" s="13" t="n">
        <x:f>IF(L419&gt;0,K419/L419,"n.a.")</x:f>
        <x:v>0.1245</x:v>
      </x:c>
      <x:c r="U419" s="12" t="n">
        <x:f>IF(Q419="Old cost",S419,0)</x:f>
        <x:v>0</x:v>
      </x:c>
      <x:c r="V419" s="12" t="n">
        <x:f>IF(Q419="Higher cost",S419,0)</x:f>
        <x:v>0</x:v>
      </x:c>
      <x:c r="W419" s="12" t="n">
        <x:f>IF(Q419="Unclassified",S419,0)</x:f>
        <x:v>0</x:v>
      </x:c>
      <x:c r="X419" s="12" t="n">
        <x:f>IF(AND(ISNUMBER(F419),F419&gt;0,F419&lt;=Summary!$D$5,H419&gt;0),H419*J419,0)</x:f>
        <x:v>0</x:v>
      </x:c>
    </x:row>
    <x:row r="420" ht="21" customHeight="1">
      <x:c r="A420" s="1" t="str">
        <x:v>10</x:v>
      </x:c>
      <x:c r="B420" s="1" t="str">
        <x:v>800BNAVASC</x:v>
      </x:c>
      <x:c r="C420" s="1" t="str">
        <x:v>1054355</x:v>
      </x:c>
      <x:c r="D420" s="1" t="str">
        <x:v>0</x:v>
      </x:c>
      <x:c r="E420" s="1"/>
      <x:c r="F420" s="7" t="n">
        <x:v>44601</x:v>
      </x:c>
      <x:c r="G420" s="7" t="n">
        <x:v>44596</x:v>
      </x:c>
      <x:c r="H420" s="8" t="n">
        <x:v>80000</x:v>
      </x:c>
      <x:c r="I420" s="8"/>
      <x:c r="J420" s="8" t="n">
        <x:v>1</x:v>
      </x:c>
      <x:c r="K420" s="9" t="n">
        <x:v>11.79</x:v>
      </x:c>
      <x:c r="L420" s="8" t="n">
        <x:v>100</x:v>
      </x:c>
      <x:c r="M420" s="10" t="n">
        <x:v>10160</x:v>
      </x:c>
      <x:c r="N420" s="8" t="str">
        <x:v>i</x:v>
      </x:c>
      <x:c r="O420" s="8" t="n">
        <x:v>0</x:v>
      </x:c>
      <x:c r="P420" s="11" t="n">
        <x:f>MIN(X420,MAX(0,SUMIFS('Current inventory'!$D$2:$D$127,'Current inventory'!$A$2:$A$127,A420,'Current inventory'!$B$2:$B$127,B420)-SUMIFS($X$2:X419,$A$2:A419,A420,$B$2:B419,B420)))</x:f>
        <x:v>0</x:v>
      </x:c>
      <x:c r="Q420" s="1" t="str">
        <x:v>Received history</x:v>
      </x:c>
      <x:c r="R420" s="1" t="str">
        <x:v>Receipts data film c400 c800 plastic.csv</x:v>
      </x:c>
      <x:c r="S420" s="12" t="n">
        <x:f>IF(O420=1,I420*J420,0)</x:f>
        <x:v>0</x:v>
      </x:c>
      <x:c r="T420" s="13" t="n">
        <x:f>IF(L420&gt;0,K420/L420,"n.a.")</x:f>
        <x:v>0.11789999999999999</x:v>
      </x:c>
      <x:c r="U420" s="12" t="n">
        <x:f>IF(Q420="Old cost",S420,0)</x:f>
        <x:v>0</x:v>
      </x:c>
      <x:c r="V420" s="12" t="n">
        <x:f>IF(Q420="Higher cost",S420,0)</x:f>
        <x:v>0</x:v>
      </x:c>
      <x:c r="W420" s="12" t="n">
        <x:f>IF(Q420="Unclassified",S420,0)</x:f>
        <x:v>0</x:v>
      </x:c>
      <x:c r="X420" s="12" t="n">
        <x:f>IF(AND(ISNUMBER(F420),F420&gt;0,F420&lt;=Summary!$D$5,H420&gt;0),H420*J420,0)</x:f>
        <x:v>80000</x:v>
      </x:c>
    </x:row>
    <x:row r="421" ht="21" customHeight="1">
      <x:c r="A421" s="1" t="str">
        <x:v>10</x:v>
      </x:c>
      <x:c r="B421" s="1" t="str">
        <x:v>800BWHTASC</x:v>
      </x:c>
      <x:c r="C421" s="1" t="str">
        <x:v>1054355</x:v>
      </x:c>
      <x:c r="D421" s="1" t="str">
        <x:v>0</x:v>
      </x:c>
      <x:c r="E421" s="1"/>
      <x:c r="F421" s="7" t="n">
        <x:v>44601</x:v>
      </x:c>
      <x:c r="G421" s="7" t="n">
        <x:v>44596</x:v>
      </x:c>
      <x:c r="H421" s="8" t="n">
        <x:v>0</x:v>
      </x:c>
      <x:c r="I421" s="8"/>
      <x:c r="J421" s="8" t="n">
        <x:v>1</x:v>
      </x:c>
      <x:c r="K421" s="9" t="n">
        <x:v>13.54</x:v>
      </x:c>
      <x:c r="L421" s="8" t="n">
        <x:v>100</x:v>
      </x:c>
      <x:c r="M421" s="10" t="n">
        <x:v>0</x:v>
      </x:c>
      <x:c r="N421" s="8" t="str">
        <x:v>i</x:v>
      </x:c>
      <x:c r="O421" s="8" t="n">
        <x:v>0</x:v>
      </x:c>
      <x:c r="P421" s="11" t="n">
        <x:f>MIN(X421,MAX(0,SUMIFS('Current inventory'!$D$2:$D$127,'Current inventory'!$A$2:$A$127,A421,'Current inventory'!$B$2:$B$127,B421)-SUMIFS($X$2:X420,$A$2:A420,A421,$B$2:B420,B421)))</x:f>
        <x:v>0</x:v>
      </x:c>
      <x:c r="Q421" s="1" t="str">
        <x:v>Received history</x:v>
      </x:c>
      <x:c r="R421" s="1" t="str">
        <x:v>Receipts data film c400 c800 plastic.csv</x:v>
      </x:c>
      <x:c r="S421" s="12" t="n">
        <x:f>IF(O421=1,I421*J421,0)</x:f>
        <x:v>0</x:v>
      </x:c>
      <x:c r="T421" s="13" t="n">
        <x:f>IF(L421&gt;0,K421/L421,"n.a.")</x:f>
        <x:v>0.1354</x:v>
      </x:c>
      <x:c r="U421" s="12" t="n">
        <x:f>IF(Q421="Old cost",S421,0)</x:f>
        <x:v>0</x:v>
      </x:c>
      <x:c r="V421" s="12" t="n">
        <x:f>IF(Q421="Higher cost",S421,0)</x:f>
        <x:v>0</x:v>
      </x:c>
      <x:c r="W421" s="12" t="n">
        <x:f>IF(Q421="Unclassified",S421,0)</x:f>
        <x:v>0</x:v>
      </x:c>
      <x:c r="X421" s="12" t="n">
        <x:f>IF(AND(ISNUMBER(F421),F421&gt;0,F421&lt;=Summary!$D$5,H421&gt;0),H421*J421,0)</x:f>
        <x:v>0</x:v>
      </x:c>
    </x:row>
    <x:row r="422" ht="21" customHeight="1">
      <x:c r="A422" s="1" t="str">
        <x:v>10</x:v>
      </x:c>
      <x:c r="B422" s="1" t="str">
        <x:v>800NAVE</x:v>
      </x:c>
      <x:c r="C422" s="1" t="str">
        <x:v>1054355</x:v>
      </x:c>
      <x:c r="D422" s="1" t="str">
        <x:v>0</x:v>
      </x:c>
      <x:c r="E422" s="1"/>
      <x:c r="F422" s="7" t="n">
        <x:v>44601</x:v>
      </x:c>
      <x:c r="G422" s="7" t="n">
        <x:v>44596</x:v>
      </x:c>
      <x:c r="H422" s="8" t="n">
        <x:v>4500</x:v>
      </x:c>
      <x:c r="I422" s="8"/>
      <x:c r="J422" s="8" t="n">
        <x:v>1</x:v>
      </x:c>
      <x:c r="K422" s="9" t="n">
        <x:v>931</x:v>
      </x:c>
      <x:c r="L422" s="8" t="n">
        <x:v>1000</x:v>
      </x:c>
      <x:c r="M422" s="10" t="n">
        <x:v>4504.5</x:v>
      </x:c>
      <x:c r="N422" s="8" t="str">
        <x:v>i</x:v>
      </x:c>
      <x:c r="O422" s="8" t="n">
        <x:v>0</x:v>
      </x:c>
      <x:c r="P422" s="11" t="n">
        <x:f>MIN(X422,MAX(0,SUMIFS('Current inventory'!$D$2:$D$127,'Current inventory'!$A$2:$A$127,A422,'Current inventory'!$B$2:$B$127,B422)-SUMIFS($X$2:X421,$A$2:A421,A422,$B$2:B421,B422)))</x:f>
        <x:v>0</x:v>
      </x:c>
      <x:c r="Q422" s="1" t="str">
        <x:v>Received history</x:v>
      </x:c>
      <x:c r="R422" s="1" t="str">
        <x:v>Receipts data film c400 c800 plastic.csv</x:v>
      </x:c>
      <x:c r="S422" s="12" t="n">
        <x:f>IF(O422=1,I422*J422,0)</x:f>
        <x:v>0</x:v>
      </x:c>
      <x:c r="T422" s="13" t="n">
        <x:f>IF(L422&gt;0,K422/L422,"n.a.")</x:f>
        <x:v>0.931</x:v>
      </x:c>
      <x:c r="U422" s="12" t="n">
        <x:f>IF(Q422="Old cost",S422,0)</x:f>
        <x:v>0</x:v>
      </x:c>
      <x:c r="V422" s="12" t="n">
        <x:f>IF(Q422="Higher cost",S422,0)</x:f>
        <x:v>0</x:v>
      </x:c>
      <x:c r="W422" s="12" t="n">
        <x:f>IF(Q422="Unclassified",S422,0)</x:f>
        <x:v>0</x:v>
      </x:c>
      <x:c r="X422" s="12" t="n">
        <x:f>IF(AND(ISNUMBER(F422),F422&gt;0,F422&lt;=Summary!$D$5,H422&gt;0),H422*J422,0)</x:f>
        <x:v>4500</x:v>
      </x:c>
    </x:row>
    <x:row r="423" ht="21" customHeight="1">
      <x:c r="A423" s="1" t="str">
        <x:v>10</x:v>
      </x:c>
      <x:c r="B423" s="1" t="str">
        <x:v>800BBLKDSC</x:v>
      </x:c>
      <x:c r="C423" s="1" t="str">
        <x:v>1054353</x:v>
      </x:c>
      <x:c r="D423" s="1" t="str">
        <x:v>0</x:v>
      </x:c>
      <x:c r="E423" s="1"/>
      <x:c r="F423" s="7" t="n">
        <x:v>44601</x:v>
      </x:c>
      <x:c r="G423" s="7" t="n">
        <x:v>44596</x:v>
      </x:c>
      <x:c r="H423" s="8" t="n">
        <x:v>20000</x:v>
      </x:c>
      <x:c r="I423" s="8"/>
      <x:c r="J423" s="8" t="n">
        <x:v>1</x:v>
      </x:c>
      <x:c r="K423" s="9" t="n">
        <x:v>26.15</x:v>
      </x:c>
      <x:c r="L423" s="8" t="n">
        <x:v>100</x:v>
      </x:c>
      <x:c r="M423" s="10" t="n">
        <x:v>5754</x:v>
      </x:c>
      <x:c r="N423" s="8" t="str">
        <x:v>i</x:v>
      </x:c>
      <x:c r="O423" s="8" t="n">
        <x:v>0</x:v>
      </x:c>
      <x:c r="P423" s="11" t="n">
        <x:f>MIN(X423,MAX(0,SUMIFS('Current inventory'!$D$2:$D$127,'Current inventory'!$A$2:$A$127,A423,'Current inventory'!$B$2:$B$127,B423)-SUMIFS($X$2:X422,$A$2:A422,A423,$B$2:B422,B423)))</x:f>
        <x:v>0</x:v>
      </x:c>
      <x:c r="Q423" s="1" t="str">
        <x:v>Received history</x:v>
      </x:c>
      <x:c r="R423" s="1" t="str">
        <x:v>Receipts data film c400 c800 plastic.csv</x:v>
      </x:c>
      <x:c r="S423" s="12" t="n">
        <x:f>IF(O423=1,I423*J423,0)</x:f>
        <x:v>0</x:v>
      </x:c>
      <x:c r="T423" s="13" t="n">
        <x:f>IF(L423&gt;0,K423/L423,"n.a.")</x:f>
        <x:v>0.2615</x:v>
      </x:c>
      <x:c r="U423" s="12" t="n">
        <x:f>IF(Q423="Old cost",S423,0)</x:f>
        <x:v>0</x:v>
      </x:c>
      <x:c r="V423" s="12" t="n">
        <x:f>IF(Q423="Higher cost",S423,0)</x:f>
        <x:v>0</x:v>
      </x:c>
      <x:c r="W423" s="12" t="n">
        <x:f>IF(Q423="Unclassified",S423,0)</x:f>
        <x:v>0</x:v>
      </x:c>
      <x:c r="X423" s="12" t="n">
        <x:f>IF(AND(ISNUMBER(F423),F423&gt;0,F423&lt;=Summary!$D$5,H423&gt;0),H423*J423,0)</x:f>
        <x:v>20000</x:v>
      </x:c>
    </x:row>
    <x:row r="424" ht="21" customHeight="1">
      <x:c r="A424" s="1" t="str">
        <x:v>10</x:v>
      </x:c>
      <x:c r="B424" s="1" t="str">
        <x:v>800BBLKISC</x:v>
      </x:c>
      <x:c r="C424" s="1" t="str">
        <x:v>1054353</x:v>
      </x:c>
      <x:c r="D424" s="1" t="str">
        <x:v>0</x:v>
      </x:c>
      <x:c r="E424" s="1"/>
      <x:c r="F424" s="7" t="n">
        <x:v>44601</x:v>
      </x:c>
      <x:c r="G424" s="7" t="n">
        <x:v>44596</x:v>
      </x:c>
      <x:c r="H424" s="8" t="n">
        <x:v>30000</x:v>
      </x:c>
      <x:c r="I424" s="8"/>
      <x:c r="J424" s="8" t="n">
        <x:v>1</x:v>
      </x:c>
      <x:c r="K424" s="9" t="n">
        <x:v>13.42</x:v>
      </x:c>
      <x:c r="L424" s="8" t="n">
        <x:v>100</x:v>
      </x:c>
      <x:c r="M424" s="10" t="n">
        <x:v>4428</x:v>
      </x:c>
      <x:c r="N424" s="8" t="str">
        <x:v>i</x:v>
      </x:c>
      <x:c r="O424" s="8" t="n">
        <x:v>0</x:v>
      </x:c>
      <x:c r="P424" s="11" t="n">
        <x:f>MIN(X424,MAX(0,SUMIFS('Current inventory'!$D$2:$D$127,'Current inventory'!$A$2:$A$127,A424,'Current inventory'!$B$2:$B$127,B424)-SUMIFS($X$2:X423,$A$2:A423,A424,$B$2:B423,B424)))</x:f>
        <x:v>0</x:v>
      </x:c>
      <x:c r="Q424" s="1" t="str">
        <x:v>Received history</x:v>
      </x:c>
      <x:c r="R424" s="1" t="str">
        <x:v>Receipts data film c400 c800 plastic.csv</x:v>
      </x:c>
      <x:c r="S424" s="12" t="n">
        <x:f>IF(O424=1,I424*J424,0)</x:f>
        <x:v>0</x:v>
      </x:c>
      <x:c r="T424" s="13" t="n">
        <x:f>IF(L424&gt;0,K424/L424,"n.a.")</x:f>
        <x:v>0.13419999999999999</x:v>
      </x:c>
      <x:c r="U424" s="12" t="n">
        <x:f>IF(Q424="Old cost",S424,0)</x:f>
        <x:v>0</x:v>
      </x:c>
      <x:c r="V424" s="12" t="n">
        <x:f>IF(Q424="Higher cost",S424,0)</x:f>
        <x:v>0</x:v>
      </x:c>
      <x:c r="W424" s="12" t="n">
        <x:f>IF(Q424="Unclassified",S424,0)</x:f>
        <x:v>0</x:v>
      </x:c>
      <x:c r="X424" s="12" t="n">
        <x:f>IF(AND(ISNUMBER(F424),F424&gt;0,F424&lt;=Summary!$D$5,H424&gt;0),H424*J424,0)</x:f>
        <x:v>30000</x:v>
      </x:c>
    </x:row>
    <x:row r="425" ht="21" customHeight="1">
      <x:c r="A425" s="1" t="str">
        <x:v>10</x:v>
      </x:c>
      <x:c r="B425" s="1" t="str">
        <x:v>800BFGASC</x:v>
      </x:c>
      <x:c r="C425" s="1" t="str">
        <x:v>1054353</x:v>
      </x:c>
      <x:c r="D425" s="1" t="str">
        <x:v>0</x:v>
      </x:c>
      <x:c r="E425" s="1"/>
      <x:c r="F425" s="7" t="n">
        <x:v>44601</x:v>
      </x:c>
      <x:c r="G425" s="7" t="n">
        <x:v>44596</x:v>
      </x:c>
      <x:c r="H425" s="8" t="n">
        <x:v>20000</x:v>
      </x:c>
      <x:c r="I425" s="8"/>
      <x:c r="J425" s="8" t="n">
        <x:v>1</x:v>
      </x:c>
      <x:c r="K425" s="9" t="n">
        <x:v>13.54</x:v>
      </x:c>
      <x:c r="L425" s="8" t="n">
        <x:v>100</x:v>
      </x:c>
      <x:c r="M425" s="10" t="n">
        <x:v>2912</x:v>
      </x:c>
      <x:c r="N425" s="8" t="str">
        <x:v>i</x:v>
      </x:c>
      <x:c r="O425" s="8" t="n">
        <x:v>0</x:v>
      </x:c>
      <x:c r="P425" s="11" t="n">
        <x:f>MIN(X425,MAX(0,SUMIFS('Current inventory'!$D$2:$D$127,'Current inventory'!$A$2:$A$127,A425,'Current inventory'!$B$2:$B$127,B425)-SUMIFS($X$2:X424,$A$2:A424,A425,$B$2:B424,B425)))</x:f>
        <x:v>0</x:v>
      </x:c>
      <x:c r="Q425" s="1" t="str">
        <x:v>Received history</x:v>
      </x:c>
      <x:c r="R425" s="1" t="str">
        <x:v>Receipts data film c400 c800 plastic.csv</x:v>
      </x:c>
      <x:c r="S425" s="12" t="n">
        <x:f>IF(O425=1,I425*J425,0)</x:f>
        <x:v>0</x:v>
      </x:c>
      <x:c r="T425" s="13" t="n">
        <x:f>IF(L425&gt;0,K425/L425,"n.a.")</x:f>
        <x:v>0.1354</x:v>
      </x:c>
      <x:c r="U425" s="12" t="n">
        <x:f>IF(Q425="Old cost",S425,0)</x:f>
        <x:v>0</x:v>
      </x:c>
      <x:c r="V425" s="12" t="n">
        <x:f>IF(Q425="Higher cost",S425,0)</x:f>
        <x:v>0</x:v>
      </x:c>
      <x:c r="W425" s="12" t="n">
        <x:f>IF(Q425="Unclassified",S425,0)</x:f>
        <x:v>0</x:v>
      </x:c>
      <x:c r="X425" s="12" t="n">
        <x:f>IF(AND(ISNUMBER(F425),F425&gt;0,F425&lt;=Summary!$D$5,H425&gt;0),H425*J425,0)</x:f>
        <x:v>20000</x:v>
      </x:c>
    </x:row>
    <x:row r="426" ht="21" customHeight="1">
      <x:c r="A426" s="1" t="str">
        <x:v>10</x:v>
      </x:c>
      <x:c r="B426" s="1" t="str">
        <x:v>800BMARASC</x:v>
      </x:c>
      <x:c r="C426" s="1" t="str">
        <x:v>1054353</x:v>
      </x:c>
      <x:c r="D426" s="1" t="str">
        <x:v>0</x:v>
      </x:c>
      <x:c r="E426" s="1"/>
      <x:c r="F426" s="7" t="n">
        <x:v>44601</x:v>
      </x:c>
      <x:c r="G426" s="7" t="n">
        <x:v>44610</x:v>
      </x:c>
      <x:c r="H426" s="8" t="n">
        <x:v>0</x:v>
      </x:c>
      <x:c r="I426" s="8"/>
      <x:c r="J426" s="8" t="n">
        <x:v>1</x:v>
      </x:c>
      <x:c r="K426" s="9" t="n">
        <x:v>12.45</x:v>
      </x:c>
      <x:c r="L426" s="8" t="n">
        <x:v>100</x:v>
      </x:c>
      <x:c r="M426" s="10" t="n">
        <x:v>0</x:v>
      </x:c>
      <x:c r="N426" s="8" t="str">
        <x:v>i</x:v>
      </x:c>
      <x:c r="O426" s="8" t="n">
        <x:v>0</x:v>
      </x:c>
      <x:c r="P426" s="11" t="n">
        <x:f>MIN(X426,MAX(0,SUMIFS('Current inventory'!$D$2:$D$127,'Current inventory'!$A$2:$A$127,A426,'Current inventory'!$B$2:$B$127,B426)-SUMIFS($X$2:X425,$A$2:A425,A426,$B$2:B425,B426)))</x:f>
        <x:v>0</x:v>
      </x:c>
      <x:c r="Q426" s="1" t="str">
        <x:v>Received history</x:v>
      </x:c>
      <x:c r="R426" s="1" t="str">
        <x:v>Receipts data film c400 c800 plastic.csv</x:v>
      </x:c>
      <x:c r="S426" s="12" t="n">
        <x:f>IF(O426=1,I426*J426,0)</x:f>
        <x:v>0</x:v>
      </x:c>
      <x:c r="T426" s="13" t="n">
        <x:f>IF(L426&gt;0,K426/L426,"n.a.")</x:f>
        <x:v>0.1245</x:v>
      </x:c>
      <x:c r="U426" s="12" t="n">
        <x:f>IF(Q426="Old cost",S426,0)</x:f>
        <x:v>0</x:v>
      </x:c>
      <x:c r="V426" s="12" t="n">
        <x:f>IF(Q426="Higher cost",S426,0)</x:f>
        <x:v>0</x:v>
      </x:c>
      <x:c r="W426" s="12" t="n">
        <x:f>IF(Q426="Unclassified",S426,0)</x:f>
        <x:v>0</x:v>
      </x:c>
      <x:c r="X426" s="12" t="n">
        <x:f>IF(AND(ISNUMBER(F426),F426&gt;0,F426&lt;=Summary!$D$5,H426&gt;0),H426*J426,0)</x:f>
        <x:v>0</x:v>
      </x:c>
    </x:row>
    <x:row r="427" ht="21" customHeight="1">
      <x:c r="A427" s="1" t="str">
        <x:v>10</x:v>
      </x:c>
      <x:c r="B427" s="1" t="str">
        <x:v>800BWHTASC</x:v>
      </x:c>
      <x:c r="C427" s="1" t="str">
        <x:v>1054353</x:v>
      </x:c>
      <x:c r="D427" s="1" t="str">
        <x:v>0</x:v>
      </x:c>
      <x:c r="E427" s="1"/>
      <x:c r="F427" s="7" t="n">
        <x:v>44601</x:v>
      </x:c>
      <x:c r="G427" s="7" t="n">
        <x:v>44596</x:v>
      </x:c>
      <x:c r="H427" s="8" t="n">
        <x:v>0</x:v>
      </x:c>
      <x:c r="I427" s="8"/>
      <x:c r="J427" s="8" t="n">
        <x:v>1</x:v>
      </x:c>
      <x:c r="K427" s="9" t="n">
        <x:v>13.54</x:v>
      </x:c>
      <x:c r="L427" s="8" t="n">
        <x:v>100</x:v>
      </x:c>
      <x:c r="M427" s="10" t="n">
        <x:v>0</x:v>
      </x:c>
      <x:c r="N427" s="8" t="str">
        <x:v>i</x:v>
      </x:c>
      <x:c r="O427" s="8" t="n">
        <x:v>0</x:v>
      </x:c>
      <x:c r="P427" s="11" t="n">
        <x:f>MIN(X427,MAX(0,SUMIFS('Current inventory'!$D$2:$D$127,'Current inventory'!$A$2:$A$127,A427,'Current inventory'!$B$2:$B$127,B427)-SUMIFS($X$2:X426,$A$2:A426,A427,$B$2:B426,B427)))</x:f>
        <x:v>0</x:v>
      </x:c>
      <x:c r="Q427" s="1" t="str">
        <x:v>Received history</x:v>
      </x:c>
      <x:c r="R427" s="1" t="str">
        <x:v>Receipts data film c400 c800 plastic.csv</x:v>
      </x:c>
      <x:c r="S427" s="12" t="n">
        <x:f>IF(O427=1,I427*J427,0)</x:f>
        <x:v>0</x:v>
      </x:c>
      <x:c r="T427" s="13" t="n">
        <x:f>IF(L427&gt;0,K427/L427,"n.a.")</x:f>
        <x:v>0.1354</x:v>
      </x:c>
      <x:c r="U427" s="12" t="n">
        <x:f>IF(Q427="Old cost",S427,0)</x:f>
        <x:v>0</x:v>
      </x:c>
      <x:c r="V427" s="12" t="n">
        <x:f>IF(Q427="Higher cost",S427,0)</x:f>
        <x:v>0</x:v>
      </x:c>
      <x:c r="W427" s="12" t="n">
        <x:f>IF(Q427="Unclassified",S427,0)</x:f>
        <x:v>0</x:v>
      </x:c>
      <x:c r="X427" s="12" t="n">
        <x:f>IF(AND(ISNUMBER(F427),F427&gt;0,F427&lt;=Summary!$D$5,H427&gt;0),H427*J427,0)</x:f>
        <x:v>0</x:v>
      </x:c>
    </x:row>
    <x:row r="428" ht="21" customHeight="1">
      <x:c r="A428" s="1" t="str">
        <x:v>10</x:v>
      </x:c>
      <x:c r="B428" s="1" t="str">
        <x:v>800FGE</x:v>
      </x:c>
      <x:c r="C428" s="1" t="str">
        <x:v>1054353</x:v>
      </x:c>
      <x:c r="D428" s="1" t="str">
        <x:v>0</x:v>
      </x:c>
      <x:c r="E428" s="1"/>
      <x:c r="F428" s="7" t="n">
        <x:v>44601</x:v>
      </x:c>
      <x:c r="G428" s="7" t="n">
        <x:v>44610</x:v>
      </x:c>
      <x:c r="H428" s="8" t="n">
        <x:v>0</x:v>
      </x:c>
      <x:c r="I428" s="8"/>
      <x:c r="J428" s="8" t="n">
        <x:v>1</x:v>
      </x:c>
      <x:c r="K428" s="9" t="n">
        <x:v>980</x:v>
      </x:c>
      <x:c r="L428" s="8" t="n">
        <x:v>100</x:v>
      </x:c>
      <x:c r="M428" s="10" t="n">
        <x:v>0</x:v>
      </x:c>
      <x:c r="N428" s="8" t="str">
        <x:v>i</x:v>
      </x:c>
      <x:c r="O428" s="8" t="n">
        <x:v>0</x:v>
      </x:c>
      <x:c r="P428" s="11" t="n">
        <x:f>MIN(X428,MAX(0,SUMIFS('Current inventory'!$D$2:$D$127,'Current inventory'!$A$2:$A$127,A428,'Current inventory'!$B$2:$B$127,B428)-SUMIFS($X$2:X427,$A$2:A427,A428,$B$2:B427,B428)))</x:f>
        <x:v>0</x:v>
      </x:c>
      <x:c r="Q428" s="1" t="str">
        <x:v>Received history</x:v>
      </x:c>
      <x:c r="R428" s="1" t="str">
        <x:v>Receipts data film c400 c800 plastic.csv</x:v>
      </x:c>
      <x:c r="S428" s="12" t="n">
        <x:f>IF(O428=1,I428*J428,0)</x:f>
        <x:v>0</x:v>
      </x:c>
      <x:c r="T428" s="13" t="n">
        <x:f>IF(L428&gt;0,K428/L428,"n.a.")</x:f>
        <x:v>9.8</x:v>
      </x:c>
      <x:c r="U428" s="12" t="n">
        <x:f>IF(Q428="Old cost",S428,0)</x:f>
        <x:v>0</x:v>
      </x:c>
      <x:c r="V428" s="12" t="n">
        <x:f>IF(Q428="Higher cost",S428,0)</x:f>
        <x:v>0</x:v>
      </x:c>
      <x:c r="W428" s="12" t="n">
        <x:f>IF(Q428="Unclassified",S428,0)</x:f>
        <x:v>0</x:v>
      </x:c>
      <x:c r="X428" s="12" t="n">
        <x:f>IF(AND(ISNUMBER(F428),F428&gt;0,F428&lt;=Summary!$D$5,H428&gt;0),H428*J428,0)</x:f>
        <x:v>0</x:v>
      </x:c>
    </x:row>
    <x:row r="429" ht="21" customHeight="1">
      <x:c r="A429" s="1" t="str">
        <x:v>10</x:v>
      </x:c>
      <x:c r="B429" s="1" t="str">
        <x:v>800MARE</x:v>
      </x:c>
      <x:c r="C429" s="1" t="str">
        <x:v>1054353</x:v>
      </x:c>
      <x:c r="D429" s="1" t="str">
        <x:v>0</x:v>
      </x:c>
      <x:c r="E429" s="1"/>
      <x:c r="F429" s="7" t="n">
        <x:v>44601</x:v>
      </x:c>
      <x:c r="G429" s="7" t="n">
        <x:v>44610</x:v>
      </x:c>
      <x:c r="H429" s="8" t="n">
        <x:v>0</x:v>
      </x:c>
      <x:c r="I429" s="8"/>
      <x:c r="J429" s="8" t="n">
        <x:v>1</x:v>
      </x:c>
      <x:c r="K429" s="9" t="n">
        <x:v>980</x:v>
      </x:c>
      <x:c r="L429" s="8" t="n">
        <x:v>1000</x:v>
      </x:c>
      <x:c r="M429" s="10" t="n">
        <x:v>0</x:v>
      </x:c>
      <x:c r="N429" s="8" t="str">
        <x:v>i</x:v>
      </x:c>
      <x:c r="O429" s="8" t="n">
        <x:v>0</x:v>
      </x:c>
      <x:c r="P429" s="11" t="n">
        <x:f>MIN(X429,MAX(0,SUMIFS('Current inventory'!$D$2:$D$127,'Current inventory'!$A$2:$A$127,A429,'Current inventory'!$B$2:$B$127,B429)-SUMIFS($X$2:X428,$A$2:A428,A429,$B$2:B428,B429)))</x:f>
        <x:v>0</x:v>
      </x:c>
      <x:c r="Q429" s="1" t="str">
        <x:v>Received history</x:v>
      </x:c>
      <x:c r="R429" s="1" t="str">
        <x:v>Receipts data film c400 c800 plastic.csv</x:v>
      </x:c>
      <x:c r="S429" s="12" t="n">
        <x:f>IF(O429=1,I429*J429,0)</x:f>
        <x:v>0</x:v>
      </x:c>
      <x:c r="T429" s="13" t="n">
        <x:f>IF(L429&gt;0,K429/L429,"n.a.")</x:f>
        <x:v>0.98</x:v>
      </x:c>
      <x:c r="U429" s="12" t="n">
        <x:f>IF(Q429="Old cost",S429,0)</x:f>
        <x:v>0</x:v>
      </x:c>
      <x:c r="V429" s="12" t="n">
        <x:f>IF(Q429="Higher cost",S429,0)</x:f>
        <x:v>0</x:v>
      </x:c>
      <x:c r="W429" s="12" t="n">
        <x:f>IF(Q429="Unclassified",S429,0)</x:f>
        <x:v>0</x:v>
      </x:c>
      <x:c r="X429" s="12" t="n">
        <x:f>IF(AND(ISNUMBER(F429),F429&gt;0,F429&lt;=Summary!$D$5,H429&gt;0),H429*J429,0)</x:f>
        <x:v>0</x:v>
      </x:c>
    </x:row>
    <x:row r="430" ht="21" customHeight="1">
      <x:c r="A430" s="1" t="str">
        <x:v>60</x:v>
      </x:c>
      <x:c r="B430" s="1" t="str">
        <x:v>800BBLKASC</x:v>
      </x:c>
      <x:c r="C430" s="1" t="str">
        <x:v>6102625</x:v>
      </x:c>
      <x:c r="D430" s="1" t="str">
        <x:v>0</x:v>
      </x:c>
      <x:c r="E430" s="1"/>
      <x:c r="F430" s="7" t="n">
        <x:v>44596</x:v>
      </x:c>
      <x:c r="G430" s="7" t="n">
        <x:v>44610</x:v>
      </x:c>
      <x:c r="H430" s="8" t="n">
        <x:v>0</x:v>
      </x:c>
      <x:c r="I430" s="8"/>
      <x:c r="J430" s="8" t="n">
        <x:v>1</x:v>
      </x:c>
      <x:c r="K430" s="9" t="n">
        <x:v>9.83</x:v>
      </x:c>
      <x:c r="L430" s="8" t="n">
        <x:v>100</x:v>
      </x:c>
      <x:c r="M430" s="10" t="n">
        <x:v>0</x:v>
      </x:c>
      <x:c r="N430" s="8" t="str">
        <x:v>i</x:v>
      </x:c>
      <x:c r="O430" s="8" t="n">
        <x:v>0</x:v>
      </x:c>
      <x:c r="P430" s="11" t="n">
        <x:f>MIN(X430,MAX(0,SUMIFS('Current inventory'!$D$2:$D$127,'Current inventory'!$A$2:$A$127,A430,'Current inventory'!$B$2:$B$127,B430)-SUMIFS($X$2:X429,$A$2:A429,A430,$B$2:B429,B430)))</x:f>
        <x:v>0</x:v>
      </x:c>
      <x:c r="Q430" s="1" t="str">
        <x:v>Received history</x:v>
      </x:c>
      <x:c r="R430" s="1" t="str">
        <x:v>Receipts data film c400 c800 plastic.csv</x:v>
      </x:c>
      <x:c r="S430" s="12" t="n">
        <x:f>IF(O430=1,I430*J430,0)</x:f>
        <x:v>0</x:v>
      </x:c>
      <x:c r="T430" s="13" t="n">
        <x:f>IF(L430&gt;0,K430/L430,"n.a.")</x:f>
        <x:v>0.0983</x:v>
      </x:c>
      <x:c r="U430" s="12" t="n">
        <x:f>IF(Q430="Old cost",S430,0)</x:f>
        <x:v>0</x:v>
      </x:c>
      <x:c r="V430" s="12" t="n">
        <x:f>IF(Q430="Higher cost",S430,0)</x:f>
        <x:v>0</x:v>
      </x:c>
      <x:c r="W430" s="12" t="n">
        <x:f>IF(Q430="Unclassified",S430,0)</x:f>
        <x:v>0</x:v>
      </x:c>
      <x:c r="X430" s="12" t="n">
        <x:f>IF(AND(ISNUMBER(F430),F430&gt;0,F430&lt;=Summary!$D$5,H430&gt;0),H430*J430,0)</x:f>
        <x:v>0</x:v>
      </x:c>
    </x:row>
    <x:row r="431" ht="21" customHeight="1">
      <x:c r="A431" s="1" t="str">
        <x:v>60</x:v>
      </x:c>
      <x:c r="B431" s="1" t="str">
        <x:v>800BBLKDSC</x:v>
      </x:c>
      <x:c r="C431" s="1" t="str">
        <x:v>6102625</x:v>
      </x:c>
      <x:c r="D431" s="1" t="str">
        <x:v>0</x:v>
      </x:c>
      <x:c r="E431" s="1"/>
      <x:c r="F431" s="7" t="n">
        <x:v>44596</x:v>
      </x:c>
      <x:c r="G431" s="7" t="n">
        <x:v>44610</x:v>
      </x:c>
      <x:c r="H431" s="8" t="n">
        <x:v>0</x:v>
      </x:c>
      <x:c r="I431" s="8"/>
      <x:c r="J431" s="8" t="n">
        <x:v>1</x:v>
      </x:c>
      <x:c r="K431" s="9" t="n">
        <x:v>26.15</x:v>
      </x:c>
      <x:c r="L431" s="8" t="n">
        <x:v>100</x:v>
      </x:c>
      <x:c r="M431" s="10" t="n">
        <x:v>0</x:v>
      </x:c>
      <x:c r="N431" s="8" t="str">
        <x:v>i</x:v>
      </x:c>
      <x:c r="O431" s="8" t="n">
        <x:v>0</x:v>
      </x:c>
      <x:c r="P431" s="11" t="n">
        <x:f>MIN(X431,MAX(0,SUMIFS('Current inventory'!$D$2:$D$127,'Current inventory'!$A$2:$A$127,A431,'Current inventory'!$B$2:$B$127,B431)-SUMIFS($X$2:X430,$A$2:A430,A431,$B$2:B430,B431)))</x:f>
        <x:v>0</x:v>
      </x:c>
      <x:c r="Q431" s="1" t="str">
        <x:v>Received history</x:v>
      </x:c>
      <x:c r="R431" s="1" t="str">
        <x:v>Receipts data film c400 c800 plastic.csv</x:v>
      </x:c>
      <x:c r="S431" s="12" t="n">
        <x:f>IF(O431=1,I431*J431,0)</x:f>
        <x:v>0</x:v>
      </x:c>
      <x:c r="T431" s="13" t="n">
        <x:f>IF(L431&gt;0,K431/L431,"n.a.")</x:f>
        <x:v>0.2615</x:v>
      </x:c>
      <x:c r="U431" s="12" t="n">
        <x:f>IF(Q431="Old cost",S431,0)</x:f>
        <x:v>0</x:v>
      </x:c>
      <x:c r="V431" s="12" t="n">
        <x:f>IF(Q431="Higher cost",S431,0)</x:f>
        <x:v>0</x:v>
      </x:c>
      <x:c r="W431" s="12" t="n">
        <x:f>IF(Q431="Unclassified",S431,0)</x:f>
        <x:v>0</x:v>
      </x:c>
      <x:c r="X431" s="12" t="n">
        <x:f>IF(AND(ISNUMBER(F431),F431&gt;0,F431&lt;=Summary!$D$5,H431&gt;0),H431*J431,0)</x:f>
        <x:v>0</x:v>
      </x:c>
    </x:row>
    <x:row r="432" ht="21" customHeight="1">
      <x:c r="A432" s="1" t="str">
        <x:v>60</x:v>
      </x:c>
      <x:c r="B432" s="1" t="str">
        <x:v>800BBLKISC</x:v>
      </x:c>
      <x:c r="C432" s="1" t="str">
        <x:v>6102625</x:v>
      </x:c>
      <x:c r="D432" s="1" t="str">
        <x:v>0</x:v>
      </x:c>
      <x:c r="E432" s="1"/>
      <x:c r="F432" s="7" t="n">
        <x:v>44596</x:v>
      </x:c>
      <x:c r="G432" s="7" t="n">
        <x:v>44596</x:v>
      </x:c>
      <x:c r="H432" s="8" t="n">
        <x:v>10000</x:v>
      </x:c>
      <x:c r="I432" s="8"/>
      <x:c r="J432" s="8" t="n">
        <x:v>1</x:v>
      </x:c>
      <x:c r="K432" s="9" t="n">
        <x:v>13.42</x:v>
      </x:c>
      <x:c r="L432" s="8" t="n">
        <x:v>100</x:v>
      </x:c>
      <x:c r="M432" s="10" t="n">
        <x:v>1476</x:v>
      </x:c>
      <x:c r="N432" s="8" t="str">
        <x:v>i</x:v>
      </x:c>
      <x:c r="O432" s="8" t="n">
        <x:v>0</x:v>
      </x:c>
      <x:c r="P432" s="11" t="n">
        <x:f>MIN(X432,MAX(0,SUMIFS('Current inventory'!$D$2:$D$127,'Current inventory'!$A$2:$A$127,A432,'Current inventory'!$B$2:$B$127,B432)-SUMIFS($X$2:X431,$A$2:A431,A432,$B$2:B431,B432)))</x:f>
        <x:v>0</x:v>
      </x:c>
      <x:c r="Q432" s="1" t="str">
        <x:v>Received history</x:v>
      </x:c>
      <x:c r="R432" s="1" t="str">
        <x:v>Receipts data film c400 c800 plastic.csv</x:v>
      </x:c>
      <x:c r="S432" s="12" t="n">
        <x:f>IF(O432=1,I432*J432,0)</x:f>
        <x:v>0</x:v>
      </x:c>
      <x:c r="T432" s="13" t="n">
        <x:f>IF(L432&gt;0,K432/L432,"n.a.")</x:f>
        <x:v>0.13419999999999999</x:v>
      </x:c>
      <x:c r="U432" s="12" t="n">
        <x:f>IF(Q432="Old cost",S432,0)</x:f>
        <x:v>0</x:v>
      </x:c>
      <x:c r="V432" s="12" t="n">
        <x:f>IF(Q432="Higher cost",S432,0)</x:f>
        <x:v>0</x:v>
      </x:c>
      <x:c r="W432" s="12" t="n">
        <x:f>IF(Q432="Unclassified",S432,0)</x:f>
        <x:v>0</x:v>
      </x:c>
      <x:c r="X432" s="12" t="n">
        <x:f>IF(AND(ISNUMBER(F432),F432&gt;0,F432&lt;=Summary!$D$5,H432&gt;0),H432*J432,0)</x:f>
        <x:v>10000</x:v>
      </x:c>
    </x:row>
    <x:row r="433" ht="21" customHeight="1">
      <x:c r="A433" s="1" t="str">
        <x:v>60</x:v>
      </x:c>
      <x:c r="B433" s="1" t="str">
        <x:v>800BFGASC</x:v>
      </x:c>
      <x:c r="C433" s="1" t="str">
        <x:v>6102625</x:v>
      </x:c>
      <x:c r="D433" s="1" t="str">
        <x:v>0</x:v>
      </x:c>
      <x:c r="E433" s="1"/>
      <x:c r="F433" s="7" t="n">
        <x:v>44596</x:v>
      </x:c>
      <x:c r="G433" s="7" t="n">
        <x:v>44610</x:v>
      </x:c>
      <x:c r="H433" s="8" t="n">
        <x:v>0</x:v>
      </x:c>
      <x:c r="I433" s="8"/>
      <x:c r="J433" s="8" t="n">
        <x:v>1</x:v>
      </x:c>
      <x:c r="K433" s="9" t="n">
        <x:v>13.54</x:v>
      </x:c>
      <x:c r="L433" s="8" t="n">
        <x:v>100</x:v>
      </x:c>
      <x:c r="M433" s="10" t="n">
        <x:v>0</x:v>
      </x:c>
      <x:c r="N433" s="8" t="str">
        <x:v>i</x:v>
      </x:c>
      <x:c r="O433" s="8" t="n">
        <x:v>0</x:v>
      </x:c>
      <x:c r="P433" s="11" t="n">
        <x:f>MIN(X433,MAX(0,SUMIFS('Current inventory'!$D$2:$D$127,'Current inventory'!$A$2:$A$127,A433,'Current inventory'!$B$2:$B$127,B433)-SUMIFS($X$2:X432,$A$2:A432,A433,$B$2:B432,B433)))</x:f>
        <x:v>0</x:v>
      </x:c>
      <x:c r="Q433" s="1" t="str">
        <x:v>Received history</x:v>
      </x:c>
      <x:c r="R433" s="1" t="str">
        <x:v>Receipts data film c400 c800 plastic.csv</x:v>
      </x:c>
      <x:c r="S433" s="12" t="n">
        <x:f>IF(O433=1,I433*J433,0)</x:f>
        <x:v>0</x:v>
      </x:c>
      <x:c r="T433" s="13" t="n">
        <x:f>IF(L433&gt;0,K433/L433,"n.a.")</x:f>
        <x:v>0.1354</x:v>
      </x:c>
      <x:c r="U433" s="12" t="n">
        <x:f>IF(Q433="Old cost",S433,0)</x:f>
        <x:v>0</x:v>
      </x:c>
      <x:c r="V433" s="12" t="n">
        <x:f>IF(Q433="Higher cost",S433,0)</x:f>
        <x:v>0</x:v>
      </x:c>
      <x:c r="W433" s="12" t="n">
        <x:f>IF(Q433="Unclassified",S433,0)</x:f>
        <x:v>0</x:v>
      </x:c>
      <x:c r="X433" s="12" t="n">
        <x:f>IF(AND(ISNUMBER(F433),F433&gt;0,F433&lt;=Summary!$D$5,H433&gt;0),H433*J433,0)</x:f>
        <x:v>0</x:v>
      </x:c>
    </x:row>
    <x:row r="434" ht="21" customHeight="1">
      <x:c r="A434" s="1" t="str">
        <x:v>60</x:v>
      </x:c>
      <x:c r="B434" s="1" t="str">
        <x:v>800BLKE</x:v>
      </x:c>
      <x:c r="C434" s="1" t="str">
        <x:v>6102625</x:v>
      </x:c>
      <x:c r="D434" s="1" t="str">
        <x:v>0</x:v>
      </x:c>
      <x:c r="E434" s="1"/>
      <x:c r="F434" s="7" t="n">
        <x:v>44596</x:v>
      </x:c>
      <x:c r="G434" s="7" t="n">
        <x:v>44610</x:v>
      </x:c>
      <x:c r="H434" s="8" t="n">
        <x:v>0</x:v>
      </x:c>
      <x:c r="I434" s="8"/>
      <x:c r="J434" s="8" t="n">
        <x:v>1</x:v>
      </x:c>
      <x:c r="K434" s="9" t="n">
        <x:v>719</x:v>
      </x:c>
      <x:c r="L434" s="8" t="n">
        <x:v>1000</x:v>
      </x:c>
      <x:c r="M434" s="10" t="n">
        <x:v>0</x:v>
      </x:c>
      <x:c r="N434" s="8" t="str">
        <x:v>i</x:v>
      </x:c>
      <x:c r="O434" s="8" t="n">
        <x:v>0</x:v>
      </x:c>
      <x:c r="P434" s="11" t="n">
        <x:f>MIN(X434,MAX(0,SUMIFS('Current inventory'!$D$2:$D$127,'Current inventory'!$A$2:$A$127,A434,'Current inventory'!$B$2:$B$127,B434)-SUMIFS($X$2:X433,$A$2:A433,A434,$B$2:B433,B434)))</x:f>
        <x:v>0</x:v>
      </x:c>
      <x:c r="Q434" s="1" t="str">
        <x:v>Received history</x:v>
      </x:c>
      <x:c r="R434" s="1" t="str">
        <x:v>Receipts data film c400 c800 plastic.csv</x:v>
      </x:c>
      <x:c r="S434" s="12" t="n">
        <x:f>IF(O434=1,I434*J434,0)</x:f>
        <x:v>0</x:v>
      </x:c>
      <x:c r="T434" s="13" t="n">
        <x:f>IF(L434&gt;0,K434/L434,"n.a.")</x:f>
        <x:v>0.719</x:v>
      </x:c>
      <x:c r="U434" s="12" t="n">
        <x:f>IF(Q434="Old cost",S434,0)</x:f>
        <x:v>0</x:v>
      </x:c>
      <x:c r="V434" s="12" t="n">
        <x:f>IF(Q434="Higher cost",S434,0)</x:f>
        <x:v>0</x:v>
      </x:c>
      <x:c r="W434" s="12" t="n">
        <x:f>IF(Q434="Unclassified",S434,0)</x:f>
        <x:v>0</x:v>
      </x:c>
      <x:c r="X434" s="12" t="n">
        <x:f>IF(AND(ISNUMBER(F434),F434&gt;0,F434&lt;=Summary!$D$5,H434&gt;0),H434*J434,0)</x:f>
        <x:v>0</x:v>
      </x:c>
    </x:row>
    <x:row r="435" ht="21" customHeight="1">
      <x:c r="A435" s="1" t="str">
        <x:v>60</x:v>
      </x:c>
      <x:c r="B435" s="1" t="str">
        <x:v>800BMARASC</x:v>
      </x:c>
      <x:c r="C435" s="1" t="str">
        <x:v>6102625</x:v>
      </x:c>
      <x:c r="D435" s="1" t="str">
        <x:v>0</x:v>
      </x:c>
      <x:c r="E435" s="1"/>
      <x:c r="F435" s="7" t="n">
        <x:v>44596</x:v>
      </x:c>
      <x:c r="G435" s="7" t="n">
        <x:v>44610</x:v>
      </x:c>
      <x:c r="H435" s="8" t="n">
        <x:v>0</x:v>
      </x:c>
      <x:c r="I435" s="8"/>
      <x:c r="J435" s="8" t="n">
        <x:v>1</x:v>
      </x:c>
      <x:c r="K435" s="9" t="n">
        <x:v>12.45</x:v>
      </x:c>
      <x:c r="L435" s="8" t="n">
        <x:v>100</x:v>
      </x:c>
      <x:c r="M435" s="10" t="n">
        <x:v>0</x:v>
      </x:c>
      <x:c r="N435" s="8" t="str">
        <x:v>i</x:v>
      </x:c>
      <x:c r="O435" s="8" t="n">
        <x:v>0</x:v>
      </x:c>
      <x:c r="P435" s="11" t="n">
        <x:f>MIN(X435,MAX(0,SUMIFS('Current inventory'!$D$2:$D$127,'Current inventory'!$A$2:$A$127,A435,'Current inventory'!$B$2:$B$127,B435)-SUMIFS($X$2:X434,$A$2:A434,A435,$B$2:B434,B435)))</x:f>
        <x:v>0</x:v>
      </x:c>
      <x:c r="Q435" s="1" t="str">
        <x:v>Received history</x:v>
      </x:c>
      <x:c r="R435" s="1" t="str">
        <x:v>Receipts data film c400 c800 plastic.csv</x:v>
      </x:c>
      <x:c r="S435" s="12" t="n">
        <x:f>IF(O435=1,I435*J435,0)</x:f>
        <x:v>0</x:v>
      </x:c>
      <x:c r="T435" s="13" t="n">
        <x:f>IF(L435&gt;0,K435/L435,"n.a.")</x:f>
        <x:v>0.1245</x:v>
      </x:c>
      <x:c r="U435" s="12" t="n">
        <x:f>IF(Q435="Old cost",S435,0)</x:f>
        <x:v>0</x:v>
      </x:c>
      <x:c r="V435" s="12" t="n">
        <x:f>IF(Q435="Higher cost",S435,0)</x:f>
        <x:v>0</x:v>
      </x:c>
      <x:c r="W435" s="12" t="n">
        <x:f>IF(Q435="Unclassified",S435,0)</x:f>
        <x:v>0</x:v>
      </x:c>
      <x:c r="X435" s="12" t="n">
        <x:f>IF(AND(ISNUMBER(F435),F435&gt;0,F435&lt;=Summary!$D$5,H435&gt;0),H435*J435,0)</x:f>
        <x:v>0</x:v>
      </x:c>
    </x:row>
    <x:row r="436" ht="21" customHeight="1">
      <x:c r="A436" s="1" t="str">
        <x:v>60</x:v>
      </x:c>
      <x:c r="B436" s="1" t="str">
        <x:v>800BNAVASC</x:v>
      </x:c>
      <x:c r="C436" s="1" t="str">
        <x:v>6102625</x:v>
      </x:c>
      <x:c r="D436" s="1" t="str">
        <x:v>0</x:v>
      </x:c>
      <x:c r="E436" s="1"/>
      <x:c r="F436" s="7" t="n">
        <x:v>44596</x:v>
      </x:c>
      <x:c r="G436" s="7" t="n">
        <x:v>44596</x:v>
      </x:c>
      <x:c r="H436" s="8" t="n">
        <x:v>40000</x:v>
      </x:c>
      <x:c r="I436" s="8"/>
      <x:c r="J436" s="8" t="n">
        <x:v>1</x:v>
      </x:c>
      <x:c r="K436" s="9" t="n">
        <x:v>11.79</x:v>
      </x:c>
      <x:c r="L436" s="8" t="n">
        <x:v>100</x:v>
      </x:c>
      <x:c r="M436" s="10" t="n">
        <x:v>5080</x:v>
      </x:c>
      <x:c r="N436" s="8" t="str">
        <x:v>i</x:v>
      </x:c>
      <x:c r="O436" s="8" t="n">
        <x:v>0</x:v>
      </x:c>
      <x:c r="P436" s="11" t="n">
        <x:f>MIN(X436,MAX(0,SUMIFS('Current inventory'!$D$2:$D$127,'Current inventory'!$A$2:$A$127,A436,'Current inventory'!$B$2:$B$127,B436)-SUMIFS($X$2:X435,$A$2:A435,A436,$B$2:B435,B436)))</x:f>
        <x:v>0</x:v>
      </x:c>
      <x:c r="Q436" s="1" t="str">
        <x:v>Received history</x:v>
      </x:c>
      <x:c r="R436" s="1" t="str">
        <x:v>Receipts data film c400 c800 plastic.csv</x:v>
      </x:c>
      <x:c r="S436" s="12" t="n">
        <x:f>IF(O436=1,I436*J436,0)</x:f>
        <x:v>0</x:v>
      </x:c>
      <x:c r="T436" s="13" t="n">
        <x:f>IF(L436&gt;0,K436/L436,"n.a.")</x:f>
        <x:v>0.11789999999999999</x:v>
      </x:c>
      <x:c r="U436" s="12" t="n">
        <x:f>IF(Q436="Old cost",S436,0)</x:f>
        <x:v>0</x:v>
      </x:c>
      <x:c r="V436" s="12" t="n">
        <x:f>IF(Q436="Higher cost",S436,0)</x:f>
        <x:v>0</x:v>
      </x:c>
      <x:c r="W436" s="12" t="n">
        <x:f>IF(Q436="Unclassified",S436,0)</x:f>
        <x:v>0</x:v>
      </x:c>
      <x:c r="X436" s="12" t="n">
        <x:f>IF(AND(ISNUMBER(F436),F436&gt;0,F436&lt;=Summary!$D$5,H436&gt;0),H436*J436,0)</x:f>
        <x:v>40000</x:v>
      </x:c>
    </x:row>
    <x:row r="437" ht="21" customHeight="1">
      <x:c r="A437" s="1" t="str">
        <x:v>60</x:v>
      </x:c>
      <x:c r="B437" s="1" t="str">
        <x:v>800BWHTASC</x:v>
      </x:c>
      <x:c r="C437" s="1" t="str">
        <x:v>6102625</x:v>
      </x:c>
      <x:c r="D437" s="1" t="str">
        <x:v>0</x:v>
      </x:c>
      <x:c r="E437" s="1"/>
      <x:c r="F437" s="7" t="n">
        <x:v>44596</x:v>
      </x:c>
      <x:c r="G437" s="7" t="n">
        <x:v>44610</x:v>
      </x:c>
      <x:c r="H437" s="8" t="n">
        <x:v>0</x:v>
      </x:c>
      <x:c r="I437" s="8"/>
      <x:c r="J437" s="8" t="n">
        <x:v>1</x:v>
      </x:c>
      <x:c r="K437" s="9" t="n">
        <x:v>13.54</x:v>
      </x:c>
      <x:c r="L437" s="8" t="n">
        <x:v>100</x:v>
      </x:c>
      <x:c r="M437" s="10" t="n">
        <x:v>0</x:v>
      </x:c>
      <x:c r="N437" s="8" t="str">
        <x:v>i</x:v>
      </x:c>
      <x:c r="O437" s="8" t="n">
        <x:v>0</x:v>
      </x:c>
      <x:c r="P437" s="11" t="n">
        <x:f>MIN(X437,MAX(0,SUMIFS('Current inventory'!$D$2:$D$127,'Current inventory'!$A$2:$A$127,A437,'Current inventory'!$B$2:$B$127,B437)-SUMIFS($X$2:X436,$A$2:A436,A437,$B$2:B436,B437)))</x:f>
        <x:v>0</x:v>
      </x:c>
      <x:c r="Q437" s="1" t="str">
        <x:v>Received history</x:v>
      </x:c>
      <x:c r="R437" s="1" t="str">
        <x:v>Receipts data film c400 c800 plastic.csv</x:v>
      </x:c>
      <x:c r="S437" s="12" t="n">
        <x:f>IF(O437=1,I437*J437,0)</x:f>
        <x:v>0</x:v>
      </x:c>
      <x:c r="T437" s="13" t="n">
        <x:f>IF(L437&gt;0,K437/L437,"n.a.")</x:f>
        <x:v>0.1354</x:v>
      </x:c>
      <x:c r="U437" s="12" t="n">
        <x:f>IF(Q437="Old cost",S437,0)</x:f>
        <x:v>0</x:v>
      </x:c>
      <x:c r="V437" s="12" t="n">
        <x:f>IF(Q437="Higher cost",S437,0)</x:f>
        <x:v>0</x:v>
      </x:c>
      <x:c r="W437" s="12" t="n">
        <x:f>IF(Q437="Unclassified",S437,0)</x:f>
        <x:v>0</x:v>
      </x:c>
      <x:c r="X437" s="12" t="n">
        <x:f>IF(AND(ISNUMBER(F437),F437&gt;0,F437&lt;=Summary!$D$5,H437&gt;0),H437*J437,0)</x:f>
        <x:v>0</x:v>
      </x:c>
    </x:row>
    <x:row r="438" ht="21" customHeight="1">
      <x:c r="A438" s="1" t="str">
        <x:v>60</x:v>
      </x:c>
      <x:c r="B438" s="1" t="str">
        <x:v>800NAVE</x:v>
      </x:c>
      <x:c r="C438" s="1" t="str">
        <x:v>6102625</x:v>
      </x:c>
      <x:c r="D438" s="1" t="str">
        <x:v>0</x:v>
      </x:c>
      <x:c r="E438" s="1"/>
      <x:c r="F438" s="7" t="n">
        <x:v>44596</x:v>
      </x:c>
      <x:c r="G438" s="7" t="n">
        <x:v>44596</x:v>
      </x:c>
      <x:c r="H438" s="8" t="n">
        <x:v>2400</x:v>
      </x:c>
      <x:c r="I438" s="8"/>
      <x:c r="J438" s="8" t="n">
        <x:v>1</x:v>
      </x:c>
      <x:c r="K438" s="9" t="n">
        <x:v>931</x:v>
      </x:c>
      <x:c r="L438" s="8" t="n">
        <x:v>1000</x:v>
      </x:c>
      <x:c r="M438" s="10" t="n">
        <x:v>2402.4</x:v>
      </x:c>
      <x:c r="N438" s="8" t="str">
        <x:v>i</x:v>
      </x:c>
      <x:c r="O438" s="8" t="n">
        <x:v>0</x:v>
      </x:c>
      <x:c r="P438" s="11" t="n">
        <x:f>MIN(X438,MAX(0,SUMIFS('Current inventory'!$D$2:$D$127,'Current inventory'!$A$2:$A$127,A438,'Current inventory'!$B$2:$B$127,B438)-SUMIFS($X$2:X437,$A$2:A437,A438,$B$2:B437,B438)))</x:f>
        <x:v>0</x:v>
      </x:c>
      <x:c r="Q438" s="1" t="str">
        <x:v>Received history</x:v>
      </x:c>
      <x:c r="R438" s="1" t="str">
        <x:v>Receipts data film c400 c800 plastic.csv</x:v>
      </x:c>
      <x:c r="S438" s="12" t="n">
        <x:f>IF(O438=1,I438*J438,0)</x:f>
        <x:v>0</x:v>
      </x:c>
      <x:c r="T438" s="13" t="n">
        <x:f>IF(L438&gt;0,K438/L438,"n.a.")</x:f>
        <x:v>0.931</x:v>
      </x:c>
      <x:c r="U438" s="12" t="n">
        <x:f>IF(Q438="Old cost",S438,0)</x:f>
        <x:v>0</x:v>
      </x:c>
      <x:c r="V438" s="12" t="n">
        <x:f>IF(Q438="Higher cost",S438,0)</x:f>
        <x:v>0</x:v>
      </x:c>
      <x:c r="W438" s="12" t="n">
        <x:f>IF(Q438="Unclassified",S438,0)</x:f>
        <x:v>0</x:v>
      </x:c>
      <x:c r="X438" s="12" t="n">
        <x:f>IF(AND(ISNUMBER(F438),F438&gt;0,F438&lt;=Summary!$D$5,H438&gt;0),H438*J438,0)</x:f>
        <x:v>2400</x:v>
      </x:c>
    </x:row>
    <x:row r="439" ht="21" customHeight="1">
      <x:c r="A439" s="1" t="str">
        <x:v>60</x:v>
      </x:c>
      <x:c r="B439" s="1" t="str">
        <x:v>800BBLKDSC</x:v>
      </x:c>
      <x:c r="C439" s="1" t="str">
        <x:v>6102624</x:v>
      </x:c>
      <x:c r="D439" s="1" t="str">
        <x:v>0</x:v>
      </x:c>
      <x:c r="E439" s="1"/>
      <x:c r="F439" s="7" t="n">
        <x:v>44596</x:v>
      </x:c>
      <x:c r="G439" s="7" t="n">
        <x:v>44596</x:v>
      </x:c>
      <x:c r="H439" s="8" t="n">
        <x:v>20000</x:v>
      </x:c>
      <x:c r="I439" s="8"/>
      <x:c r="J439" s="8" t="n">
        <x:v>1</x:v>
      </x:c>
      <x:c r="K439" s="9" t="n">
        <x:v>26.15</x:v>
      </x:c>
      <x:c r="L439" s="8" t="n">
        <x:v>100</x:v>
      </x:c>
      <x:c r="M439" s="10" t="n">
        <x:v>5754</x:v>
      </x:c>
      <x:c r="N439" s="8" t="str">
        <x:v>i</x:v>
      </x:c>
      <x:c r="O439" s="8" t="n">
        <x:v>0</x:v>
      </x:c>
      <x:c r="P439" s="11" t="n">
        <x:f>MIN(X439,MAX(0,SUMIFS('Current inventory'!$D$2:$D$127,'Current inventory'!$A$2:$A$127,A439,'Current inventory'!$B$2:$B$127,B439)-SUMIFS($X$2:X438,$A$2:A438,A439,$B$2:B438,B439)))</x:f>
        <x:v>0</x:v>
      </x:c>
      <x:c r="Q439" s="1" t="str">
        <x:v>Received history</x:v>
      </x:c>
      <x:c r="R439" s="1" t="str">
        <x:v>Receipts data film c400 c800 plastic.csv</x:v>
      </x:c>
      <x:c r="S439" s="12" t="n">
        <x:f>IF(O439=1,I439*J439,0)</x:f>
        <x:v>0</x:v>
      </x:c>
      <x:c r="T439" s="13" t="n">
        <x:f>IF(L439&gt;0,K439/L439,"n.a.")</x:f>
        <x:v>0.2615</x:v>
      </x:c>
      <x:c r="U439" s="12" t="n">
        <x:f>IF(Q439="Old cost",S439,0)</x:f>
        <x:v>0</x:v>
      </x:c>
      <x:c r="V439" s="12" t="n">
        <x:f>IF(Q439="Higher cost",S439,0)</x:f>
        <x:v>0</x:v>
      </x:c>
      <x:c r="W439" s="12" t="n">
        <x:f>IF(Q439="Unclassified",S439,0)</x:f>
        <x:v>0</x:v>
      </x:c>
      <x:c r="X439" s="12" t="n">
        <x:f>IF(AND(ISNUMBER(F439),F439&gt;0,F439&lt;=Summary!$D$5,H439&gt;0),H439*J439,0)</x:f>
        <x:v>20000</x:v>
      </x:c>
    </x:row>
    <x:row r="440" ht="21" customHeight="1">
      <x:c r="A440" s="1" t="str">
        <x:v>60</x:v>
      </x:c>
      <x:c r="B440" s="1" t="str">
        <x:v>800BBLKISC</x:v>
      </x:c>
      <x:c r="C440" s="1" t="str">
        <x:v>6102624</x:v>
      </x:c>
      <x:c r="D440" s="1" t="str">
        <x:v>0</x:v>
      </x:c>
      <x:c r="E440" s="1"/>
      <x:c r="F440" s="7" t="n">
        <x:v>44596</x:v>
      </x:c>
      <x:c r="G440" s="7" t="n">
        <x:v>44596</x:v>
      </x:c>
      <x:c r="H440" s="8" t="n">
        <x:v>30000</x:v>
      </x:c>
      <x:c r="I440" s="8"/>
      <x:c r="J440" s="8" t="n">
        <x:v>1</x:v>
      </x:c>
      <x:c r="K440" s="9" t="n">
        <x:v>13.42</x:v>
      </x:c>
      <x:c r="L440" s="8" t="n">
        <x:v>100</x:v>
      </x:c>
      <x:c r="M440" s="10" t="n">
        <x:v>4428</x:v>
      </x:c>
      <x:c r="N440" s="8" t="str">
        <x:v>i</x:v>
      </x:c>
      <x:c r="O440" s="8" t="n">
        <x:v>0</x:v>
      </x:c>
      <x:c r="P440" s="11" t="n">
        <x:f>MIN(X440,MAX(0,SUMIFS('Current inventory'!$D$2:$D$127,'Current inventory'!$A$2:$A$127,A440,'Current inventory'!$B$2:$B$127,B440)-SUMIFS($X$2:X439,$A$2:A439,A440,$B$2:B439,B440)))</x:f>
        <x:v>0</x:v>
      </x:c>
      <x:c r="Q440" s="1" t="str">
        <x:v>Received history</x:v>
      </x:c>
      <x:c r="R440" s="1" t="str">
        <x:v>Receipts data film c400 c800 plastic.csv</x:v>
      </x:c>
      <x:c r="S440" s="12" t="n">
        <x:f>IF(O440=1,I440*J440,0)</x:f>
        <x:v>0</x:v>
      </x:c>
      <x:c r="T440" s="13" t="n">
        <x:f>IF(L440&gt;0,K440/L440,"n.a.")</x:f>
        <x:v>0.13419999999999999</x:v>
      </x:c>
      <x:c r="U440" s="12" t="n">
        <x:f>IF(Q440="Old cost",S440,0)</x:f>
        <x:v>0</x:v>
      </x:c>
      <x:c r="V440" s="12" t="n">
        <x:f>IF(Q440="Higher cost",S440,0)</x:f>
        <x:v>0</x:v>
      </x:c>
      <x:c r="W440" s="12" t="n">
        <x:f>IF(Q440="Unclassified",S440,0)</x:f>
        <x:v>0</x:v>
      </x:c>
      <x:c r="X440" s="12" t="n">
        <x:f>IF(AND(ISNUMBER(F440),F440&gt;0,F440&lt;=Summary!$D$5,H440&gt;0),H440*J440,0)</x:f>
        <x:v>30000</x:v>
      </x:c>
    </x:row>
    <x:row r="441" ht="21" customHeight="1">
      <x:c r="A441" s="1" t="str">
        <x:v>60</x:v>
      </x:c>
      <x:c r="B441" s="1" t="str">
        <x:v>800BFGASC</x:v>
      </x:c>
      <x:c r="C441" s="1" t="str">
        <x:v>6102624</x:v>
      </x:c>
      <x:c r="D441" s="1" t="str">
        <x:v>0</x:v>
      </x:c>
      <x:c r="E441" s="1"/>
      <x:c r="F441" s="7" t="n">
        <x:v>44596</x:v>
      </x:c>
      <x:c r="G441" s="7" t="n">
        <x:v>44610</x:v>
      </x:c>
      <x:c r="H441" s="8" t="n">
        <x:v>0</x:v>
      </x:c>
      <x:c r="I441" s="8"/>
      <x:c r="J441" s="8" t="n">
        <x:v>1</x:v>
      </x:c>
      <x:c r="K441" s="9" t="n">
        <x:v>13.54</x:v>
      </x:c>
      <x:c r="L441" s="8" t="n">
        <x:v>100</x:v>
      </x:c>
      <x:c r="M441" s="10" t="n">
        <x:v>0</x:v>
      </x:c>
      <x:c r="N441" s="8" t="str">
        <x:v>i</x:v>
      </x:c>
      <x:c r="O441" s="8" t="n">
        <x:v>0</x:v>
      </x:c>
      <x:c r="P441" s="11" t="n">
        <x:f>MIN(X441,MAX(0,SUMIFS('Current inventory'!$D$2:$D$127,'Current inventory'!$A$2:$A$127,A441,'Current inventory'!$B$2:$B$127,B441)-SUMIFS($X$2:X440,$A$2:A440,A441,$B$2:B440,B441)))</x:f>
        <x:v>0</x:v>
      </x:c>
      <x:c r="Q441" s="1" t="str">
        <x:v>Received history</x:v>
      </x:c>
      <x:c r="R441" s="1" t="str">
        <x:v>Receipts data film c400 c800 plastic.csv</x:v>
      </x:c>
      <x:c r="S441" s="12" t="n">
        <x:f>IF(O441=1,I441*J441,0)</x:f>
        <x:v>0</x:v>
      </x:c>
      <x:c r="T441" s="13" t="n">
        <x:f>IF(L441&gt;0,K441/L441,"n.a.")</x:f>
        <x:v>0.1354</x:v>
      </x:c>
      <x:c r="U441" s="12" t="n">
        <x:f>IF(Q441="Old cost",S441,0)</x:f>
        <x:v>0</x:v>
      </x:c>
      <x:c r="V441" s="12" t="n">
        <x:f>IF(Q441="Higher cost",S441,0)</x:f>
        <x:v>0</x:v>
      </x:c>
      <x:c r="W441" s="12" t="n">
        <x:f>IF(Q441="Unclassified",S441,0)</x:f>
        <x:v>0</x:v>
      </x:c>
      <x:c r="X441" s="12" t="n">
        <x:f>IF(AND(ISNUMBER(F441),F441&gt;0,F441&lt;=Summary!$D$5,H441&gt;0),H441*J441,0)</x:f>
        <x:v>0</x:v>
      </x:c>
    </x:row>
    <x:row r="442" ht="21" customHeight="1">
      <x:c r="A442" s="1" t="str">
        <x:v>60</x:v>
      </x:c>
      <x:c r="B442" s="1" t="str">
        <x:v>800BMARASC</x:v>
      </x:c>
      <x:c r="C442" s="1" t="str">
        <x:v>6102624</x:v>
      </x:c>
      <x:c r="D442" s="1" t="str">
        <x:v>0</x:v>
      </x:c>
      <x:c r="E442" s="1"/>
      <x:c r="F442" s="7" t="n">
        <x:v>44596</x:v>
      </x:c>
      <x:c r="G442" s="7" t="n">
        <x:v>44610</x:v>
      </x:c>
      <x:c r="H442" s="8" t="n">
        <x:v>0</x:v>
      </x:c>
      <x:c r="I442" s="8"/>
      <x:c r="J442" s="8" t="n">
        <x:v>1</x:v>
      </x:c>
      <x:c r="K442" s="9" t="n">
        <x:v>12.45</x:v>
      </x:c>
      <x:c r="L442" s="8" t="n">
        <x:v>100</x:v>
      </x:c>
      <x:c r="M442" s="10" t="n">
        <x:v>0</x:v>
      </x:c>
      <x:c r="N442" s="8" t="str">
        <x:v>i</x:v>
      </x:c>
      <x:c r="O442" s="8" t="n">
        <x:v>0</x:v>
      </x:c>
      <x:c r="P442" s="11" t="n">
        <x:f>MIN(X442,MAX(0,SUMIFS('Current inventory'!$D$2:$D$127,'Current inventory'!$A$2:$A$127,A442,'Current inventory'!$B$2:$B$127,B442)-SUMIFS($X$2:X441,$A$2:A441,A442,$B$2:B441,B442)))</x:f>
        <x:v>0</x:v>
      </x:c>
      <x:c r="Q442" s="1" t="str">
        <x:v>Received history</x:v>
      </x:c>
      <x:c r="R442" s="1" t="str">
        <x:v>Receipts data film c400 c800 plastic.csv</x:v>
      </x:c>
      <x:c r="S442" s="12" t="n">
        <x:f>IF(O442=1,I442*J442,0)</x:f>
        <x:v>0</x:v>
      </x:c>
      <x:c r="T442" s="13" t="n">
        <x:f>IF(L442&gt;0,K442/L442,"n.a.")</x:f>
        <x:v>0.1245</x:v>
      </x:c>
      <x:c r="U442" s="12" t="n">
        <x:f>IF(Q442="Old cost",S442,0)</x:f>
        <x:v>0</x:v>
      </x:c>
      <x:c r="V442" s="12" t="n">
        <x:f>IF(Q442="Higher cost",S442,0)</x:f>
        <x:v>0</x:v>
      </x:c>
      <x:c r="W442" s="12" t="n">
        <x:f>IF(Q442="Unclassified",S442,0)</x:f>
        <x:v>0</x:v>
      </x:c>
      <x:c r="X442" s="12" t="n">
        <x:f>IF(AND(ISNUMBER(F442),F442&gt;0,F442&lt;=Summary!$D$5,H442&gt;0),H442*J442,0)</x:f>
        <x:v>0</x:v>
      </x:c>
    </x:row>
    <x:row r="443" ht="21" customHeight="1">
      <x:c r="A443" s="1" t="str">
        <x:v>60</x:v>
      </x:c>
      <x:c r="B443" s="1" t="str">
        <x:v>800BWHTASC</x:v>
      </x:c>
      <x:c r="C443" s="1" t="str">
        <x:v>6102624</x:v>
      </x:c>
      <x:c r="D443" s="1" t="str">
        <x:v>0</x:v>
      </x:c>
      <x:c r="E443" s="1"/>
      <x:c r="F443" s="7" t="n">
        <x:v>44596</x:v>
      </x:c>
      <x:c r="G443" s="7" t="n">
        <x:v>44610</x:v>
      </x:c>
      <x:c r="H443" s="8" t="n">
        <x:v>0</x:v>
      </x:c>
      <x:c r="I443" s="8"/>
      <x:c r="J443" s="8" t="n">
        <x:v>1</x:v>
      </x:c>
      <x:c r="K443" s="9" t="n">
        <x:v>13.54</x:v>
      </x:c>
      <x:c r="L443" s="8" t="n">
        <x:v>100</x:v>
      </x:c>
      <x:c r="M443" s="10" t="n">
        <x:v>0</x:v>
      </x:c>
      <x:c r="N443" s="8" t="str">
        <x:v>i</x:v>
      </x:c>
      <x:c r="O443" s="8" t="n">
        <x:v>0</x:v>
      </x:c>
      <x:c r="P443" s="11" t="n">
        <x:f>MIN(X443,MAX(0,SUMIFS('Current inventory'!$D$2:$D$127,'Current inventory'!$A$2:$A$127,A443,'Current inventory'!$B$2:$B$127,B443)-SUMIFS($X$2:X442,$A$2:A442,A443,$B$2:B442,B443)))</x:f>
        <x:v>0</x:v>
      </x:c>
      <x:c r="Q443" s="1" t="str">
        <x:v>Received history</x:v>
      </x:c>
      <x:c r="R443" s="1" t="str">
        <x:v>Receipts data film c400 c800 plastic.csv</x:v>
      </x:c>
      <x:c r="S443" s="12" t="n">
        <x:f>IF(O443=1,I443*J443,0)</x:f>
        <x:v>0</x:v>
      </x:c>
      <x:c r="T443" s="13" t="n">
        <x:f>IF(L443&gt;0,K443/L443,"n.a.")</x:f>
        <x:v>0.1354</x:v>
      </x:c>
      <x:c r="U443" s="12" t="n">
        <x:f>IF(Q443="Old cost",S443,0)</x:f>
        <x:v>0</x:v>
      </x:c>
      <x:c r="V443" s="12" t="n">
        <x:f>IF(Q443="Higher cost",S443,0)</x:f>
        <x:v>0</x:v>
      </x:c>
      <x:c r="W443" s="12" t="n">
        <x:f>IF(Q443="Unclassified",S443,0)</x:f>
        <x:v>0</x:v>
      </x:c>
      <x:c r="X443" s="12" t="n">
        <x:f>IF(AND(ISNUMBER(F443),F443&gt;0,F443&lt;=Summary!$D$5,H443&gt;0),H443*J443,0)</x:f>
        <x:v>0</x:v>
      </x:c>
    </x:row>
    <x:row r="444" ht="21" customHeight="1">
      <x:c r="A444" s="1" t="str">
        <x:v>60</x:v>
      </x:c>
      <x:c r="B444" s="1" t="str">
        <x:v>800FGE</x:v>
      </x:c>
      <x:c r="C444" s="1" t="str">
        <x:v>6102624</x:v>
      </x:c>
      <x:c r="D444" s="1" t="str">
        <x:v>0</x:v>
      </x:c>
      <x:c r="E444" s="1"/>
      <x:c r="F444" s="7" t="n">
        <x:v>44596</x:v>
      </x:c>
      <x:c r="G444" s="7" t="n">
        <x:v>44610</x:v>
      </x:c>
      <x:c r="H444" s="8" t="n">
        <x:v>0</x:v>
      </x:c>
      <x:c r="I444" s="8"/>
      <x:c r="J444" s="8" t="n">
        <x:v>1</x:v>
      </x:c>
      <x:c r="K444" s="9" t="n">
        <x:v>980</x:v>
      </x:c>
      <x:c r="L444" s="8" t="n">
        <x:v>100</x:v>
      </x:c>
      <x:c r="M444" s="10" t="n">
        <x:v>0</x:v>
      </x:c>
      <x:c r="N444" s="8" t="str">
        <x:v>i</x:v>
      </x:c>
      <x:c r="O444" s="8" t="n">
        <x:v>0</x:v>
      </x:c>
      <x:c r="P444" s="11" t="n">
        <x:f>MIN(X444,MAX(0,SUMIFS('Current inventory'!$D$2:$D$127,'Current inventory'!$A$2:$A$127,A444,'Current inventory'!$B$2:$B$127,B444)-SUMIFS($X$2:X443,$A$2:A443,A444,$B$2:B443,B444)))</x:f>
        <x:v>0</x:v>
      </x:c>
      <x:c r="Q444" s="1" t="str">
        <x:v>Received history</x:v>
      </x:c>
      <x:c r="R444" s="1" t="str">
        <x:v>Receipts data film c400 c800 plastic.csv</x:v>
      </x:c>
      <x:c r="S444" s="12" t="n">
        <x:f>IF(O444=1,I444*J444,0)</x:f>
        <x:v>0</x:v>
      </x:c>
      <x:c r="T444" s="13" t="n">
        <x:f>IF(L444&gt;0,K444/L444,"n.a.")</x:f>
        <x:v>9.8</x:v>
      </x:c>
      <x:c r="U444" s="12" t="n">
        <x:f>IF(Q444="Old cost",S444,0)</x:f>
        <x:v>0</x:v>
      </x:c>
      <x:c r="V444" s="12" t="n">
        <x:f>IF(Q444="Higher cost",S444,0)</x:f>
        <x:v>0</x:v>
      </x:c>
      <x:c r="W444" s="12" t="n">
        <x:f>IF(Q444="Unclassified",S444,0)</x:f>
        <x:v>0</x:v>
      </x:c>
      <x:c r="X444" s="12" t="n">
        <x:f>IF(AND(ISNUMBER(F444),F444&gt;0,F444&lt;=Summary!$D$5,H444&gt;0),H444*J444,0)</x:f>
        <x:v>0</x:v>
      </x:c>
    </x:row>
    <x:row r="445" ht="21" customHeight="1">
      <x:c r="A445" s="1" t="str">
        <x:v>60</x:v>
      </x:c>
      <x:c r="B445" s="1" t="str">
        <x:v>800MARE</x:v>
      </x:c>
      <x:c r="C445" s="1" t="str">
        <x:v>6102624</x:v>
      </x:c>
      <x:c r="D445" s="1" t="str">
        <x:v>0</x:v>
      </x:c>
      <x:c r="E445" s="1"/>
      <x:c r="F445" s="7" t="n">
        <x:v>44596</x:v>
      </x:c>
      <x:c r="G445" s="7" t="n">
        <x:v>44610</x:v>
      </x:c>
      <x:c r="H445" s="8" t="n">
        <x:v>0</x:v>
      </x:c>
      <x:c r="I445" s="8"/>
      <x:c r="J445" s="8" t="n">
        <x:v>1</x:v>
      </x:c>
      <x:c r="K445" s="9" t="n">
        <x:v>980</x:v>
      </x:c>
      <x:c r="L445" s="8" t="n">
        <x:v>1000</x:v>
      </x:c>
      <x:c r="M445" s="10" t="n">
        <x:v>0</x:v>
      </x:c>
      <x:c r="N445" s="8" t="str">
        <x:v>i</x:v>
      </x:c>
      <x:c r="O445" s="8" t="n">
        <x:v>0</x:v>
      </x:c>
      <x:c r="P445" s="11" t="n">
        <x:f>MIN(X445,MAX(0,SUMIFS('Current inventory'!$D$2:$D$127,'Current inventory'!$A$2:$A$127,A445,'Current inventory'!$B$2:$B$127,B445)-SUMIFS($X$2:X444,$A$2:A444,A445,$B$2:B444,B445)))</x:f>
        <x:v>0</x:v>
      </x:c>
      <x:c r="Q445" s="1" t="str">
        <x:v>Received history</x:v>
      </x:c>
      <x:c r="R445" s="1" t="str">
        <x:v>Receipts data film c400 c800 plastic.csv</x:v>
      </x:c>
      <x:c r="S445" s="12" t="n">
        <x:f>IF(O445=1,I445*J445,0)</x:f>
        <x:v>0</x:v>
      </x:c>
      <x:c r="T445" s="13" t="n">
        <x:f>IF(L445&gt;0,K445/L445,"n.a.")</x:f>
        <x:v>0.98</x:v>
      </x:c>
      <x:c r="U445" s="12" t="n">
        <x:f>IF(Q445="Old cost",S445,0)</x:f>
        <x:v>0</x:v>
      </x:c>
      <x:c r="V445" s="12" t="n">
        <x:f>IF(Q445="Higher cost",S445,0)</x:f>
        <x:v>0</x:v>
      </x:c>
      <x:c r="W445" s="12" t="n">
        <x:f>IF(Q445="Unclassified",S445,0)</x:f>
        <x:v>0</x:v>
      </x:c>
      <x:c r="X445" s="12" t="n">
        <x:f>IF(AND(ISNUMBER(F445),F445&gt;0,F445&lt;=Summary!$D$5,H445&gt;0),H445*J445,0)</x:f>
        <x:v>0</x:v>
      </x:c>
    </x:row>
    <x:row r="446" ht="21" customHeight="1">
      <x:c r="A446" s="1" t="str">
        <x:v>30</x:v>
      </x:c>
      <x:c r="B446" s="1" t="str">
        <x:v>800BNAVASC</x:v>
      </x:c>
      <x:c r="C446" s="1" t="str">
        <x:v>3003704</x:v>
      </x:c>
      <x:c r="D446" s="1" t="str">
        <x:v>0</x:v>
      </x:c>
      <x:c r="E446" s="1"/>
      <x:c r="F446" s="7" t="n">
        <x:v>44545</x:v>
      </x:c>
      <x:c r="G446" s="7" t="n">
        <x:v>44545</x:v>
      </x:c>
      <x:c r="H446" s="8" t="n">
        <x:v>40000</x:v>
      </x:c>
      <x:c r="I446" s="8"/>
      <x:c r="J446" s="8" t="n">
        <x:v>1</x:v>
      </x:c>
      <x:c r="K446" s="9" t="n">
        <x:v>11.79</x:v>
      </x:c>
      <x:c r="L446" s="8" t="n">
        <x:v>100</x:v>
      </x:c>
      <x:c r="M446" s="10" t="n">
        <x:v>5080</x:v>
      </x:c>
      <x:c r="N446" s="8" t="str">
        <x:v>i</x:v>
      </x:c>
      <x:c r="O446" s="8" t="n">
        <x:v>0</x:v>
      </x:c>
      <x:c r="P446" s="11" t="n">
        <x:f>MIN(X446,MAX(0,SUMIFS('Current inventory'!$D$2:$D$127,'Current inventory'!$A$2:$A$127,A446,'Current inventory'!$B$2:$B$127,B446)-SUMIFS($X$2:X445,$A$2:A445,A446,$B$2:B445,B446)))</x:f>
        <x:v>0</x:v>
      </x:c>
      <x:c r="Q446" s="1" t="str">
        <x:v>Received history</x:v>
      </x:c>
      <x:c r="R446" s="1" t="str">
        <x:v>Receipts data film c400 c800 plastic.csv</x:v>
      </x:c>
      <x:c r="S446" s="12" t="n">
        <x:f>IF(O446=1,I446*J446,0)</x:f>
        <x:v>0</x:v>
      </x:c>
      <x:c r="T446" s="13" t="n">
        <x:f>IF(L446&gt;0,K446/L446,"n.a.")</x:f>
        <x:v>0.11789999999999999</x:v>
      </x:c>
      <x:c r="U446" s="12" t="n">
        <x:f>IF(Q446="Old cost",S446,0)</x:f>
        <x:v>0</x:v>
      </x:c>
      <x:c r="V446" s="12" t="n">
        <x:f>IF(Q446="Higher cost",S446,0)</x:f>
        <x:v>0</x:v>
      </x:c>
      <x:c r="W446" s="12" t="n">
        <x:f>IF(Q446="Unclassified",S446,0)</x:f>
        <x:v>0</x:v>
      </x:c>
      <x:c r="X446" s="12" t="n">
        <x:f>IF(AND(ISNUMBER(F446),F446&gt;0,F446&lt;=Summary!$D$5,H446&gt;0),H446*J446,0)</x:f>
        <x:v>40000</x:v>
      </x:c>
    </x:row>
    <x:row r="447" ht="21" customHeight="1">
      <x:c r="A447" s="1" t="str">
        <x:v>10</x:v>
      </x:c>
      <x:c r="B447" s="1" t="str">
        <x:v>800BLKE</x:v>
      </x:c>
      <x:c r="C447" s="1" t="str">
        <x:v>1054198</x:v>
      </x:c>
      <x:c r="D447" s="1" t="str">
        <x:v>0</x:v>
      </x:c>
      <x:c r="E447" s="1"/>
      <x:c r="F447" s="7" t="n">
        <x:v>44544</x:v>
      </x:c>
      <x:c r="G447" s="7" t="n">
        <x:v>44543</x:v>
      </x:c>
      <x:c r="H447" s="8" t="n">
        <x:v>6000</x:v>
      </x:c>
      <x:c r="I447" s="8"/>
      <x:c r="J447" s="8" t="n">
        <x:v>1</x:v>
      </x:c>
      <x:c r="K447" s="9" t="n">
        <x:v>720</x:v>
      </x:c>
      <x:c r="L447" s="8" t="n">
        <x:v>1000</x:v>
      </x:c>
      <x:c r="M447" s="10" t="n">
        <x:v>4770</x:v>
      </x:c>
      <x:c r="N447" s="8" t="str">
        <x:v>i</x:v>
      </x:c>
      <x:c r="O447" s="8" t="n">
        <x:v>0</x:v>
      </x:c>
      <x:c r="P447" s="11" t="n">
        <x:f>MIN(X447,MAX(0,SUMIFS('Current inventory'!$D$2:$D$127,'Current inventory'!$A$2:$A$127,A447,'Current inventory'!$B$2:$B$127,B447)-SUMIFS($X$2:X446,$A$2:A446,A447,$B$2:B446,B447)))</x:f>
        <x:v>0</x:v>
      </x:c>
      <x:c r="Q447" s="1" t="str">
        <x:v>Received history</x:v>
      </x:c>
      <x:c r="R447" s="1" t="str">
        <x:v>Receipts data film c400 c800 plastic.csv</x:v>
      </x:c>
      <x:c r="S447" s="12" t="n">
        <x:f>IF(O447=1,I447*J447,0)</x:f>
        <x:v>0</x:v>
      </x:c>
      <x:c r="T447" s="13" t="n">
        <x:f>IF(L447&gt;0,K447/L447,"n.a.")</x:f>
        <x:v>0.72</x:v>
      </x:c>
      <x:c r="U447" s="12" t="n">
        <x:f>IF(Q447="Old cost",S447,0)</x:f>
        <x:v>0</x:v>
      </x:c>
      <x:c r="V447" s="12" t="n">
        <x:f>IF(Q447="Higher cost",S447,0)</x:f>
        <x:v>0</x:v>
      </x:c>
      <x:c r="W447" s="12" t="n">
        <x:f>IF(Q447="Unclassified",S447,0)</x:f>
        <x:v>0</x:v>
      </x:c>
      <x:c r="X447" s="12" t="n">
        <x:f>IF(AND(ISNUMBER(F447),F447&gt;0,F447&lt;=Summary!$D$5,H447&gt;0),H447*J447,0)</x:f>
        <x:v>6000</x:v>
      </x:c>
    </x:row>
    <x:row r="448" ht="21" customHeight="1">
      <x:c r="A448" s="1" t="str">
        <x:v>10</x:v>
      </x:c>
      <x:c r="B448" s="1" t="str">
        <x:v>800BNAVASC</x:v>
      </x:c>
      <x:c r="C448" s="1" t="str">
        <x:v>1054198</x:v>
      </x:c>
      <x:c r="D448" s="1" t="str">
        <x:v>0</x:v>
      </x:c>
      <x:c r="E448" s="1"/>
      <x:c r="F448" s="7" t="n">
        <x:v>44544</x:v>
      </x:c>
      <x:c r="G448" s="7" t="n">
        <x:v>44543</x:v>
      </x:c>
      <x:c r="H448" s="8" t="n">
        <x:v>40000</x:v>
      </x:c>
      <x:c r="I448" s="8"/>
      <x:c r="J448" s="8" t="n">
        <x:v>1</x:v>
      </x:c>
      <x:c r="K448" s="9" t="n">
        <x:v>11.79</x:v>
      </x:c>
      <x:c r="L448" s="8" t="n">
        <x:v>100</x:v>
      </x:c>
      <x:c r="M448" s="10" t="n">
        <x:v>5080</x:v>
      </x:c>
      <x:c r="N448" s="8" t="str">
        <x:v>i</x:v>
      </x:c>
      <x:c r="O448" s="8" t="n">
        <x:v>0</x:v>
      </x:c>
      <x:c r="P448" s="11" t="n">
        <x:f>MIN(X448,MAX(0,SUMIFS('Current inventory'!$D$2:$D$127,'Current inventory'!$A$2:$A$127,A448,'Current inventory'!$B$2:$B$127,B448)-SUMIFS($X$2:X447,$A$2:A447,A448,$B$2:B447,B448)))</x:f>
        <x:v>0</x:v>
      </x:c>
      <x:c r="Q448" s="1" t="str">
        <x:v>Received history</x:v>
      </x:c>
      <x:c r="R448" s="1" t="str">
        <x:v>Receipts data film c400 c800 plastic.csv</x:v>
      </x:c>
      <x:c r="S448" s="12" t="n">
        <x:f>IF(O448=1,I448*J448,0)</x:f>
        <x:v>0</x:v>
      </x:c>
      <x:c r="T448" s="13" t="n">
        <x:f>IF(L448&gt;0,K448/L448,"n.a.")</x:f>
        <x:v>0.11789999999999999</x:v>
      </x:c>
      <x:c r="U448" s="12" t="n">
        <x:f>IF(Q448="Old cost",S448,0)</x:f>
        <x:v>0</x:v>
      </x:c>
      <x:c r="V448" s="12" t="n">
        <x:f>IF(Q448="Higher cost",S448,0)</x:f>
        <x:v>0</x:v>
      </x:c>
      <x:c r="W448" s="12" t="n">
        <x:f>IF(Q448="Unclassified",S448,0)</x:f>
        <x:v>0</x:v>
      </x:c>
      <x:c r="X448" s="12" t="n">
        <x:f>IF(AND(ISNUMBER(F448),F448&gt;0,F448&lt;=Summary!$D$5,H448&gt;0),H448*J448,0)</x:f>
        <x:v>40000</x:v>
      </x:c>
    </x:row>
    <x:row r="449" ht="21" customHeight="1">
      <x:c r="A449" s="1" t="str">
        <x:v>10</x:v>
      </x:c>
      <x:c r="B449" s="1" t="str">
        <x:v>800NAVE</x:v>
      </x:c>
      <x:c r="C449" s="1" t="str">
        <x:v>1054198</x:v>
      </x:c>
      <x:c r="D449" s="1" t="str">
        <x:v>0</x:v>
      </x:c>
      <x:c r="E449" s="1"/>
      <x:c r="F449" s="7" t="n">
        <x:v>44544</x:v>
      </x:c>
      <x:c r="G449" s="7" t="n">
        <x:v>44543</x:v>
      </x:c>
      <x:c r="H449" s="8" t="n">
        <x:v>4500</x:v>
      </x:c>
      <x:c r="I449" s="8"/>
      <x:c r="J449" s="8" t="n">
        <x:v>1</x:v>
      </x:c>
      <x:c r="K449" s="9" t="n">
        <x:v>930</x:v>
      </x:c>
      <x:c r="L449" s="8" t="n">
        <x:v>1000</x:v>
      </x:c>
      <x:c r="M449" s="10" t="n">
        <x:v>4504.5</x:v>
      </x:c>
      <x:c r="N449" s="8" t="str">
        <x:v>i</x:v>
      </x:c>
      <x:c r="O449" s="8" t="n">
        <x:v>0</x:v>
      </x:c>
      <x:c r="P449" s="11" t="n">
        <x:f>MIN(X449,MAX(0,SUMIFS('Current inventory'!$D$2:$D$127,'Current inventory'!$A$2:$A$127,A449,'Current inventory'!$B$2:$B$127,B449)-SUMIFS($X$2:X448,$A$2:A448,A449,$B$2:B448,B449)))</x:f>
        <x:v>0</x:v>
      </x:c>
      <x:c r="Q449" s="1" t="str">
        <x:v>Received history</x:v>
      </x:c>
      <x:c r="R449" s="1" t="str">
        <x:v>Receipts data film c400 c800 plastic.csv</x:v>
      </x:c>
      <x:c r="S449" s="12" t="n">
        <x:f>IF(O449=1,I449*J449,0)</x:f>
        <x:v>0</x:v>
      </x:c>
      <x:c r="T449" s="13" t="n">
        <x:f>IF(L449&gt;0,K449/L449,"n.a.")</x:f>
        <x:v>0.93</x:v>
      </x:c>
      <x:c r="U449" s="12" t="n">
        <x:f>IF(Q449="Old cost",S449,0)</x:f>
        <x:v>0</x:v>
      </x:c>
      <x:c r="V449" s="12" t="n">
        <x:f>IF(Q449="Higher cost",S449,0)</x:f>
        <x:v>0</x:v>
      </x:c>
      <x:c r="W449" s="12" t="n">
        <x:f>IF(Q449="Unclassified",S449,0)</x:f>
        <x:v>0</x:v>
      </x:c>
      <x:c r="X449" s="12" t="n">
        <x:f>IF(AND(ISNUMBER(F449),F449&gt;0,F449&lt;=Summary!$D$5,H449&gt;0),H449*J449,0)</x:f>
        <x:v>4500</x:v>
      </x:c>
    </x:row>
    <x:row r="450" ht="21" customHeight="1">
      <x:c r="A450" s="1" t="str">
        <x:v>60</x:v>
      </x:c>
      <x:c r="B450" s="1" t="str">
        <x:v>800BLKE</x:v>
      </x:c>
      <x:c r="C450" s="1" t="str">
        <x:v>6102614</x:v>
      </x:c>
      <x:c r="D450" s="1" t="str">
        <x:v>0</x:v>
      </x:c>
      <x:c r="E450" s="1"/>
      <x:c r="F450" s="7" t="n">
        <x:v>44543</x:v>
      </x:c>
      <x:c r="G450" s="7" t="n">
        <x:v>44543</x:v>
      </x:c>
      <x:c r="H450" s="8" t="n">
        <x:v>4500</x:v>
      </x:c>
      <x:c r="I450" s="8"/>
      <x:c r="J450" s="8" t="n">
        <x:v>1</x:v>
      </x:c>
      <x:c r="K450" s="9" t="n">
        <x:v>720</x:v>
      </x:c>
      <x:c r="L450" s="8" t="n">
        <x:v>1000</x:v>
      </x:c>
      <x:c r="M450" s="10" t="n">
        <x:v>3577.5</x:v>
      </x:c>
      <x:c r="N450" s="8" t="str">
        <x:v>i</x:v>
      </x:c>
      <x:c r="O450" s="8" t="n">
        <x:v>0</x:v>
      </x:c>
      <x:c r="P450" s="11" t="n">
        <x:f>MIN(X450,MAX(0,SUMIFS('Current inventory'!$D$2:$D$127,'Current inventory'!$A$2:$A$127,A450,'Current inventory'!$B$2:$B$127,B450)-SUMIFS($X$2:X449,$A$2:A449,A450,$B$2:B449,B450)))</x:f>
        <x:v>0</x:v>
      </x:c>
      <x:c r="Q450" s="1" t="str">
        <x:v>Received history</x:v>
      </x:c>
      <x:c r="R450" s="1" t="str">
        <x:v>Receipts data film c400 c800 plastic.csv</x:v>
      </x:c>
      <x:c r="S450" s="12" t="n">
        <x:f>IF(O450=1,I450*J450,0)</x:f>
        <x:v>0</x:v>
      </x:c>
      <x:c r="T450" s="13" t="n">
        <x:f>IF(L450&gt;0,K450/L450,"n.a.")</x:f>
        <x:v>0.72</x:v>
      </x:c>
      <x:c r="U450" s="12" t="n">
        <x:f>IF(Q450="Old cost",S450,0)</x:f>
        <x:v>0</x:v>
      </x:c>
      <x:c r="V450" s="12" t="n">
        <x:f>IF(Q450="Higher cost",S450,0)</x:f>
        <x:v>0</x:v>
      </x:c>
      <x:c r="W450" s="12" t="n">
        <x:f>IF(Q450="Unclassified",S450,0)</x:f>
        <x:v>0</x:v>
      </x:c>
      <x:c r="X450" s="12" t="n">
        <x:f>IF(AND(ISNUMBER(F450),F450&gt;0,F450&lt;=Summary!$D$5,H450&gt;0),H450*J450,0)</x:f>
        <x:v>4500</x:v>
      </x:c>
    </x:row>
    <x:row r="451" ht="21" customHeight="1">
      <x:c r="A451" s="1" t="str">
        <x:v>60</x:v>
      </x:c>
      <x:c r="B451" s="1" t="str">
        <x:v>800BNAVASC</x:v>
      </x:c>
      <x:c r="C451" s="1" t="str">
        <x:v>6102614</x:v>
      </x:c>
      <x:c r="D451" s="1" t="str">
        <x:v>0</x:v>
      </x:c>
      <x:c r="E451" s="1"/>
      <x:c r="F451" s="7" t="n">
        <x:v>44543</x:v>
      </x:c>
      <x:c r="G451" s="7" t="n">
        <x:v>44543</x:v>
      </x:c>
      <x:c r="H451" s="8" t="n">
        <x:v>40000</x:v>
      </x:c>
      <x:c r="I451" s="8"/>
      <x:c r="J451" s="8" t="n">
        <x:v>1</x:v>
      </x:c>
      <x:c r="K451" s="9" t="n">
        <x:v>11.79</x:v>
      </x:c>
      <x:c r="L451" s="8" t="n">
        <x:v>100</x:v>
      </x:c>
      <x:c r="M451" s="10" t="n">
        <x:v>5080</x:v>
      </x:c>
      <x:c r="N451" s="8" t="str">
        <x:v>i</x:v>
      </x:c>
      <x:c r="O451" s="8" t="n">
        <x:v>0</x:v>
      </x:c>
      <x:c r="P451" s="11" t="n">
        <x:f>MIN(X451,MAX(0,SUMIFS('Current inventory'!$D$2:$D$127,'Current inventory'!$A$2:$A$127,A451,'Current inventory'!$B$2:$B$127,B451)-SUMIFS($X$2:X450,$A$2:A450,A451,$B$2:B450,B451)))</x:f>
        <x:v>0</x:v>
      </x:c>
      <x:c r="Q451" s="1" t="str">
        <x:v>Received history</x:v>
      </x:c>
      <x:c r="R451" s="1" t="str">
        <x:v>Receipts data film c400 c800 plastic.csv</x:v>
      </x:c>
      <x:c r="S451" s="12" t="n">
        <x:f>IF(O451=1,I451*J451,0)</x:f>
        <x:v>0</x:v>
      </x:c>
      <x:c r="T451" s="13" t="n">
        <x:f>IF(L451&gt;0,K451/L451,"n.a.")</x:f>
        <x:v>0.11789999999999999</x:v>
      </x:c>
      <x:c r="U451" s="12" t="n">
        <x:f>IF(Q451="Old cost",S451,0)</x:f>
        <x:v>0</x:v>
      </x:c>
      <x:c r="V451" s="12" t="n">
        <x:f>IF(Q451="Higher cost",S451,0)</x:f>
        <x:v>0</x:v>
      </x:c>
      <x:c r="W451" s="12" t="n">
        <x:f>IF(Q451="Unclassified",S451,0)</x:f>
        <x:v>0</x:v>
      </x:c>
      <x:c r="X451" s="12" t="n">
        <x:f>IF(AND(ISNUMBER(F451),F451&gt;0,F451&lt;=Summary!$D$5,H451&gt;0),H451*J451,0)</x:f>
        <x:v>40000</x:v>
      </x:c>
    </x:row>
    <x:row r="452" ht="21" customHeight="1">
      <x:c r="A452" s="1" t="str">
        <x:v>60</x:v>
      </x:c>
      <x:c r="B452" s="1" t="str">
        <x:v>800NAVE</x:v>
      </x:c>
      <x:c r="C452" s="1" t="str">
        <x:v>6102614</x:v>
      </x:c>
      <x:c r="D452" s="1" t="str">
        <x:v>0</x:v>
      </x:c>
      <x:c r="E452" s="1"/>
      <x:c r="F452" s="7" t="n">
        <x:v>44543</x:v>
      </x:c>
      <x:c r="G452" s="7" t="n">
        <x:v>44543</x:v>
      </x:c>
      <x:c r="H452" s="8" t="n">
        <x:v>2250</x:v>
      </x:c>
      <x:c r="I452" s="8"/>
      <x:c r="J452" s="8" t="n">
        <x:v>1</x:v>
      </x:c>
      <x:c r="K452" s="9" t="n">
        <x:v>930</x:v>
      </x:c>
      <x:c r="L452" s="8" t="n">
        <x:v>1000</x:v>
      </x:c>
      <x:c r="M452" s="10" t="n">
        <x:v>2252.25</x:v>
      </x:c>
      <x:c r="N452" s="8" t="str">
        <x:v>i</x:v>
      </x:c>
      <x:c r="O452" s="8" t="n">
        <x:v>0</x:v>
      </x:c>
      <x:c r="P452" s="11" t="n">
        <x:f>MIN(X452,MAX(0,SUMIFS('Current inventory'!$D$2:$D$127,'Current inventory'!$A$2:$A$127,A452,'Current inventory'!$B$2:$B$127,B452)-SUMIFS($X$2:X451,$A$2:A451,A452,$B$2:B451,B452)))</x:f>
        <x:v>0</x:v>
      </x:c>
      <x:c r="Q452" s="1" t="str">
        <x:v>Received history</x:v>
      </x:c>
      <x:c r="R452" s="1" t="str">
        <x:v>Receipts data film c400 c800 plastic.csv</x:v>
      </x:c>
      <x:c r="S452" s="12" t="n">
        <x:f>IF(O452=1,I452*J452,0)</x:f>
        <x:v>0</x:v>
      </x:c>
      <x:c r="T452" s="13" t="n">
        <x:f>IF(L452&gt;0,K452/L452,"n.a.")</x:f>
        <x:v>0.93</x:v>
      </x:c>
      <x:c r="U452" s="12" t="n">
        <x:f>IF(Q452="Old cost",S452,0)</x:f>
        <x:v>0</x:v>
      </x:c>
      <x:c r="V452" s="12" t="n">
        <x:f>IF(Q452="Higher cost",S452,0)</x:f>
        <x:v>0</x:v>
      </x:c>
      <x:c r="W452" s="12" t="n">
        <x:f>IF(Q452="Unclassified",S452,0)</x:f>
        <x:v>0</x:v>
      </x:c>
      <x:c r="X452" s="12" t="n">
        <x:f>IF(AND(ISNUMBER(F452),F452&gt;0,F452&lt;=Summary!$D$5,H452&gt;0),H452*J452,0)</x:f>
        <x:v>2250</x:v>
      </x:c>
    </x:row>
    <x:row r="453" ht="21" customHeight="1">
      <x:c r="A453" s="1" t="str">
        <x:v>30</x:v>
      </x:c>
      <x:c r="B453" s="1" t="str">
        <x:v>800BBLKASC</x:v>
      </x:c>
      <x:c r="C453" s="1" t="str">
        <x:v>3003696</x:v>
      </x:c>
      <x:c r="D453" s="1" t="str">
        <x:v>0</x:v>
      </x:c>
      <x:c r="E453" s="1"/>
      <x:c r="F453" s="7" t="n">
        <x:v>44510</x:v>
      </x:c>
      <x:c r="G453" s="7" t="n">
        <x:v>44512</x:v>
      </x:c>
      <x:c r="H453" s="8" t="n">
        <x:v>80000</x:v>
      </x:c>
      <x:c r="I453" s="8"/>
      <x:c r="J453" s="8" t="n">
        <x:v>1</x:v>
      </x:c>
      <x:c r="K453" s="9" t="n">
        <x:v>9.83</x:v>
      </x:c>
      <x:c r="L453" s="8" t="n">
        <x:v>100</x:v>
      </x:c>
      <x:c r="M453" s="10" t="n">
        <x:v>8952</x:v>
      </x:c>
      <x:c r="N453" s="8" t="str">
        <x:v>i</x:v>
      </x:c>
      <x:c r="O453" s="8" t="n">
        <x:v>0</x:v>
      </x:c>
      <x:c r="P453" s="11" t="n">
        <x:f>MIN(X453,MAX(0,SUMIFS('Current inventory'!$D$2:$D$127,'Current inventory'!$A$2:$A$127,A453,'Current inventory'!$B$2:$B$127,B453)-SUMIFS($X$2:X452,$A$2:A452,A453,$B$2:B452,B453)))</x:f>
        <x:v>0</x:v>
      </x:c>
      <x:c r="Q453" s="1" t="str">
        <x:v>Received history</x:v>
      </x:c>
      <x:c r="R453" s="1" t="str">
        <x:v>Receipts data film c400 c800 plastic.csv</x:v>
      </x:c>
      <x:c r="S453" s="12" t="n">
        <x:f>IF(O453=1,I453*J453,0)</x:f>
        <x:v>0</x:v>
      </x:c>
      <x:c r="T453" s="13" t="n">
        <x:f>IF(L453&gt;0,K453/L453,"n.a.")</x:f>
        <x:v>0.0983</x:v>
      </x:c>
      <x:c r="U453" s="12" t="n">
        <x:f>IF(Q453="Old cost",S453,0)</x:f>
        <x:v>0</x:v>
      </x:c>
      <x:c r="V453" s="12" t="n">
        <x:f>IF(Q453="Higher cost",S453,0)</x:f>
        <x:v>0</x:v>
      </x:c>
      <x:c r="W453" s="12" t="n">
        <x:f>IF(Q453="Unclassified",S453,0)</x:f>
        <x:v>0</x:v>
      </x:c>
      <x:c r="X453" s="12" t="n">
        <x:f>IF(AND(ISNUMBER(F453),F453&gt;0,F453&lt;=Summary!$D$5,H453&gt;0),H453*J453,0)</x:f>
        <x:v>80000</x:v>
      </x:c>
    </x:row>
    <x:row r="454" ht="21" customHeight="1">
      <x:c r="A454" s="1" t="str">
        <x:v>10</x:v>
      </x:c>
      <x:c r="B454" s="1" t="str">
        <x:v>800BBLKASC</x:v>
      </x:c>
      <x:c r="C454" s="1" t="str">
        <x:v>1054070</x:v>
      </x:c>
      <x:c r="D454" s="1" t="str">
        <x:v>0</x:v>
      </x:c>
      <x:c r="E454" s="1"/>
      <x:c r="F454" s="7" t="n">
        <x:v>44510</x:v>
      </x:c>
      <x:c r="G454" s="7" t="n">
        <x:v>44510</x:v>
      </x:c>
      <x:c r="H454" s="8" t="n">
        <x:v>240000</x:v>
      </x:c>
      <x:c r="I454" s="8"/>
      <x:c r="J454" s="8" t="n">
        <x:v>1</x:v>
      </x:c>
      <x:c r="K454" s="9" t="n">
        <x:v>9.83</x:v>
      </x:c>
      <x:c r="L454" s="8" t="n">
        <x:v>100</x:v>
      </x:c>
      <x:c r="M454" s="10" t="n">
        <x:v>26856</x:v>
      </x:c>
      <x:c r="N454" s="8" t="str">
        <x:v>i</x:v>
      </x:c>
      <x:c r="O454" s="8" t="n">
        <x:v>0</x:v>
      </x:c>
      <x:c r="P454" s="11" t="n">
        <x:f>MIN(X454,MAX(0,SUMIFS('Current inventory'!$D$2:$D$127,'Current inventory'!$A$2:$A$127,A454,'Current inventory'!$B$2:$B$127,B454)-SUMIFS($X$2:X453,$A$2:A453,A454,$B$2:B453,B454)))</x:f>
        <x:v>0</x:v>
      </x:c>
      <x:c r="Q454" s="1" t="str">
        <x:v>Received history</x:v>
      </x:c>
      <x:c r="R454" s="1" t="str">
        <x:v>Receipts data film c400 c800 plastic.csv</x:v>
      </x:c>
      <x:c r="S454" s="12" t="n">
        <x:f>IF(O454=1,I454*J454,0)</x:f>
        <x:v>0</x:v>
      </x:c>
      <x:c r="T454" s="13" t="n">
        <x:f>IF(L454&gt;0,K454/L454,"n.a.")</x:f>
        <x:v>0.0983</x:v>
      </x:c>
      <x:c r="U454" s="12" t="n">
        <x:f>IF(Q454="Old cost",S454,0)</x:f>
        <x:v>0</x:v>
      </x:c>
      <x:c r="V454" s="12" t="n">
        <x:f>IF(Q454="Higher cost",S454,0)</x:f>
        <x:v>0</x:v>
      </x:c>
      <x:c r="W454" s="12" t="n">
        <x:f>IF(Q454="Unclassified",S454,0)</x:f>
        <x:v>0</x:v>
      </x:c>
      <x:c r="X454" s="12" t="n">
        <x:f>IF(AND(ISNUMBER(F454),F454&gt;0,F454&lt;=Summary!$D$5,H454&gt;0),H454*J454,0)</x:f>
        <x:v>240000</x:v>
      </x:c>
    </x:row>
    <x:row r="455" ht="21" customHeight="1">
      <x:c r="A455" s="1" t="str">
        <x:v>60</x:v>
      </x:c>
      <x:c r="B455" s="1" t="str">
        <x:v>800BBLKASC</x:v>
      </x:c>
      <x:c r="C455" s="1" t="str">
        <x:v>6102604</x:v>
      </x:c>
      <x:c r="D455" s="1" t="str">
        <x:v>0</x:v>
      </x:c>
      <x:c r="E455" s="1"/>
      <x:c r="F455" s="7" t="n">
        <x:v>44508</x:v>
      </x:c>
      <x:c r="G455" s="7" t="n">
        <x:v>44510</x:v>
      </x:c>
      <x:c r="H455" s="8" t="n">
        <x:v>160000</x:v>
      </x:c>
      <x:c r="I455" s="8"/>
      <x:c r="J455" s="8" t="n">
        <x:v>1</x:v>
      </x:c>
      <x:c r="K455" s="9" t="n">
        <x:v>9.83</x:v>
      </x:c>
      <x:c r="L455" s="8" t="n">
        <x:v>100</x:v>
      </x:c>
      <x:c r="M455" s="10" t="n">
        <x:v>17904</x:v>
      </x:c>
      <x:c r="N455" s="8" t="str">
        <x:v>i</x:v>
      </x:c>
      <x:c r="O455" s="8" t="n">
        <x:v>0</x:v>
      </x:c>
      <x:c r="P455" s="11" t="n">
        <x:f>MIN(X455,MAX(0,SUMIFS('Current inventory'!$D$2:$D$127,'Current inventory'!$A$2:$A$127,A455,'Current inventory'!$B$2:$B$127,B455)-SUMIFS($X$2:X454,$A$2:A454,A455,$B$2:B454,B455)))</x:f>
        <x:v>0</x:v>
      </x:c>
      <x:c r="Q455" s="1" t="str">
        <x:v>Received history</x:v>
      </x:c>
      <x:c r="R455" s="1" t="str">
        <x:v>Receipts data film c400 c800 plastic.csv</x:v>
      </x:c>
      <x:c r="S455" s="12" t="n">
        <x:f>IF(O455=1,I455*J455,0)</x:f>
        <x:v>0</x:v>
      </x:c>
      <x:c r="T455" s="13" t="n">
        <x:f>IF(L455&gt;0,K455/L455,"n.a.")</x:f>
        <x:v>0.0983</x:v>
      </x:c>
      <x:c r="U455" s="12" t="n">
        <x:f>IF(Q455="Old cost",S455,0)</x:f>
        <x:v>0</x:v>
      </x:c>
      <x:c r="V455" s="12" t="n">
        <x:f>IF(Q455="Higher cost",S455,0)</x:f>
        <x:v>0</x:v>
      </x:c>
      <x:c r="W455" s="12" t="n">
        <x:f>IF(Q455="Unclassified",S455,0)</x:f>
        <x:v>0</x:v>
      </x:c>
      <x:c r="X455" s="12" t="n">
        <x:f>IF(AND(ISNUMBER(F455),F455&gt;0,F455&lt;=Summary!$D$5,H455&gt;0),H455*J455,0)</x:f>
        <x:v>160000</x:v>
      </x:c>
    </x:row>
    <x:row r="456" ht="21" customHeight="1">
      <x:c r="A456" s="1" t="str">
        <x:v>10</x:v>
      </x:c>
      <x:c r="B456" s="1" t="str">
        <x:v>800BBLKASC</x:v>
      </x:c>
      <x:c r="C456" s="1" t="str">
        <x:v>1053937</x:v>
      </x:c>
      <x:c r="D456" s="1" t="str">
        <x:v>0</x:v>
      </x:c>
      <x:c r="E456" s="1"/>
      <x:c r="F456" s="7" t="n">
        <x:v>44482</x:v>
      </x:c>
      <x:c r="G456" s="7" t="n">
        <x:v>44482</x:v>
      </x:c>
      <x:c r="H456" s="8" t="n">
        <x:v>80000</x:v>
      </x:c>
      <x:c r="I456" s="8"/>
      <x:c r="J456" s="8" t="n">
        <x:v>1</x:v>
      </x:c>
      <x:c r="K456" s="9" t="n">
        <x:v>9.83</x:v>
      </x:c>
      <x:c r="L456" s="8" t="n">
        <x:v>100</x:v>
      </x:c>
      <x:c r="M456" s="10" t="n">
        <x:v>7160</x:v>
      </x:c>
      <x:c r="N456" s="8" t="str">
        <x:v>i</x:v>
      </x:c>
      <x:c r="O456" s="8" t="n">
        <x:v>0</x:v>
      </x:c>
      <x:c r="P456" s="11" t="n">
        <x:f>MIN(X456,MAX(0,SUMIFS('Current inventory'!$D$2:$D$127,'Current inventory'!$A$2:$A$127,A456,'Current inventory'!$B$2:$B$127,B456)-SUMIFS($X$2:X455,$A$2:A455,A456,$B$2:B455,B456)))</x:f>
        <x:v>0</x:v>
      </x:c>
      <x:c r="Q456" s="1" t="str">
        <x:v>Received history</x:v>
      </x:c>
      <x:c r="R456" s="1" t="str">
        <x:v>Receipts data film c400 c800 plastic.csv</x:v>
      </x:c>
      <x:c r="S456" s="12" t="n">
        <x:f>IF(O456=1,I456*J456,0)</x:f>
        <x:v>0</x:v>
      </x:c>
      <x:c r="T456" s="13" t="n">
        <x:f>IF(L456&gt;0,K456/L456,"n.a.")</x:f>
        <x:v>0.0983</x:v>
      </x:c>
      <x:c r="U456" s="12" t="n">
        <x:f>IF(Q456="Old cost",S456,0)</x:f>
        <x:v>0</x:v>
      </x:c>
      <x:c r="V456" s="12" t="n">
        <x:f>IF(Q456="Higher cost",S456,0)</x:f>
        <x:v>0</x:v>
      </x:c>
      <x:c r="W456" s="12" t="n">
        <x:f>IF(Q456="Unclassified",S456,0)</x:f>
        <x:v>0</x:v>
      </x:c>
      <x:c r="X456" s="12" t="n">
        <x:f>IF(AND(ISNUMBER(F456),F456&gt;0,F456&lt;=Summary!$D$5,H456&gt;0),H456*J456,0)</x:f>
        <x:v>80000</x:v>
      </x:c>
    </x:row>
    <x:row r="457" ht="21" customHeight="1">
      <x:c r="A457" s="1" t="str">
        <x:v>60</x:v>
      </x:c>
      <x:c r="B457" s="1" t="str">
        <x:v>800BBLKASC</x:v>
      </x:c>
      <x:c r="C457" s="1" t="str">
        <x:v>6102586</x:v>
      </x:c>
      <x:c r="D457" s="1" t="str">
        <x:v>0</x:v>
      </x:c>
      <x:c r="E457" s="1"/>
      <x:c r="F457" s="7" t="n">
        <x:v>44481</x:v>
      </x:c>
      <x:c r="G457" s="7" t="n">
        <x:v>44481</x:v>
      </x:c>
      <x:c r="H457" s="8" t="n">
        <x:v>80000</x:v>
      </x:c>
      <x:c r="I457" s="8"/>
      <x:c r="J457" s="8" t="n">
        <x:v>1</x:v>
      </x:c>
      <x:c r="K457" s="9" t="n">
        <x:v>9.83</x:v>
      </x:c>
      <x:c r="L457" s="8" t="n">
        <x:v>100</x:v>
      </x:c>
      <x:c r="M457" s="10" t="n">
        <x:v>7160</x:v>
      </x:c>
      <x:c r="N457" s="8" t="str">
        <x:v>i</x:v>
      </x:c>
      <x:c r="O457" s="8" t="n">
        <x:v>0</x:v>
      </x:c>
      <x:c r="P457" s="11" t="n">
        <x:f>MIN(X457,MAX(0,SUMIFS('Current inventory'!$D$2:$D$127,'Current inventory'!$A$2:$A$127,A457,'Current inventory'!$B$2:$B$127,B457)-SUMIFS($X$2:X456,$A$2:A456,A457,$B$2:B456,B457)))</x:f>
        <x:v>0</x:v>
      </x:c>
      <x:c r="Q457" s="1" t="str">
        <x:v>Received history</x:v>
      </x:c>
      <x:c r="R457" s="1" t="str">
        <x:v>Receipts data film c400 c800 plastic.csv</x:v>
      </x:c>
      <x:c r="S457" s="12" t="n">
        <x:f>IF(O457=1,I457*J457,0)</x:f>
        <x:v>0</x:v>
      </x:c>
      <x:c r="T457" s="13" t="n">
        <x:f>IF(L457&gt;0,K457/L457,"n.a.")</x:f>
        <x:v>0.0983</x:v>
      </x:c>
      <x:c r="U457" s="12" t="n">
        <x:f>IF(Q457="Old cost",S457,0)</x:f>
        <x:v>0</x:v>
      </x:c>
      <x:c r="V457" s="12" t="n">
        <x:f>IF(Q457="Higher cost",S457,0)</x:f>
        <x:v>0</x:v>
      </x:c>
      <x:c r="W457" s="12" t="n">
        <x:f>IF(Q457="Unclassified",S457,0)</x:f>
        <x:v>0</x:v>
      </x:c>
      <x:c r="X457" s="12" t="n">
        <x:f>IF(AND(ISNUMBER(F457),F457&gt;0,F457&lt;=Summary!$D$5,H457&gt;0),H457*J457,0)</x:f>
        <x:v>80000</x:v>
      </x:c>
    </x:row>
    <x:row r="458" ht="21" customHeight="1">
      <x:c r="A458" s="1" t="str">
        <x:v>10</x:v>
      </x:c>
      <x:c r="B458" s="1" t="str">
        <x:v>800BBLKASC</x:v>
      </x:c>
      <x:c r="C458" s="1" t="str">
        <x:v>1053810</x:v>
      </x:c>
      <x:c r="D458" s="1" t="str">
        <x:v>0</x:v>
      </x:c>
      <x:c r="E458" s="1"/>
      <x:c r="F458" s="7" t="n">
        <x:v>44461</x:v>
      </x:c>
      <x:c r="G458" s="7" t="n">
        <x:v>44462</x:v>
      </x:c>
      <x:c r="H458" s="8" t="n">
        <x:v>40000</x:v>
      </x:c>
      <x:c r="I458" s="8"/>
      <x:c r="J458" s="8" t="n">
        <x:v>1</x:v>
      </x:c>
      <x:c r="K458" s="9" t="n">
        <x:v>9.25</x:v>
      </x:c>
      <x:c r="L458" s="8" t="n">
        <x:v>100</x:v>
      </x:c>
      <x:c r="M458" s="10" t="n">
        <x:v>3580</x:v>
      </x:c>
      <x:c r="N458" s="8" t="str">
        <x:v>i</x:v>
      </x:c>
      <x:c r="O458" s="8" t="n">
        <x:v>0</x:v>
      </x:c>
      <x:c r="P458" s="11" t="n">
        <x:f>MIN(X458,MAX(0,SUMIFS('Current inventory'!$D$2:$D$127,'Current inventory'!$A$2:$A$127,A458,'Current inventory'!$B$2:$B$127,B458)-SUMIFS($X$2:X457,$A$2:A457,A458,$B$2:B457,B458)))</x:f>
        <x:v>0</x:v>
      </x:c>
      <x:c r="Q458" s="1" t="str">
        <x:v>Received history</x:v>
      </x:c>
      <x:c r="R458" s="1" t="str">
        <x:v>Receipts data film c400 c800 plastic.csv</x:v>
      </x:c>
      <x:c r="S458" s="12" t="n">
        <x:f>IF(O458=1,I458*J458,0)</x:f>
        <x:v>0</x:v>
      </x:c>
      <x:c r="T458" s="13" t="n">
        <x:f>IF(L458&gt;0,K458/L458,"n.a.")</x:f>
        <x:v>0.0925</x:v>
      </x:c>
      <x:c r="U458" s="12" t="n">
        <x:f>IF(Q458="Old cost",S458,0)</x:f>
        <x:v>0</x:v>
      </x:c>
      <x:c r="V458" s="12" t="n">
        <x:f>IF(Q458="Higher cost",S458,0)</x:f>
        <x:v>0</x:v>
      </x:c>
      <x:c r="W458" s="12" t="n">
        <x:f>IF(Q458="Unclassified",S458,0)</x:f>
        <x:v>0</x:v>
      </x:c>
      <x:c r="X458" s="12" t="n">
        <x:f>IF(AND(ISNUMBER(F458),F458&gt;0,F458&lt;=Summary!$D$5,H458&gt;0),H458*J458,0)</x:f>
        <x:v>40000</x:v>
      </x:c>
    </x:row>
    <x:row r="459" ht="21" customHeight="1">
      <x:c r="A459" s="1" t="str">
        <x:v>60</x:v>
      </x:c>
      <x:c r="B459" s="1" t="str">
        <x:v>800BBLKASC</x:v>
      </x:c>
      <x:c r="C459" s="1" t="str">
        <x:v>6102581</x:v>
      </x:c>
      <x:c r="D459" s="1" t="str">
        <x:v>0</x:v>
      </x:c>
      <x:c r="E459" s="1"/>
      <x:c r="F459" s="7" t="n">
        <x:v>44460</x:v>
      </x:c>
      <x:c r="G459" s="7" t="n">
        <x:v>44461</x:v>
      </x:c>
      <x:c r="H459" s="8" t="n">
        <x:v>40000</x:v>
      </x:c>
      <x:c r="I459" s="8"/>
      <x:c r="J459" s="8" t="n">
        <x:v>1</x:v>
      </x:c>
      <x:c r="K459" s="9" t="n">
        <x:v>9.25</x:v>
      </x:c>
      <x:c r="L459" s="8" t="n">
        <x:v>100</x:v>
      </x:c>
      <x:c r="M459" s="10" t="n">
        <x:v>3580</x:v>
      </x:c>
      <x:c r="N459" s="8" t="str">
        <x:v>i</x:v>
      </x:c>
      <x:c r="O459" s="8" t="n">
        <x:v>0</x:v>
      </x:c>
      <x:c r="P459" s="11" t="n">
        <x:f>MIN(X459,MAX(0,SUMIFS('Current inventory'!$D$2:$D$127,'Current inventory'!$A$2:$A$127,A459,'Current inventory'!$B$2:$B$127,B459)-SUMIFS($X$2:X458,$A$2:A458,A459,$B$2:B458,B459)))</x:f>
        <x:v>0</x:v>
      </x:c>
      <x:c r="Q459" s="1" t="str">
        <x:v>Received history</x:v>
      </x:c>
      <x:c r="R459" s="1" t="str">
        <x:v>Receipts data film c400 c800 plastic.csv</x:v>
      </x:c>
      <x:c r="S459" s="12" t="n">
        <x:f>IF(O459=1,I459*J459,0)</x:f>
        <x:v>0</x:v>
      </x:c>
      <x:c r="T459" s="13" t="n">
        <x:f>IF(L459&gt;0,K459/L459,"n.a.")</x:f>
        <x:v>0.0925</x:v>
      </x:c>
      <x:c r="U459" s="12" t="n">
        <x:f>IF(Q459="Old cost",S459,0)</x:f>
        <x:v>0</x:v>
      </x:c>
      <x:c r="V459" s="12" t="n">
        <x:f>IF(Q459="Higher cost",S459,0)</x:f>
        <x:v>0</x:v>
      </x:c>
      <x:c r="W459" s="12" t="n">
        <x:f>IF(Q459="Unclassified",S459,0)</x:f>
        <x:v>0</x:v>
      </x:c>
      <x:c r="X459" s="12" t="n">
        <x:f>IF(AND(ISNUMBER(F459),F459&gt;0,F459&lt;=Summary!$D$5,H459&gt;0),H459*J459,0)</x:f>
        <x:v>40000</x:v>
      </x:c>
    </x:row>
    <x:row r="460" ht="21" customHeight="1">
      <x:c r="A460" s="1" t="str">
        <x:v>30</x:v>
      </x:c>
      <x:c r="B460" s="1" t="str">
        <x:v>800BBLKASC</x:v>
      </x:c>
      <x:c r="C460" s="1" t="str">
        <x:v>3003679</x:v>
      </x:c>
      <x:c r="D460" s="1" t="str">
        <x:v>0</x:v>
      </x:c>
      <x:c r="E460" s="1"/>
      <x:c r="F460" s="7" t="n">
        <x:v>44456</x:v>
      </x:c>
      <x:c r="G460" s="7" t="n">
        <x:v>44454</x:v>
      </x:c>
      <x:c r="H460" s="8" t="n">
        <x:v>40000</x:v>
      </x:c>
      <x:c r="I460" s="8"/>
      <x:c r="J460" s="8" t="n">
        <x:v>1</x:v>
      </x:c>
      <x:c r="K460" s="9" t="n">
        <x:v>9.25</x:v>
      </x:c>
      <x:c r="L460" s="8" t="n">
        <x:v>100</x:v>
      </x:c>
      <x:c r="M460" s="10" t="n">
        <x:v>3580</x:v>
      </x:c>
      <x:c r="N460" s="8" t="str">
        <x:v>i</x:v>
      </x:c>
      <x:c r="O460" s="8" t="n">
        <x:v>0</x:v>
      </x:c>
      <x:c r="P460" s="11" t="n">
        <x:f>MIN(X460,MAX(0,SUMIFS('Current inventory'!$D$2:$D$127,'Current inventory'!$A$2:$A$127,A460,'Current inventory'!$B$2:$B$127,B460)-SUMIFS($X$2:X459,$A$2:A459,A460,$B$2:B459,B460)))</x:f>
        <x:v>0</x:v>
      </x:c>
      <x:c r="Q460" s="1" t="str">
        <x:v>Received history</x:v>
      </x:c>
      <x:c r="R460" s="1" t="str">
        <x:v>Receipts data film c400 c800 plastic.csv</x:v>
      </x:c>
      <x:c r="S460" s="12" t="n">
        <x:f>IF(O460=1,I460*J460,0)</x:f>
        <x:v>0</x:v>
      </x:c>
      <x:c r="T460" s="13" t="n">
        <x:f>IF(L460&gt;0,K460/L460,"n.a.")</x:f>
        <x:v>0.0925</x:v>
      </x:c>
      <x:c r="U460" s="12" t="n">
        <x:f>IF(Q460="Old cost",S460,0)</x:f>
        <x:v>0</x:v>
      </x:c>
      <x:c r="V460" s="12" t="n">
        <x:f>IF(Q460="Higher cost",S460,0)</x:f>
        <x:v>0</x:v>
      </x:c>
      <x:c r="W460" s="12" t="n">
        <x:f>IF(Q460="Unclassified",S460,0)</x:f>
        <x:v>0</x:v>
      </x:c>
      <x:c r="X460" s="12" t="n">
        <x:f>IF(AND(ISNUMBER(F460),F460&gt;0,F460&lt;=Summary!$D$5,H460&gt;0),H460*J460,0)</x:f>
        <x:v>40000</x:v>
      </x:c>
    </x:row>
    <x:row r="461" ht="21" customHeight="1">
      <x:c r="A461" s="1" t="str">
        <x:v>30</x:v>
      </x:c>
      <x:c r="B461" s="1" t="str">
        <x:v>800BBLKASC</x:v>
      </x:c>
      <x:c r="C461" s="1" t="str">
        <x:v>3003663</x:v>
      </x:c>
      <x:c r="D461" s="1" t="str">
        <x:v>0</x:v>
      </x:c>
      <x:c r="E461" s="1"/>
      <x:c r="F461" s="7" t="n">
        <x:v>44412</x:v>
      </x:c>
      <x:c r="G461" s="7" t="n">
        <x:v>44407</x:v>
      </x:c>
      <x:c r="H461" s="8" t="n">
        <x:v>80000</x:v>
      </x:c>
      <x:c r="I461" s="8"/>
      <x:c r="J461" s="8" t="n">
        <x:v>1</x:v>
      </x:c>
      <x:c r="K461" s="9" t="n">
        <x:v>9.25</x:v>
      </x:c>
      <x:c r="L461" s="8" t="n">
        <x:v>100</x:v>
      </x:c>
      <x:c r="M461" s="10" t="n">
        <x:v>7160</x:v>
      </x:c>
      <x:c r="N461" s="8" t="str">
        <x:v>i</x:v>
      </x:c>
      <x:c r="O461" s="8" t="n">
        <x:v>0</x:v>
      </x:c>
      <x:c r="P461" s="11" t="n">
        <x:f>MIN(X461,MAX(0,SUMIFS('Current inventory'!$D$2:$D$127,'Current inventory'!$A$2:$A$127,A461,'Current inventory'!$B$2:$B$127,B461)-SUMIFS($X$2:X460,$A$2:A460,A461,$B$2:B460,B461)))</x:f>
        <x:v>0</x:v>
      </x:c>
      <x:c r="Q461" s="1" t="str">
        <x:v>Received history</x:v>
      </x:c>
      <x:c r="R461" s="1" t="str">
        <x:v>Receipts data film c400 c800 plastic.csv</x:v>
      </x:c>
      <x:c r="S461" s="12" t="n">
        <x:f>IF(O461=1,I461*J461,0)</x:f>
        <x:v>0</x:v>
      </x:c>
      <x:c r="T461" s="13" t="n">
        <x:f>IF(L461&gt;0,K461/L461,"n.a.")</x:f>
        <x:v>0.0925</x:v>
      </x:c>
      <x:c r="U461" s="12" t="n">
        <x:f>IF(Q461="Old cost",S461,0)</x:f>
        <x:v>0</x:v>
      </x:c>
      <x:c r="V461" s="12" t="n">
        <x:f>IF(Q461="Higher cost",S461,0)</x:f>
        <x:v>0</x:v>
      </x:c>
      <x:c r="W461" s="12" t="n">
        <x:f>IF(Q461="Unclassified",S461,0)</x:f>
        <x:v>0</x:v>
      </x:c>
      <x:c r="X461" s="12" t="n">
        <x:f>IF(AND(ISNUMBER(F461),F461&gt;0,F461&lt;=Summary!$D$5,H461&gt;0),H461*J461,0)</x:f>
        <x:v>80000</x:v>
      </x:c>
    </x:row>
    <x:row r="462" ht="21" customHeight="1">
      <x:c r="A462" s="1" t="str">
        <x:v>30</x:v>
      </x:c>
      <x:c r="B462" s="1" t="str">
        <x:v>800BBLKCSC</x:v>
      </x:c>
      <x:c r="C462" s="1" t="str">
        <x:v>3003663</x:v>
      </x:c>
      <x:c r="D462" s="1" t="str">
        <x:v>0</x:v>
      </x:c>
      <x:c r="E462" s="1"/>
      <x:c r="F462" s="7" t="n">
        <x:v>44412</x:v>
      </x:c>
      <x:c r="G462" s="7" t="n">
        <x:v>44407</x:v>
      </x:c>
      <x:c r="H462" s="8" t="n">
        <x:v>10000</x:v>
      </x:c>
      <x:c r="I462" s="8"/>
      <x:c r="J462" s="8" t="n">
        <x:v>1</x:v>
      </x:c>
      <x:c r="K462" s="9" t="n">
        <x:v>13.09</x:v>
      </x:c>
      <x:c r="L462" s="8" t="n">
        <x:v>100</x:v>
      </x:c>
      <x:c r="M462" s="10" t="n">
        <x:v>1245</x:v>
      </x:c>
      <x:c r="N462" s="8" t="str">
        <x:v>i</x:v>
      </x:c>
      <x:c r="O462" s="8" t="n">
        <x:v>0</x:v>
      </x:c>
      <x:c r="P462" s="11" t="n">
        <x:f>MIN(X462,MAX(0,SUMIFS('Current inventory'!$D$2:$D$127,'Current inventory'!$A$2:$A$127,A462,'Current inventory'!$B$2:$B$127,B462)-SUMIFS($X$2:X461,$A$2:A461,A462,$B$2:B461,B462)))</x:f>
        <x:v>3600</x:v>
      </x:c>
      <x:c r="Q462" s="1" t="str">
        <x:v>Received history</x:v>
      </x:c>
      <x:c r="R462" s="1" t="str">
        <x:v>Receipts data film c400 c800 plastic.csv</x:v>
      </x:c>
      <x:c r="S462" s="12" t="n">
        <x:f>IF(O462=1,I462*J462,0)</x:f>
        <x:v>0</x:v>
      </x:c>
      <x:c r="T462" s="13" t="n">
        <x:f>IF(L462&gt;0,K462/L462,"n.a.")</x:f>
        <x:v>0.1309</x:v>
      </x:c>
      <x:c r="U462" s="12" t="n">
        <x:f>IF(Q462="Old cost",S462,0)</x:f>
        <x:v>0</x:v>
      </x:c>
      <x:c r="V462" s="12" t="n">
        <x:f>IF(Q462="Higher cost",S462,0)</x:f>
        <x:v>0</x:v>
      </x:c>
      <x:c r="W462" s="12" t="n">
        <x:f>IF(Q462="Unclassified",S462,0)</x:f>
        <x:v>0</x:v>
      </x:c>
      <x:c r="X462" s="12" t="n">
        <x:f>IF(AND(ISNUMBER(F462),F462&gt;0,F462&lt;=Summary!$D$5,H462&gt;0),H462*J462,0)</x:f>
        <x:v>10000</x:v>
      </x:c>
    </x:row>
    <x:row r="463" ht="21" customHeight="1">
      <x:c r="A463" s="1" t="str">
        <x:v>30</x:v>
      </x:c>
      <x:c r="B463" s="1" t="str">
        <x:v>800BBLKDSC</x:v>
      </x:c>
      <x:c r="C463" s="1" t="str">
        <x:v>3003663</x:v>
      </x:c>
      <x:c r="D463" s="1" t="str">
        <x:v>0</x:v>
      </x:c>
      <x:c r="E463" s="1"/>
      <x:c r="F463" s="7" t="n">
        <x:v>44412</x:v>
      </x:c>
      <x:c r="G463" s="7" t="n">
        <x:v>44407</x:v>
      </x:c>
      <x:c r="H463" s="8" t="n">
        <x:v>10000</x:v>
      </x:c>
      <x:c r="I463" s="8"/>
      <x:c r="J463" s="8" t="n">
        <x:v>1</x:v>
      </x:c>
      <x:c r="K463" s="9" t="n">
        <x:v>18.58</x:v>
      </x:c>
      <x:c r="L463" s="8" t="n">
        <x:v>100</x:v>
      </x:c>
      <x:c r="M463" s="10" t="n">
        <x:v>1867</x:v>
      </x:c>
      <x:c r="N463" s="8" t="str">
        <x:v>i</x:v>
      </x:c>
      <x:c r="O463" s="8" t="n">
        <x:v>0</x:v>
      </x:c>
      <x:c r="P463" s="11" t="n">
        <x:f>MIN(X463,MAX(0,SUMIFS('Current inventory'!$D$2:$D$127,'Current inventory'!$A$2:$A$127,A463,'Current inventory'!$B$2:$B$127,B463)-SUMIFS($X$2:X462,$A$2:A462,A463,$B$2:B462,B463)))</x:f>
        <x:v>0</x:v>
      </x:c>
      <x:c r="Q463" s="1" t="str">
        <x:v>Received history</x:v>
      </x:c>
      <x:c r="R463" s="1" t="str">
        <x:v>Receipts data film c400 c800 plastic.csv</x:v>
      </x:c>
      <x:c r="S463" s="12" t="n">
        <x:f>IF(O463=1,I463*J463,0)</x:f>
        <x:v>0</x:v>
      </x:c>
      <x:c r="T463" s="13" t="n">
        <x:f>IF(L463&gt;0,K463/L463,"n.a.")</x:f>
        <x:v>0.1858</x:v>
      </x:c>
      <x:c r="U463" s="12" t="n">
        <x:f>IF(Q463="Old cost",S463,0)</x:f>
        <x:v>0</x:v>
      </x:c>
      <x:c r="V463" s="12" t="n">
        <x:f>IF(Q463="Higher cost",S463,0)</x:f>
        <x:v>0</x:v>
      </x:c>
      <x:c r="W463" s="12" t="n">
        <x:f>IF(Q463="Unclassified",S463,0)</x:f>
        <x:v>0</x:v>
      </x:c>
      <x:c r="X463" s="12" t="n">
        <x:f>IF(AND(ISNUMBER(F463),F463&gt;0,F463&lt;=Summary!$D$5,H463&gt;0),H463*J463,0)</x:f>
        <x:v>10000</x:v>
      </x:c>
    </x:row>
    <x:row r="464" ht="21" customHeight="1">
      <x:c r="A464" s="1" t="str">
        <x:v>10</x:v>
      </x:c>
      <x:c r="B464" s="1" t="str">
        <x:v>800BBLKASC</x:v>
      </x:c>
      <x:c r="C464" s="1" t="str">
        <x:v>1053198</x:v>
      </x:c>
      <x:c r="D464" s="1" t="str">
        <x:v>0</x:v>
      </x:c>
      <x:c r="E464" s="1"/>
      <x:c r="F464" s="7" t="n">
        <x:v>44350</x:v>
      </x:c>
      <x:c r="G464" s="7" t="n">
        <x:v>44354</x:v>
      </x:c>
      <x:c r="H464" s="8" t="n">
        <x:v>240000</x:v>
      </x:c>
      <x:c r="I464" s="8"/>
      <x:c r="J464" s="8" t="n">
        <x:v>1</x:v>
      </x:c>
      <x:c r="K464" s="9" t="n">
        <x:v>8.68</x:v>
      </x:c>
      <x:c r="L464" s="8" t="n">
        <x:v>100</x:v>
      </x:c>
      <x:c r="M464" s="10" t="n">
        <x:v>21480</x:v>
      </x:c>
      <x:c r="N464" s="8" t="str">
        <x:v>i</x:v>
      </x:c>
      <x:c r="O464" s="8" t="n">
        <x:v>0</x:v>
      </x:c>
      <x:c r="P464" s="11" t="n">
        <x:f>MIN(X464,MAX(0,SUMIFS('Current inventory'!$D$2:$D$127,'Current inventory'!$A$2:$A$127,A464,'Current inventory'!$B$2:$B$127,B464)-SUMIFS($X$2:X463,$A$2:A463,A464,$B$2:B463,B464)))</x:f>
        <x:v>0</x:v>
      </x:c>
      <x:c r="Q464" s="1" t="str">
        <x:v>Received history</x:v>
      </x:c>
      <x:c r="R464" s="1" t="str">
        <x:v>Receipts data film c400 c800 plastic.csv</x:v>
      </x:c>
      <x:c r="S464" s="12" t="n">
        <x:f>IF(O464=1,I464*J464,0)</x:f>
        <x:v>0</x:v>
      </x:c>
      <x:c r="T464" s="13" t="n">
        <x:f>IF(L464&gt;0,K464/L464,"n.a.")</x:f>
        <x:v>0.0868</x:v>
      </x:c>
      <x:c r="U464" s="12" t="n">
        <x:f>IF(Q464="Old cost",S464,0)</x:f>
        <x:v>0</x:v>
      </x:c>
      <x:c r="V464" s="12" t="n">
        <x:f>IF(Q464="Higher cost",S464,0)</x:f>
        <x:v>0</x:v>
      </x:c>
      <x:c r="W464" s="12" t="n">
        <x:f>IF(Q464="Unclassified",S464,0)</x:f>
        <x:v>0</x:v>
      </x:c>
      <x:c r="X464" s="12" t="n">
        <x:f>IF(AND(ISNUMBER(F464),F464&gt;0,F464&lt;=Summary!$D$5,H464&gt;0),H464*J464,0)</x:f>
        <x:v>240000</x:v>
      </x:c>
    </x:row>
    <x:row r="465" ht="21" customHeight="1">
      <x:c r="A465" s="1" t="str">
        <x:v>10</x:v>
      </x:c>
      <x:c r="B465" s="1" t="str">
        <x:v>800BBLKCSC</x:v>
      </x:c>
      <x:c r="C465" s="1" t="str">
        <x:v>1053198</x:v>
      </x:c>
      <x:c r="D465" s="1" t="str">
        <x:v>0</x:v>
      </x:c>
      <x:c r="E465" s="1"/>
      <x:c r="F465" s="7" t="n">
        <x:v>44350</x:v>
      </x:c>
      <x:c r="G465" s="7" t="n">
        <x:v>44354</x:v>
      </x:c>
      <x:c r="H465" s="8" t="n">
        <x:v>20000</x:v>
      </x:c>
      <x:c r="I465" s="8"/>
      <x:c r="J465" s="8" t="n">
        <x:v>1</x:v>
      </x:c>
      <x:c r="K465" s="9" t="n">
        <x:v>12.29</x:v>
      </x:c>
      <x:c r="L465" s="8" t="n">
        <x:v>100</x:v>
      </x:c>
      <x:c r="M465" s="10" t="n">
        <x:v>2490</x:v>
      </x:c>
      <x:c r="N465" s="8" t="str">
        <x:v>i</x:v>
      </x:c>
      <x:c r="O465" s="8" t="n">
        <x:v>0</x:v>
      </x:c>
      <x:c r="P465" s="11" t="n">
        <x:f>MIN(X465,MAX(0,SUMIFS('Current inventory'!$D$2:$D$127,'Current inventory'!$A$2:$A$127,A465,'Current inventory'!$B$2:$B$127,B465)-SUMIFS($X$2:X464,$A$2:A464,A465,$B$2:B464,B465)))</x:f>
        <x:v>400</x:v>
      </x:c>
      <x:c r="Q465" s="1" t="str">
        <x:v>Received history</x:v>
      </x:c>
      <x:c r="R465" s="1" t="str">
        <x:v>Receipts data film c400 c800 plastic.csv</x:v>
      </x:c>
      <x:c r="S465" s="12" t="n">
        <x:f>IF(O465=1,I465*J465,0)</x:f>
        <x:v>0</x:v>
      </x:c>
      <x:c r="T465" s="13" t="n">
        <x:f>IF(L465&gt;0,K465/L465,"n.a.")</x:f>
        <x:v>0.1229</x:v>
      </x:c>
      <x:c r="U465" s="12" t="n">
        <x:f>IF(Q465="Old cost",S465,0)</x:f>
        <x:v>0</x:v>
      </x:c>
      <x:c r="V465" s="12" t="n">
        <x:f>IF(Q465="Higher cost",S465,0)</x:f>
        <x:v>0</x:v>
      </x:c>
      <x:c r="W465" s="12" t="n">
        <x:f>IF(Q465="Unclassified",S465,0)</x:f>
        <x:v>0</x:v>
      </x:c>
      <x:c r="X465" s="12" t="n">
        <x:f>IF(AND(ISNUMBER(F465),F465&gt;0,F465&lt;=Summary!$D$5,H465&gt;0),H465*J465,0)</x:f>
        <x:v>20000</x:v>
      </x:c>
    </x:row>
    <x:row r="466" ht="21" customHeight="1">
      <x:c r="A466" s="1" t="str">
        <x:v>10</x:v>
      </x:c>
      <x:c r="B466" s="1" t="str">
        <x:v>800BBLKDSC</x:v>
      </x:c>
      <x:c r="C466" s="1" t="str">
        <x:v>1053198</x:v>
      </x:c>
      <x:c r="D466" s="1" t="str">
        <x:v>0</x:v>
      </x:c>
      <x:c r="E466" s="1"/>
      <x:c r="F466" s="7" t="n">
        <x:v>44350</x:v>
      </x:c>
      <x:c r="G466" s="7" t="n">
        <x:v>44354</x:v>
      </x:c>
      <x:c r="H466" s="8" t="n">
        <x:v>25000</x:v>
      </x:c>
      <x:c r="I466" s="8"/>
      <x:c r="J466" s="8" t="n">
        <x:v>1</x:v>
      </x:c>
      <x:c r="K466" s="9" t="n">
        <x:v>17.44</x:v>
      </x:c>
      <x:c r="L466" s="8" t="n">
        <x:v>100</x:v>
      </x:c>
      <x:c r="M466" s="10" t="n">
        <x:v>4667.5</x:v>
      </x:c>
      <x:c r="N466" s="8" t="str">
        <x:v>i</x:v>
      </x:c>
      <x:c r="O466" s="8" t="n">
        <x:v>0</x:v>
      </x:c>
      <x:c r="P466" s="11" t="n">
        <x:f>MIN(X466,MAX(0,SUMIFS('Current inventory'!$D$2:$D$127,'Current inventory'!$A$2:$A$127,A466,'Current inventory'!$B$2:$B$127,B466)-SUMIFS($X$2:X465,$A$2:A465,A466,$B$2:B465,B466)))</x:f>
        <x:v>0</x:v>
      </x:c>
      <x:c r="Q466" s="1" t="str">
        <x:v>Received history</x:v>
      </x:c>
      <x:c r="R466" s="1" t="str">
        <x:v>Receipts data film c400 c800 plastic.csv</x:v>
      </x:c>
      <x:c r="S466" s="12" t="n">
        <x:f>IF(O466=1,I466*J466,0)</x:f>
        <x:v>0</x:v>
      </x:c>
      <x:c r="T466" s="13" t="n">
        <x:f>IF(L466&gt;0,K466/L466,"n.a.")</x:f>
        <x:v>0.1744</x:v>
      </x:c>
      <x:c r="U466" s="12" t="n">
        <x:f>IF(Q466="Old cost",S466,0)</x:f>
        <x:v>0</x:v>
      </x:c>
      <x:c r="V466" s="12" t="n">
        <x:f>IF(Q466="Higher cost",S466,0)</x:f>
        <x:v>0</x:v>
      </x:c>
      <x:c r="W466" s="12" t="n">
        <x:f>IF(Q466="Unclassified",S466,0)</x:f>
        <x:v>0</x:v>
      </x:c>
      <x:c r="X466" s="12" t="n">
        <x:f>IF(AND(ISNUMBER(F466),F466&gt;0,F466&lt;=Summary!$D$5,H466&gt;0),H466*J466,0)</x:f>
        <x:v>25000</x:v>
      </x:c>
    </x:row>
    <x:row r="467" ht="21" customHeight="1">
      <x:c r="A467" s="1" t="str">
        <x:v>10</x:v>
      </x:c>
      <x:c r="B467" s="1" t="str">
        <x:v>800BBLKISC</x:v>
      </x:c>
      <x:c r="C467" s="1" t="str">
        <x:v>1053198</x:v>
      </x:c>
      <x:c r="D467" s="1" t="str">
        <x:v>0</x:v>
      </x:c>
      <x:c r="E467" s="1"/>
      <x:c r="F467" s="7" t="n">
        <x:v>44350</x:v>
      </x:c>
      <x:c r="G467" s="7" t="n">
        <x:v>44354</x:v>
      </x:c>
      <x:c r="H467" s="8" t="n">
        <x:v>20000</x:v>
      </x:c>
      <x:c r="I467" s="8"/>
      <x:c r="J467" s="8" t="n">
        <x:v>1</x:v>
      </x:c>
      <x:c r="K467" s="9" t="n">
        <x:v>9.8</x:v>
      </x:c>
      <x:c r="L467" s="8" t="n">
        <x:v>100</x:v>
      </x:c>
      <x:c r="M467" s="10" t="n">
        <x:v>1950</x:v>
      </x:c>
      <x:c r="N467" s="8" t="str">
        <x:v>i</x:v>
      </x:c>
      <x:c r="O467" s="8" t="n">
        <x:v>0</x:v>
      </x:c>
      <x:c r="P467" s="11" t="n">
        <x:f>MIN(X467,MAX(0,SUMIFS('Current inventory'!$D$2:$D$127,'Current inventory'!$A$2:$A$127,A467,'Current inventory'!$B$2:$B$127,B467)-SUMIFS($X$2:X466,$A$2:A466,A467,$B$2:B466,B467)))</x:f>
        <x:v>0</x:v>
      </x:c>
      <x:c r="Q467" s="1" t="str">
        <x:v>Received history</x:v>
      </x:c>
      <x:c r="R467" s="1" t="str">
        <x:v>Receipts data film c400 c800 plastic.csv</x:v>
      </x:c>
      <x:c r="S467" s="12" t="n">
        <x:f>IF(O467=1,I467*J467,0)</x:f>
        <x:v>0</x:v>
      </x:c>
      <x:c r="T467" s="13" t="n">
        <x:f>IF(L467&gt;0,K467/L467,"n.a.")</x:f>
        <x:v>0.098</x:v>
      </x:c>
      <x:c r="U467" s="12" t="n">
        <x:f>IF(Q467="Old cost",S467,0)</x:f>
        <x:v>0</x:v>
      </x:c>
      <x:c r="V467" s="12" t="n">
        <x:f>IF(Q467="Higher cost",S467,0)</x:f>
        <x:v>0</x:v>
      </x:c>
      <x:c r="W467" s="12" t="n">
        <x:f>IF(Q467="Unclassified",S467,0)</x:f>
        <x:v>0</x:v>
      </x:c>
      <x:c r="X467" s="12" t="n">
        <x:f>IF(AND(ISNUMBER(F467),F467&gt;0,F467&lt;=Summary!$D$5,H467&gt;0),H467*J467,0)</x:f>
        <x:v>20000</x:v>
      </x:c>
    </x:row>
    <x:row r="468" ht="21" customHeight="1">
      <x:c r="A468" s="1" t="str">
        <x:v>10</x:v>
      </x:c>
      <x:c r="B468" s="1" t="str">
        <x:v>800BLKE</x:v>
      </x:c>
      <x:c r="C468" s="1" t="str">
        <x:v>1053198</x:v>
      </x:c>
      <x:c r="D468" s="1" t="str">
        <x:v>0</x:v>
      </x:c>
      <x:c r="E468" s="1"/>
      <x:c r="F468" s="7" t="n">
        <x:v>44350</x:v>
      </x:c>
      <x:c r="G468" s="7" t="n">
        <x:v>44354</x:v>
      </x:c>
      <x:c r="H468" s="8" t="n">
        <x:v>4850</x:v>
      </x:c>
      <x:c r="I468" s="8"/>
      <x:c r="J468" s="8" t="n">
        <x:v>1</x:v>
      </x:c>
      <x:c r="K468" s="9" t="n">
        <x:v>600</x:v>
      </x:c>
      <x:c r="L468" s="8" t="n">
        <x:v>1000</x:v>
      </x:c>
      <x:c r="M468" s="10" t="n">
        <x:v>2910</x:v>
      </x:c>
      <x:c r="N468" s="8" t="str">
        <x:v>i</x:v>
      </x:c>
      <x:c r="O468" s="8" t="n">
        <x:v>0</x:v>
      </x:c>
      <x:c r="P468" s="11" t="n">
        <x:f>MIN(X468,MAX(0,SUMIFS('Current inventory'!$D$2:$D$127,'Current inventory'!$A$2:$A$127,A468,'Current inventory'!$B$2:$B$127,B468)-SUMIFS($X$2:X467,$A$2:A467,A468,$B$2:B467,B468)))</x:f>
        <x:v>0</x:v>
      </x:c>
      <x:c r="Q468" s="1" t="str">
        <x:v>Received history</x:v>
      </x:c>
      <x:c r="R468" s="1" t="str">
        <x:v>Receipts data film c400 c800 plastic.csv</x:v>
      </x:c>
      <x:c r="S468" s="12" t="n">
        <x:f>IF(O468=1,I468*J468,0)</x:f>
        <x:v>0</x:v>
      </x:c>
      <x:c r="T468" s="13" t="n">
        <x:f>IF(L468&gt;0,K468/L468,"n.a.")</x:f>
        <x:v>0.6</x:v>
      </x:c>
      <x:c r="U468" s="12" t="n">
        <x:f>IF(Q468="Old cost",S468,0)</x:f>
        <x:v>0</x:v>
      </x:c>
      <x:c r="V468" s="12" t="n">
        <x:f>IF(Q468="Higher cost",S468,0)</x:f>
        <x:v>0</x:v>
      </x:c>
      <x:c r="W468" s="12" t="n">
        <x:f>IF(Q468="Unclassified",S468,0)</x:f>
        <x:v>0</x:v>
      </x:c>
      <x:c r="X468" s="12" t="n">
        <x:f>IF(AND(ISNUMBER(F468),F468&gt;0,F468&lt;=Summary!$D$5,H468&gt;0),H468*J468,0)</x:f>
        <x:v>4850</x:v>
      </x:c>
    </x:row>
    <x:row r="469" ht="21" customHeight="1">
      <x:c r="A469" s="1" t="str">
        <x:v>10</x:v>
      </x:c>
      <x:c r="B469" s="1" t="str">
        <x:v>800BMARASC</x:v>
      </x:c>
      <x:c r="C469" s="1" t="str">
        <x:v>1053198</x:v>
      </x:c>
      <x:c r="D469" s="1" t="str">
        <x:v>0</x:v>
      </x:c>
      <x:c r="E469" s="1"/>
      <x:c r="F469" s="7" t="n">
        <x:v>44350</x:v>
      </x:c>
      <x:c r="G469" s="7" t="n">
        <x:v>44354</x:v>
      </x:c>
      <x:c r="H469" s="8" t="n">
        <x:v>20000</x:v>
      </x:c>
      <x:c r="I469" s="8"/>
      <x:c r="J469" s="8" t="n">
        <x:v>1</x:v>
      </x:c>
      <x:c r="K469" s="9" t="n">
        <x:v>8.95</x:v>
      </x:c>
      <x:c r="L469" s="8" t="n">
        <x:v>100</x:v>
      </x:c>
      <x:c r="M469" s="10" t="n">
        <x:v>1790</x:v>
      </x:c>
      <x:c r="N469" s="8" t="str">
        <x:v>i</x:v>
      </x:c>
      <x:c r="O469" s="8" t="n">
        <x:v>0</x:v>
      </x:c>
      <x:c r="P469" s="11" t="n">
        <x:f>MIN(X469,MAX(0,SUMIFS('Current inventory'!$D$2:$D$127,'Current inventory'!$A$2:$A$127,A469,'Current inventory'!$B$2:$B$127,B469)-SUMIFS($X$2:X468,$A$2:A468,A469,$B$2:B468,B469)))</x:f>
        <x:v>0</x:v>
      </x:c>
      <x:c r="Q469" s="1" t="str">
        <x:v>Received history</x:v>
      </x:c>
      <x:c r="R469" s="1" t="str">
        <x:v>Receipts data film c400 c800 plastic.csv</x:v>
      </x:c>
      <x:c r="S469" s="12" t="n">
        <x:f>IF(O469=1,I469*J469,0)</x:f>
        <x:v>0</x:v>
      </x:c>
      <x:c r="T469" s="13" t="n">
        <x:f>IF(L469&gt;0,K469/L469,"n.a.")</x:f>
        <x:v>0.0895</x:v>
      </x:c>
      <x:c r="U469" s="12" t="n">
        <x:f>IF(Q469="Old cost",S469,0)</x:f>
        <x:v>0</x:v>
      </x:c>
      <x:c r="V469" s="12" t="n">
        <x:f>IF(Q469="Higher cost",S469,0)</x:f>
        <x:v>0</x:v>
      </x:c>
      <x:c r="W469" s="12" t="n">
        <x:f>IF(Q469="Unclassified",S469,0)</x:f>
        <x:v>0</x:v>
      </x:c>
      <x:c r="X469" s="12" t="n">
        <x:f>IF(AND(ISNUMBER(F469),F469&gt;0,F469&lt;=Summary!$D$5,H469&gt;0),H469*J469,0)</x:f>
        <x:v>20000</x:v>
      </x:c>
    </x:row>
    <x:row r="470" ht="21" customHeight="1">
      <x:c r="A470" s="1" t="str">
        <x:v>10</x:v>
      </x:c>
      <x:c r="B470" s="1" t="str">
        <x:v>800BNAVASC</x:v>
      </x:c>
      <x:c r="C470" s="1" t="str">
        <x:v>1053198</x:v>
      </x:c>
      <x:c r="D470" s="1" t="str">
        <x:v>0</x:v>
      </x:c>
      <x:c r="E470" s="1"/>
      <x:c r="F470" s="7" t="n">
        <x:v>44350</x:v>
      </x:c>
      <x:c r="G470" s="7" t="n">
        <x:v>44354</x:v>
      </x:c>
      <x:c r="H470" s="8" t="n">
        <x:v>20000</x:v>
      </x:c>
      <x:c r="I470" s="8"/>
      <x:c r="J470" s="8" t="n">
        <x:v>1</x:v>
      </x:c>
      <x:c r="K470" s="9" t="n">
        <x:v>8.68</x:v>
      </x:c>
      <x:c r="L470" s="8" t="n">
        <x:v>100</x:v>
      </x:c>
      <x:c r="M470" s="10" t="n">
        <x:v>1790</x:v>
      </x:c>
      <x:c r="N470" s="8" t="str">
        <x:v>i</x:v>
      </x:c>
      <x:c r="O470" s="8" t="n">
        <x:v>0</x:v>
      </x:c>
      <x:c r="P470" s="11" t="n">
        <x:f>MIN(X470,MAX(0,SUMIFS('Current inventory'!$D$2:$D$127,'Current inventory'!$A$2:$A$127,A470,'Current inventory'!$B$2:$B$127,B470)-SUMIFS($X$2:X469,$A$2:A469,A470,$B$2:B469,B470)))</x:f>
        <x:v>0</x:v>
      </x:c>
      <x:c r="Q470" s="1" t="str">
        <x:v>Received history</x:v>
      </x:c>
      <x:c r="R470" s="1" t="str">
        <x:v>Receipts data film c400 c800 plastic.csv</x:v>
      </x:c>
      <x:c r="S470" s="12" t="n">
        <x:f>IF(O470=1,I470*J470,0)</x:f>
        <x:v>0</x:v>
      </x:c>
      <x:c r="T470" s="13" t="n">
        <x:f>IF(L470&gt;0,K470/L470,"n.a.")</x:f>
        <x:v>0.0868</x:v>
      </x:c>
      <x:c r="U470" s="12" t="n">
        <x:f>IF(Q470="Old cost",S470,0)</x:f>
        <x:v>0</x:v>
      </x:c>
      <x:c r="V470" s="12" t="n">
        <x:f>IF(Q470="Higher cost",S470,0)</x:f>
        <x:v>0</x:v>
      </x:c>
      <x:c r="W470" s="12" t="n">
        <x:f>IF(Q470="Unclassified",S470,0)</x:f>
        <x:v>0</x:v>
      </x:c>
      <x:c r="X470" s="12" t="n">
        <x:f>IF(AND(ISNUMBER(F470),F470&gt;0,F470&lt;=Summary!$D$5,H470&gt;0),H470*J470,0)</x:f>
        <x:v>20000</x:v>
      </x:c>
    </x:row>
    <x:row r="471" ht="21" customHeight="1">
      <x:c r="A471" s="1" t="str">
        <x:v>10</x:v>
      </x:c>
      <x:c r="B471" s="1" t="str">
        <x:v>800BNAVBRC</x:v>
      </x:c>
      <x:c r="C471" s="1" t="str">
        <x:v>1053198</x:v>
      </x:c>
      <x:c r="D471" s="1" t="str">
        <x:v>0</x:v>
      </x:c>
      <x:c r="E471" s="1"/>
      <x:c r="F471" s="7" t="n">
        <x:v>44350</x:v>
      </x:c>
      <x:c r="G471" s="7" t="n">
        <x:v>44354</x:v>
      </x:c>
      <x:c r="H471" s="8" t="n">
        <x:v>9900</x:v>
      </x:c>
      <x:c r="I471" s="8"/>
      <x:c r="J471" s="8" t="n">
        <x:v>1</x:v>
      </x:c>
      <x:c r="K471" s="9" t="n">
        <x:v>10.67</x:v>
      </x:c>
      <x:c r="L471" s="8" t="n">
        <x:v>100</x:v>
      </x:c>
      <x:c r="M471" s="10" t="n">
        <x:v>1004.85</x:v>
      </x:c>
      <x:c r="N471" s="8" t="str">
        <x:v>i</x:v>
      </x:c>
      <x:c r="O471" s="8" t="n">
        <x:v>0</x:v>
      </x:c>
      <x:c r="P471" s="11" t="n">
        <x:f>MIN(X471,MAX(0,SUMIFS('Current inventory'!$D$2:$D$127,'Current inventory'!$A$2:$A$127,A471,'Current inventory'!$B$2:$B$127,B471)-SUMIFS($X$2:X470,$A$2:A470,A471,$B$2:B470,B471)))</x:f>
        <x:v>100</x:v>
      </x:c>
      <x:c r="Q471" s="1" t="str">
        <x:v>Received history</x:v>
      </x:c>
      <x:c r="R471" s="1" t="str">
        <x:v>Receipts data film c400 c800 plastic.csv</x:v>
      </x:c>
      <x:c r="S471" s="12" t="n">
        <x:f>IF(O471=1,I471*J471,0)</x:f>
        <x:v>0</x:v>
      </x:c>
      <x:c r="T471" s="13" t="n">
        <x:f>IF(L471&gt;0,K471/L471,"n.a.")</x:f>
        <x:v>0.1067</x:v>
      </x:c>
      <x:c r="U471" s="12" t="n">
        <x:f>IF(Q471="Old cost",S471,0)</x:f>
        <x:v>0</x:v>
      </x:c>
      <x:c r="V471" s="12" t="n">
        <x:f>IF(Q471="Higher cost",S471,0)</x:f>
        <x:v>0</x:v>
      </x:c>
      <x:c r="W471" s="12" t="n">
        <x:f>IF(Q471="Unclassified",S471,0)</x:f>
        <x:v>0</x:v>
      </x:c>
      <x:c r="X471" s="12" t="n">
        <x:f>IF(AND(ISNUMBER(F471),F471&gt;0,F471&lt;=Summary!$D$5,H471&gt;0),H471*J471,0)</x:f>
        <x:v>9900</x:v>
      </x:c>
    </x:row>
    <x:row r="472" ht="21" customHeight="1">
      <x:c r="A472" s="1" t="str">
        <x:v>10</x:v>
      </x:c>
      <x:c r="B472" s="1" t="str">
        <x:v>800BLKE</x:v>
      </x:c>
      <x:c r="C472" s="1" t="str">
        <x:v>1052876</x:v>
      </x:c>
      <x:c r="D472" s="1" t="str">
        <x:v>3</x:v>
      </x:c>
      <x:c r="E472" s="1"/>
      <x:c r="F472" s="7" t="n">
        <x:v>44314</x:v>
      </x:c>
      <x:c r="G472" s="7" t="n">
        <x:v>44225</x:v>
      </x:c>
      <x:c r="H472" s="8" t="n">
        <x:v>3000</x:v>
      </x:c>
      <x:c r="I472" s="8"/>
      <x:c r="J472" s="8" t="n">
        <x:v>1</x:v>
      </x:c>
      <x:c r="K472" s="9" t="n">
        <x:v>530</x:v>
      </x:c>
      <x:c r="L472" s="8" t="n">
        <x:v>1000</x:v>
      </x:c>
      <x:c r="M472" s="10" t="n">
        <x:v>1800</x:v>
      </x:c>
      <x:c r="N472" s="8" t="str">
        <x:v>i</x:v>
      </x:c>
      <x:c r="O472" s="8" t="n">
        <x:v>0</x:v>
      </x:c>
      <x:c r="P472" s="11" t="n">
        <x:f>MIN(X472,MAX(0,SUMIFS('Current inventory'!$D$2:$D$127,'Current inventory'!$A$2:$A$127,A472,'Current inventory'!$B$2:$B$127,B472)-SUMIFS($X$2:X471,$A$2:A471,A472,$B$2:B471,B472)))</x:f>
        <x:v>0</x:v>
      </x:c>
      <x:c r="Q472" s="1" t="str">
        <x:v>Received history</x:v>
      </x:c>
      <x:c r="R472" s="1" t="str">
        <x:v>Receipts data film c400 c800 plastic.csv</x:v>
      </x:c>
      <x:c r="S472" s="12" t="n">
        <x:f>IF(O472=1,I472*J472,0)</x:f>
        <x:v>0</x:v>
      </x:c>
      <x:c r="T472" s="13" t="n">
        <x:f>IF(L472&gt;0,K472/L472,"n.a.")</x:f>
        <x:v>0.53</x:v>
      </x:c>
      <x:c r="U472" s="12" t="n">
        <x:f>IF(Q472="Old cost",S472,0)</x:f>
        <x:v>0</x:v>
      </x:c>
      <x:c r="V472" s="12" t="n">
        <x:f>IF(Q472="Higher cost",S472,0)</x:f>
        <x:v>0</x:v>
      </x:c>
      <x:c r="W472" s="12" t="n">
        <x:f>IF(Q472="Unclassified",S472,0)</x:f>
        <x:v>0</x:v>
      </x:c>
      <x:c r="X472" s="12" t="n">
        <x:f>IF(AND(ISNUMBER(F472),F472&gt;0,F472&lt;=Summary!$D$5,H472&gt;0),H472*J472,0)</x:f>
        <x:v>3000</x:v>
      </x:c>
    </x:row>
    <x:row r="473" ht="21" customHeight="1">
      <x:c r="A473" s="1" t="str">
        <x:v>10</x:v>
      </x:c>
      <x:c r="B473" s="1" t="str">
        <x:v>800BBLKISC</x:v>
      </x:c>
      <x:c r="C473" s="1" t="str">
        <x:v>1052876</x:v>
      </x:c>
      <x:c r="D473" s="1" t="str">
        <x:v>2</x:v>
      </x:c>
      <x:c r="E473" s="1"/>
      <x:c r="F473" s="7" t="n">
        <x:v>44314</x:v>
      </x:c>
      <x:c r="G473" s="7" t="n">
        <x:v>44225</x:v>
      </x:c>
      <x:c r="H473" s="8" t="n">
        <x:v>100</x:v>
      </x:c>
      <x:c r="I473" s="8"/>
      <x:c r="J473" s="8" t="n">
        <x:v>1</x:v>
      </x:c>
      <x:c r="K473" s="9" t="n">
        <x:v>9.06</x:v>
      </x:c>
      <x:c r="L473" s="8" t="n">
        <x:v>100</x:v>
      </x:c>
      <x:c r="M473" s="10" t="n">
        <x:v>9.75</x:v>
      </x:c>
      <x:c r="N473" s="8" t="str">
        <x:v>i</x:v>
      </x:c>
      <x:c r="O473" s="8" t="n">
        <x:v>0</x:v>
      </x:c>
      <x:c r="P473" s="11" t="n">
        <x:f>MIN(X473,MAX(0,SUMIFS('Current inventory'!$D$2:$D$127,'Current inventory'!$A$2:$A$127,A473,'Current inventory'!$B$2:$B$127,B473)-SUMIFS($X$2:X472,$A$2:A472,A473,$B$2:B472,B473)))</x:f>
        <x:v>0</x:v>
      </x:c>
      <x:c r="Q473" s="1" t="str">
        <x:v>Received history</x:v>
      </x:c>
      <x:c r="R473" s="1" t="str">
        <x:v>Receipts data film c400 c800 plastic.csv</x:v>
      </x:c>
      <x:c r="S473" s="12" t="n">
        <x:f>IF(O473=1,I473*J473,0)</x:f>
        <x:v>0</x:v>
      </x:c>
      <x:c r="T473" s="13" t="n">
        <x:f>IF(L473&gt;0,K473/L473,"n.a.")</x:f>
        <x:v>0.0906</x:v>
      </x:c>
      <x:c r="U473" s="12" t="n">
        <x:f>IF(Q473="Old cost",S473,0)</x:f>
        <x:v>0</x:v>
      </x:c>
      <x:c r="V473" s="12" t="n">
        <x:f>IF(Q473="Higher cost",S473,0)</x:f>
        <x:v>0</x:v>
      </x:c>
      <x:c r="W473" s="12" t="n">
        <x:f>IF(Q473="Unclassified",S473,0)</x:f>
        <x:v>0</x:v>
      </x:c>
      <x:c r="X473" s="12" t="n">
        <x:f>IF(AND(ISNUMBER(F473),F473&gt;0,F473&lt;=Summary!$D$5,H473&gt;0),H473*J473,0)</x:f>
        <x:v>100</x:v>
      </x:c>
    </x:row>
    <x:row r="474" ht="21" customHeight="1">
      <x:c r="A474" s="1" t="str">
        <x:v>10</x:v>
      </x:c>
      <x:c r="B474" s="1" t="str">
        <x:v>800BLKE</x:v>
      </x:c>
      <x:c r="C474" s="1" t="str">
        <x:v>1052876</x:v>
      </x:c>
      <x:c r="D474" s="1" t="str">
        <x:v>2</x:v>
      </x:c>
      <x:c r="E474" s="1"/>
      <x:c r="F474" s="7" t="n">
        <x:v>44314</x:v>
      </x:c>
      <x:c r="G474" s="7" t="n">
        <x:v>44225</x:v>
      </x:c>
      <x:c r="H474" s="8" t="n">
        <x:v>0</x:v>
      </x:c>
      <x:c r="I474" s="8"/>
      <x:c r="J474" s="8" t="n">
        <x:v>1</x:v>
      </x:c>
      <x:c r="K474" s="9" t="n">
        <x:v>530</x:v>
      </x:c>
      <x:c r="L474" s="8" t="n">
        <x:v>1000</x:v>
      </x:c>
      <x:c r="M474" s="10" t="n">
        <x:v>0</x:v>
      </x:c>
      <x:c r="N474" s="8" t="str">
        <x:v>i</x:v>
      </x:c>
      <x:c r="O474" s="8" t="n">
        <x:v>0</x:v>
      </x:c>
      <x:c r="P474" s="11" t="n">
        <x:f>MIN(X474,MAX(0,SUMIFS('Current inventory'!$D$2:$D$127,'Current inventory'!$A$2:$A$127,A474,'Current inventory'!$B$2:$B$127,B474)-SUMIFS($X$2:X473,$A$2:A473,A474,$B$2:B473,B474)))</x:f>
        <x:v>0</x:v>
      </x:c>
      <x:c r="Q474" s="1" t="str">
        <x:v>Received history</x:v>
      </x:c>
      <x:c r="R474" s="1" t="str">
        <x:v>Receipts data film c400 c800 plastic.csv</x:v>
      </x:c>
      <x:c r="S474" s="12" t="n">
        <x:f>IF(O474=1,I474*J474,0)</x:f>
        <x:v>0</x:v>
      </x:c>
      <x:c r="T474" s="13" t="n">
        <x:f>IF(L474&gt;0,K474/L474,"n.a.")</x:f>
        <x:v>0.53</x:v>
      </x:c>
      <x:c r="U474" s="12" t="n">
        <x:f>IF(Q474="Old cost",S474,0)</x:f>
        <x:v>0</x:v>
      </x:c>
      <x:c r="V474" s="12" t="n">
        <x:f>IF(Q474="Higher cost",S474,0)</x:f>
        <x:v>0</x:v>
      </x:c>
      <x:c r="W474" s="12" t="n">
        <x:f>IF(Q474="Unclassified",S474,0)</x:f>
        <x:v>0</x:v>
      </x:c>
      <x:c r="X474" s="12" t="n">
        <x:f>IF(AND(ISNUMBER(F474),F474&gt;0,F474&lt;=Summary!$D$5,H474&gt;0),H474*J474,0)</x:f>
        <x:v>0</x:v>
      </x:c>
    </x:row>
    <x:row r="475" ht="21" customHeight="1">
      <x:c r="A475" s="1" t="str">
        <x:v>10</x:v>
      </x:c>
      <x:c r="B475" s="1" t="str">
        <x:v>800BBLKISC</x:v>
      </x:c>
      <x:c r="C475" s="1" t="str">
        <x:v>1052876</x:v>
      </x:c>
      <x:c r="D475" s="1" t="str">
        <x:v>1</x:v>
      </x:c>
      <x:c r="E475" s="1"/>
      <x:c r="F475" s="7" t="n">
        <x:v>44314</x:v>
      </x:c>
      <x:c r="G475" s="7" t="n">
        <x:v>44225</x:v>
      </x:c>
      <x:c r="H475" s="8" t="n">
        <x:v>0</x:v>
      </x:c>
      <x:c r="I475" s="8"/>
      <x:c r="J475" s="8" t="n">
        <x:v>1</x:v>
      </x:c>
      <x:c r="K475" s="9" t="n">
        <x:v>9.06</x:v>
      </x:c>
      <x:c r="L475" s="8" t="n">
        <x:v>100</x:v>
      </x:c>
      <x:c r="M475" s="10" t="n">
        <x:v>0</x:v>
      </x:c>
      <x:c r="N475" s="8" t="str">
        <x:v>i</x:v>
      </x:c>
      <x:c r="O475" s="8" t="n">
        <x:v>0</x:v>
      </x:c>
      <x:c r="P475" s="11" t="n">
        <x:f>MIN(X475,MAX(0,SUMIFS('Current inventory'!$D$2:$D$127,'Current inventory'!$A$2:$A$127,A475,'Current inventory'!$B$2:$B$127,B475)-SUMIFS($X$2:X474,$A$2:A474,A475,$B$2:B474,B475)))</x:f>
        <x:v>0</x:v>
      </x:c>
      <x:c r="Q475" s="1" t="str">
        <x:v>Received history</x:v>
      </x:c>
      <x:c r="R475" s="1" t="str">
        <x:v>Receipts data film c400 c800 plastic.csv</x:v>
      </x:c>
      <x:c r="S475" s="12" t="n">
        <x:f>IF(O475=1,I475*J475,0)</x:f>
        <x:v>0</x:v>
      </x:c>
      <x:c r="T475" s="13" t="n">
        <x:f>IF(L475&gt;0,K475/L475,"n.a.")</x:f>
        <x:v>0.0906</x:v>
      </x:c>
      <x:c r="U475" s="12" t="n">
        <x:f>IF(Q475="Old cost",S475,0)</x:f>
        <x:v>0</x:v>
      </x:c>
      <x:c r="V475" s="12" t="n">
        <x:f>IF(Q475="Higher cost",S475,0)</x:f>
        <x:v>0</x:v>
      </x:c>
      <x:c r="W475" s="12" t="n">
        <x:f>IF(Q475="Unclassified",S475,0)</x:f>
        <x:v>0</x:v>
      </x:c>
      <x:c r="X475" s="12" t="n">
        <x:f>IF(AND(ISNUMBER(F475),F475&gt;0,F475&lt;=Summary!$D$5,H475&gt;0),H475*J475,0)</x:f>
        <x:v>0</x:v>
      </x:c>
    </x:row>
    <x:row r="476" ht="21" customHeight="1">
      <x:c r="A476" s="1" t="str">
        <x:v>10</x:v>
      </x:c>
      <x:c r="B476" s="1" t="str">
        <x:v>800BLKE</x:v>
      </x:c>
      <x:c r="C476" s="1" t="str">
        <x:v>1052876</x:v>
      </x:c>
      <x:c r="D476" s="1" t="str">
        <x:v>1</x:v>
      </x:c>
      <x:c r="E476" s="1"/>
      <x:c r="F476" s="7" t="n">
        <x:v>44314</x:v>
      </x:c>
      <x:c r="G476" s="7" t="n">
        <x:v>44225</x:v>
      </x:c>
      <x:c r="H476" s="8" t="n">
        <x:v>0</x:v>
      </x:c>
      <x:c r="I476" s="8"/>
      <x:c r="J476" s="8" t="n">
        <x:v>1</x:v>
      </x:c>
      <x:c r="K476" s="9" t="n">
        <x:v>530</x:v>
      </x:c>
      <x:c r="L476" s="8" t="n">
        <x:v>1000</x:v>
      </x:c>
      <x:c r="M476" s="10" t="n">
        <x:v>0</x:v>
      </x:c>
      <x:c r="N476" s="8" t="str">
        <x:v>i</x:v>
      </x:c>
      <x:c r="O476" s="8" t="n">
        <x:v>0</x:v>
      </x:c>
      <x:c r="P476" s="11" t="n">
        <x:f>MIN(X476,MAX(0,SUMIFS('Current inventory'!$D$2:$D$127,'Current inventory'!$A$2:$A$127,A476,'Current inventory'!$B$2:$B$127,B476)-SUMIFS($X$2:X475,$A$2:A475,A476,$B$2:B475,B476)))</x:f>
        <x:v>0</x:v>
      </x:c>
      <x:c r="Q476" s="1" t="str">
        <x:v>Received history</x:v>
      </x:c>
      <x:c r="R476" s="1" t="str">
        <x:v>Receipts data film c400 c800 plastic.csv</x:v>
      </x:c>
      <x:c r="S476" s="12" t="n">
        <x:f>IF(O476=1,I476*J476,0)</x:f>
        <x:v>0</x:v>
      </x:c>
      <x:c r="T476" s="13" t="n">
        <x:f>IF(L476&gt;0,K476/L476,"n.a.")</x:f>
        <x:v>0.53</x:v>
      </x:c>
      <x:c r="U476" s="12" t="n">
        <x:f>IF(Q476="Old cost",S476,0)</x:f>
        <x:v>0</x:v>
      </x:c>
      <x:c r="V476" s="12" t="n">
        <x:f>IF(Q476="Higher cost",S476,0)</x:f>
        <x:v>0</x:v>
      </x:c>
      <x:c r="W476" s="12" t="n">
        <x:f>IF(Q476="Unclassified",S476,0)</x:f>
        <x:v>0</x:v>
      </x:c>
      <x:c r="X476" s="12" t="n">
        <x:f>IF(AND(ISNUMBER(F476),F476&gt;0,F476&lt;=Summary!$D$5,H476&gt;0),H476*J476,0)</x:f>
        <x:v>0</x:v>
      </x:c>
    </x:row>
    <x:row r="477" ht="21" customHeight="1">
      <x:c r="A477" s="1" t="str">
        <x:v>10</x:v>
      </x:c>
      <x:c r="B477" s="1" t="str">
        <x:v>800BNAVASC</x:v>
      </x:c>
      <x:c r="C477" s="1" t="str">
        <x:v>1052876</x:v>
      </x:c>
      <x:c r="D477" s="1" t="str">
        <x:v>1</x:v>
      </x:c>
      <x:c r="E477" s="1"/>
      <x:c r="F477" s="7" t="n">
        <x:v>44314</x:v>
      </x:c>
      <x:c r="G477" s="7" t="n">
        <x:v>44225</x:v>
      </x:c>
      <x:c r="H477" s="8" t="n">
        <x:v>200</x:v>
      </x:c>
      <x:c r="I477" s="8"/>
      <x:c r="J477" s="8" t="n">
        <x:v>1</x:v>
      </x:c>
      <x:c r="K477" s="9" t="n">
        <x:v>8.09</x:v>
      </x:c>
      <x:c r="L477" s="8" t="n">
        <x:v>100</x:v>
      </x:c>
      <x:c r="M477" s="10" t="n">
        <x:v>17.9</x:v>
      </x:c>
      <x:c r="N477" s="8" t="str">
        <x:v>i</x:v>
      </x:c>
      <x:c r="O477" s="8" t="n">
        <x:v>0</x:v>
      </x:c>
      <x:c r="P477" s="11" t="n">
        <x:f>MIN(X477,MAX(0,SUMIFS('Current inventory'!$D$2:$D$127,'Current inventory'!$A$2:$A$127,A477,'Current inventory'!$B$2:$B$127,B477)-SUMIFS($X$2:X476,$A$2:A476,A477,$B$2:B476,B477)))</x:f>
        <x:v>0</x:v>
      </x:c>
      <x:c r="Q477" s="1" t="str">
        <x:v>Received history</x:v>
      </x:c>
      <x:c r="R477" s="1" t="str">
        <x:v>Receipts data film c400 c800 plastic.csv</x:v>
      </x:c>
      <x:c r="S477" s="12" t="n">
        <x:f>IF(O477=1,I477*J477,0)</x:f>
        <x:v>0</x:v>
      </x:c>
      <x:c r="T477" s="13" t="n">
        <x:f>IF(L477&gt;0,K477/L477,"n.a.")</x:f>
        <x:v>0.0809</x:v>
      </x:c>
      <x:c r="U477" s="12" t="n">
        <x:f>IF(Q477="Old cost",S477,0)</x:f>
        <x:v>0</x:v>
      </x:c>
      <x:c r="V477" s="12" t="n">
        <x:f>IF(Q477="Higher cost",S477,0)</x:f>
        <x:v>0</x:v>
      </x:c>
      <x:c r="W477" s="12" t="n">
        <x:f>IF(Q477="Unclassified",S477,0)</x:f>
        <x:v>0</x:v>
      </x:c>
      <x:c r="X477" s="12" t="n">
        <x:f>IF(AND(ISNUMBER(F477),F477&gt;0,F477&lt;=Summary!$D$5,H477&gt;0),H477*J477,0)</x:f>
        <x:v>200</x:v>
      </x:c>
    </x:row>
    <x:row r="478" ht="21" customHeight="1">
      <x:c r="A478" s="1" t="str">
        <x:v>10</x:v>
      </x:c>
      <x:c r="B478" s="1" t="str">
        <x:v>800BBLKISC</x:v>
      </x:c>
      <x:c r="C478" s="1" t="str">
        <x:v>1052876</x:v>
      </x:c>
      <x:c r="D478" s="1" t="str">
        <x:v>0</x:v>
      </x:c>
      <x:c r="E478" s="1"/>
      <x:c r="F478" s="7" t="n">
        <x:v>44314</x:v>
      </x:c>
      <x:c r="G478" s="7" t="n">
        <x:v>44225</x:v>
      </x:c>
      <x:c r="H478" s="8" t="n">
        <x:v>0</x:v>
      </x:c>
      <x:c r="I478" s="8"/>
      <x:c r="J478" s="8" t="n">
        <x:v>1</x:v>
      </x:c>
      <x:c r="K478" s="9" t="n">
        <x:v>9.06</x:v>
      </x:c>
      <x:c r="L478" s="8" t="n">
        <x:v>100</x:v>
      </x:c>
      <x:c r="M478" s="10" t="n">
        <x:v>0</x:v>
      </x:c>
      <x:c r="N478" s="8" t="str">
        <x:v>i</x:v>
      </x:c>
      <x:c r="O478" s="8" t="n">
        <x:v>0</x:v>
      </x:c>
      <x:c r="P478" s="11" t="n">
        <x:f>MIN(X478,MAX(0,SUMIFS('Current inventory'!$D$2:$D$127,'Current inventory'!$A$2:$A$127,A478,'Current inventory'!$B$2:$B$127,B478)-SUMIFS($X$2:X477,$A$2:A477,A478,$B$2:B477,B478)))</x:f>
        <x:v>0</x:v>
      </x:c>
      <x:c r="Q478" s="1" t="str">
        <x:v>Received history</x:v>
      </x:c>
      <x:c r="R478" s="1" t="str">
        <x:v>Receipts data film c400 c800 plastic.csv</x:v>
      </x:c>
      <x:c r="S478" s="12" t="n">
        <x:f>IF(O478=1,I478*J478,0)</x:f>
        <x:v>0</x:v>
      </x:c>
      <x:c r="T478" s="13" t="n">
        <x:f>IF(L478&gt;0,K478/L478,"n.a.")</x:f>
        <x:v>0.0906</x:v>
      </x:c>
      <x:c r="U478" s="12" t="n">
        <x:f>IF(Q478="Old cost",S478,0)</x:f>
        <x:v>0</x:v>
      </x:c>
      <x:c r="V478" s="12" t="n">
        <x:f>IF(Q478="Higher cost",S478,0)</x:f>
        <x:v>0</x:v>
      </x:c>
      <x:c r="W478" s="12" t="n">
        <x:f>IF(Q478="Unclassified",S478,0)</x:f>
        <x:v>0</x:v>
      </x:c>
      <x:c r="X478" s="12" t="n">
        <x:f>IF(AND(ISNUMBER(F478),F478&gt;0,F478&lt;=Summary!$D$5,H478&gt;0),H478*J478,0)</x:f>
        <x:v>0</x:v>
      </x:c>
    </x:row>
    <x:row r="479" ht="21" customHeight="1">
      <x:c r="A479" s="1" t="str">
        <x:v>10</x:v>
      </x:c>
      <x:c r="B479" s="1" t="str">
        <x:v>800BLKE</x:v>
      </x:c>
      <x:c r="C479" s="1" t="str">
        <x:v>1052876</x:v>
      </x:c>
      <x:c r="D479" s="1" t="str">
        <x:v>0</x:v>
      </x:c>
      <x:c r="E479" s="1"/>
      <x:c r="F479" s="7" t="n">
        <x:v>44314</x:v>
      </x:c>
      <x:c r="G479" s="7" t="n">
        <x:v>44225</x:v>
      </x:c>
      <x:c r="H479" s="8" t="n">
        <x:v>0</x:v>
      </x:c>
      <x:c r="I479" s="8"/>
      <x:c r="J479" s="8" t="n">
        <x:v>1</x:v>
      </x:c>
      <x:c r="K479" s="9" t="n">
        <x:v>530</x:v>
      </x:c>
      <x:c r="L479" s="8" t="n">
        <x:v>1000</x:v>
      </x:c>
      <x:c r="M479" s="10" t="n">
        <x:v>0</x:v>
      </x:c>
      <x:c r="N479" s="8" t="str">
        <x:v>i</x:v>
      </x:c>
      <x:c r="O479" s="8" t="n">
        <x:v>0</x:v>
      </x:c>
      <x:c r="P479" s="11" t="n">
        <x:f>MIN(X479,MAX(0,SUMIFS('Current inventory'!$D$2:$D$127,'Current inventory'!$A$2:$A$127,A479,'Current inventory'!$B$2:$B$127,B479)-SUMIFS($X$2:X478,$A$2:A478,A479,$B$2:B478,B479)))</x:f>
        <x:v>0</x:v>
      </x:c>
      <x:c r="Q479" s="1" t="str">
        <x:v>Received history</x:v>
      </x:c>
      <x:c r="R479" s="1" t="str">
        <x:v>Receipts data film c400 c800 plastic.csv</x:v>
      </x:c>
      <x:c r="S479" s="12" t="n">
        <x:f>IF(O479=1,I479*J479,0)</x:f>
        <x:v>0</x:v>
      </x:c>
      <x:c r="T479" s="13" t="n">
        <x:f>IF(L479&gt;0,K479/L479,"n.a.")</x:f>
        <x:v>0.53</x:v>
      </x:c>
      <x:c r="U479" s="12" t="n">
        <x:f>IF(Q479="Old cost",S479,0)</x:f>
        <x:v>0</x:v>
      </x:c>
      <x:c r="V479" s="12" t="n">
        <x:f>IF(Q479="Higher cost",S479,0)</x:f>
        <x:v>0</x:v>
      </x:c>
      <x:c r="W479" s="12" t="n">
        <x:f>IF(Q479="Unclassified",S479,0)</x:f>
        <x:v>0</x:v>
      </x:c>
      <x:c r="X479" s="12" t="n">
        <x:f>IF(AND(ISNUMBER(F479),F479&gt;0,F479&lt;=Summary!$D$5,H479&gt;0),H479*J479,0)</x:f>
        <x:v>0</x:v>
      </x:c>
    </x:row>
    <x:row r="480" ht="21" customHeight="1">
      <x:c r="A480" s="1" t="str">
        <x:v>10</x:v>
      </x:c>
      <x:c r="B480" s="1" t="str">
        <x:v>800BMARASC</x:v>
      </x:c>
      <x:c r="C480" s="1" t="str">
        <x:v>1052876</x:v>
      </x:c>
      <x:c r="D480" s="1" t="str">
        <x:v>0</x:v>
      </x:c>
      <x:c r="E480" s="1"/>
      <x:c r="F480" s="7" t="n">
        <x:v>44314</x:v>
      </x:c>
      <x:c r="G480" s="7" t="n">
        <x:v>44225</x:v>
      </x:c>
      <x:c r="H480" s="8" t="n">
        <x:v>200</x:v>
      </x:c>
      <x:c r="I480" s="8"/>
      <x:c r="J480" s="8" t="n">
        <x:v>1</x:v>
      </x:c>
      <x:c r="K480" s="9" t="n">
        <x:v>8.3</x:v>
      </x:c>
      <x:c r="L480" s="8" t="n">
        <x:v>100</x:v>
      </x:c>
      <x:c r="M480" s="10" t="n">
        <x:v>17.9</x:v>
      </x:c>
      <x:c r="N480" s="8" t="str">
        <x:v>i</x:v>
      </x:c>
      <x:c r="O480" s="8" t="n">
        <x:v>0</x:v>
      </x:c>
      <x:c r="P480" s="11" t="n">
        <x:f>MIN(X480,MAX(0,SUMIFS('Current inventory'!$D$2:$D$127,'Current inventory'!$A$2:$A$127,A480,'Current inventory'!$B$2:$B$127,B480)-SUMIFS($X$2:X479,$A$2:A479,A480,$B$2:B479,B480)))</x:f>
        <x:v>0</x:v>
      </x:c>
      <x:c r="Q480" s="1" t="str">
        <x:v>Received history</x:v>
      </x:c>
      <x:c r="R480" s="1" t="str">
        <x:v>Receipts data film c400 c800 plastic.csv</x:v>
      </x:c>
      <x:c r="S480" s="12" t="n">
        <x:f>IF(O480=1,I480*J480,0)</x:f>
        <x:v>0</x:v>
      </x:c>
      <x:c r="T480" s="13" t="n">
        <x:f>IF(L480&gt;0,K480/L480,"n.a.")</x:f>
        <x:v>0.083</x:v>
      </x:c>
      <x:c r="U480" s="12" t="n">
        <x:f>IF(Q480="Old cost",S480,0)</x:f>
        <x:v>0</x:v>
      </x:c>
      <x:c r="V480" s="12" t="n">
        <x:f>IF(Q480="Higher cost",S480,0)</x:f>
        <x:v>0</x:v>
      </x:c>
      <x:c r="W480" s="12" t="n">
        <x:f>IF(Q480="Unclassified",S480,0)</x:f>
        <x:v>0</x:v>
      </x:c>
      <x:c r="X480" s="12" t="n">
        <x:f>IF(AND(ISNUMBER(F480),F480&gt;0,F480&lt;=Summary!$D$5,H480&gt;0),H480*J480,0)</x:f>
        <x:v>200</x:v>
      </x:c>
    </x:row>
    <x:row r="481" ht="21" customHeight="1">
      <x:c r="A481" s="1" t="str">
        <x:v>10</x:v>
      </x:c>
      <x:c r="B481" s="1" t="str">
        <x:v>800BNAVASC</x:v>
      </x:c>
      <x:c r="C481" s="1" t="str">
        <x:v>1052876</x:v>
      </x:c>
      <x:c r="D481" s="1" t="str">
        <x:v>0</x:v>
      </x:c>
      <x:c r="E481" s="1"/>
      <x:c r="F481" s="7" t="n">
        <x:v>44314</x:v>
      </x:c>
      <x:c r="G481" s="7" t="n">
        <x:v>44225</x:v>
      </x:c>
      <x:c r="H481" s="8" t="n">
        <x:v>0</x:v>
      </x:c>
      <x:c r="I481" s="8"/>
      <x:c r="J481" s="8" t="n">
        <x:v>1</x:v>
      </x:c>
      <x:c r="K481" s="9" t="n">
        <x:v>8.09</x:v>
      </x:c>
      <x:c r="L481" s="8" t="n">
        <x:v>100</x:v>
      </x:c>
      <x:c r="M481" s="10" t="n">
        <x:v>0</x:v>
      </x:c>
      <x:c r="N481" s="8" t="str">
        <x:v>i</x:v>
      </x:c>
      <x:c r="O481" s="8" t="n">
        <x:v>0</x:v>
      </x:c>
      <x:c r="P481" s="11" t="n">
        <x:f>MIN(X481,MAX(0,SUMIFS('Current inventory'!$D$2:$D$127,'Current inventory'!$A$2:$A$127,A481,'Current inventory'!$B$2:$B$127,B481)-SUMIFS($X$2:X480,$A$2:A480,A481,$B$2:B480,B481)))</x:f>
        <x:v>0</x:v>
      </x:c>
      <x:c r="Q481" s="1" t="str">
        <x:v>Received history</x:v>
      </x:c>
      <x:c r="R481" s="1" t="str">
        <x:v>Receipts data film c400 c800 plastic.csv</x:v>
      </x:c>
      <x:c r="S481" s="12" t="n">
        <x:f>IF(O481=1,I481*J481,0)</x:f>
        <x:v>0</x:v>
      </x:c>
      <x:c r="T481" s="13" t="n">
        <x:f>IF(L481&gt;0,K481/L481,"n.a.")</x:f>
        <x:v>0.0809</x:v>
      </x:c>
      <x:c r="U481" s="12" t="n">
        <x:f>IF(Q481="Old cost",S481,0)</x:f>
        <x:v>0</x:v>
      </x:c>
      <x:c r="V481" s="12" t="n">
        <x:f>IF(Q481="Higher cost",S481,0)</x:f>
        <x:v>0</x:v>
      </x:c>
      <x:c r="W481" s="12" t="n">
        <x:f>IF(Q481="Unclassified",S481,0)</x:f>
        <x:v>0</x:v>
      </x:c>
      <x:c r="X481" s="12" t="n">
        <x:f>IF(AND(ISNUMBER(F481),F481&gt;0,F481&lt;=Summary!$D$5,H481&gt;0),H481*J481,0)</x:f>
        <x:v>0</x:v>
      </x:c>
    </x:row>
    <x:row r="482" ht="21" customHeight="1">
      <x:c r="A482" s="1" t="str">
        <x:v>10</x:v>
      </x:c>
      <x:c r="B482" s="1" t="str">
        <x:v>800BLKE</x:v>
      </x:c>
      <x:c r="C482" s="1" t="str">
        <x:v>1052877</x:v>
      </x:c>
      <x:c r="D482" s="1" t="str">
        <x:v>0</x:v>
      </x:c>
      <x:c r="E482" s="1"/>
      <x:c r="F482" s="7" t="n">
        <x:v>44251</x:v>
      </x:c>
      <x:c r="G482" s="7" t="n">
        <x:v>44242</x:v>
      </x:c>
      <x:c r="H482" s="8" t="n">
        <x:v>3050</x:v>
      </x:c>
      <x:c r="I482" s="8"/>
      <x:c r="J482" s="8" t="n">
        <x:v>1</x:v>
      </x:c>
      <x:c r="K482" s="9" t="n">
        <x:v>530</x:v>
      </x:c>
      <x:c r="L482" s="8" t="n">
        <x:v>1000</x:v>
      </x:c>
      <x:c r="M482" s="10" t="n">
        <x:v>1616.5</x:v>
      </x:c>
      <x:c r="N482" s="8" t="str">
        <x:v>i</x:v>
      </x:c>
      <x:c r="O482" s="8" t="n">
        <x:v>0</x:v>
      </x:c>
      <x:c r="P482" s="11" t="n">
        <x:f>MIN(X482,MAX(0,SUMIFS('Current inventory'!$D$2:$D$127,'Current inventory'!$A$2:$A$127,A482,'Current inventory'!$B$2:$B$127,B482)-SUMIFS($X$2:X481,$A$2:A481,A482,$B$2:B481,B482)))</x:f>
        <x:v>0</x:v>
      </x:c>
      <x:c r="Q482" s="1" t="str">
        <x:v>Received history</x:v>
      </x:c>
      <x:c r="R482" s="1" t="str">
        <x:v>Receipts data film c400 c800 plastic.csv</x:v>
      </x:c>
      <x:c r="S482" s="12" t="n">
        <x:f>IF(O482=1,I482*J482,0)</x:f>
        <x:v>0</x:v>
      </x:c>
      <x:c r="T482" s="13" t="n">
        <x:f>IF(L482&gt;0,K482/L482,"n.a.")</x:f>
        <x:v>0.53</x:v>
      </x:c>
      <x:c r="U482" s="12" t="n">
        <x:f>IF(Q482="Old cost",S482,0)</x:f>
        <x:v>0</x:v>
      </x:c>
      <x:c r="V482" s="12" t="n">
        <x:f>IF(Q482="Higher cost",S482,0)</x:f>
        <x:v>0</x:v>
      </x:c>
      <x:c r="W482" s="12" t="n">
        <x:f>IF(Q482="Unclassified",S482,0)</x:f>
        <x:v>0</x:v>
      </x:c>
      <x:c r="X482" s="12" t="n">
        <x:f>IF(AND(ISNUMBER(F482),F482&gt;0,F482&lt;=Summary!$D$5,H482&gt;0),H482*J482,0)</x:f>
        <x:v>3050</x:v>
      </x:c>
    </x:row>
    <x:row r="483" ht="21" customHeight="1">
      <x:c r="A483" s="1" t="str">
        <x:v>60</x:v>
      </x:c>
      <x:c r="B483" s="1" t="str">
        <x:v>800BBLKASC</x:v>
      </x:c>
      <x:c r="C483" s="1" t="str">
        <x:v>6102513</x:v>
      </x:c>
      <x:c r="D483" s="1" t="str">
        <x:v>0</x:v>
      </x:c>
      <x:c r="E483" s="1"/>
      <x:c r="F483" s="7" t="n">
        <x:v>44231</x:v>
      </x:c>
      <x:c r="G483" s="7" t="n">
        <x:v>44231</x:v>
      </x:c>
      <x:c r="H483" s="8" t="n">
        <x:v>260000</x:v>
      </x:c>
      <x:c r="I483" s="8"/>
      <x:c r="J483" s="8" t="n">
        <x:v>1</x:v>
      </x:c>
      <x:c r="K483" s="9" t="n">
        <x:v>8.09</x:v>
      </x:c>
      <x:c r="L483" s="8" t="n">
        <x:v>100</x:v>
      </x:c>
      <x:c r="M483" s="10" t="n">
        <x:v>21398</x:v>
      </x:c>
      <x:c r="N483" s="8" t="str">
        <x:v>i</x:v>
      </x:c>
      <x:c r="O483" s="8" t="n">
        <x:v>0</x:v>
      </x:c>
      <x:c r="P483" s="11" t="n">
        <x:f>MIN(X483,MAX(0,SUMIFS('Current inventory'!$D$2:$D$127,'Current inventory'!$A$2:$A$127,A483,'Current inventory'!$B$2:$B$127,B483)-SUMIFS($X$2:X482,$A$2:A482,A483,$B$2:B482,B483)))</x:f>
        <x:v>0</x:v>
      </x:c>
      <x:c r="Q483" s="1" t="str">
        <x:v>Received history</x:v>
      </x:c>
      <x:c r="R483" s="1" t="str">
        <x:v>Receipts data film c400 c800 plastic.csv</x:v>
      </x:c>
      <x:c r="S483" s="12" t="n">
        <x:f>IF(O483=1,I483*J483,0)</x:f>
        <x:v>0</x:v>
      </x:c>
      <x:c r="T483" s="13" t="n">
        <x:f>IF(L483&gt;0,K483/L483,"n.a.")</x:f>
        <x:v>0.0809</x:v>
      </x:c>
      <x:c r="U483" s="12" t="n">
        <x:f>IF(Q483="Old cost",S483,0)</x:f>
        <x:v>0</x:v>
      </x:c>
      <x:c r="V483" s="12" t="n">
        <x:f>IF(Q483="Higher cost",S483,0)</x:f>
        <x:v>0</x:v>
      </x:c>
      <x:c r="W483" s="12" t="n">
        <x:f>IF(Q483="Unclassified",S483,0)</x:f>
        <x:v>0</x:v>
      </x:c>
      <x:c r="X483" s="12" t="n">
        <x:f>IF(AND(ISNUMBER(F483),F483&gt;0,F483&lt;=Summary!$D$5,H483&gt;0),H483*J483,0)</x:f>
        <x:v>260000</x:v>
      </x:c>
    </x:row>
    <x:row r="484" ht="21" customHeight="1">
      <x:c r="A484" s="1" t="str">
        <x:v>60</x:v>
      </x:c>
      <x:c r="B484" s="1" t="str">
        <x:v>800BBLKCSC</x:v>
      </x:c>
      <x:c r="C484" s="1" t="str">
        <x:v>6102513</x:v>
      </x:c>
      <x:c r="D484" s="1" t="str">
        <x:v>0</x:v>
      </x:c>
      <x:c r="E484" s="1"/>
      <x:c r="F484" s="7" t="n">
        <x:v>44231</x:v>
      </x:c>
      <x:c r="G484" s="7" t="n">
        <x:v>44231</x:v>
      </x:c>
      <x:c r="H484" s="8" t="n">
        <x:v>10000</x:v>
      </x:c>
      <x:c r="I484" s="8"/>
      <x:c r="J484" s="8" t="n">
        <x:v>1</x:v>
      </x:c>
      <x:c r="K484" s="9" t="n">
        <x:v>11.13</x:v>
      </x:c>
      <x:c r="L484" s="8" t="n">
        <x:v>100</x:v>
      </x:c>
      <x:c r="M484" s="10" t="n">
        <x:v>1145</x:v>
      </x:c>
      <x:c r="N484" s="8" t="str">
        <x:v>i</x:v>
      </x:c>
      <x:c r="O484" s="8" t="n">
        <x:v>0</x:v>
      </x:c>
      <x:c r="P484" s="11" t="n">
        <x:f>MIN(X484,MAX(0,SUMIFS('Current inventory'!$D$2:$D$127,'Current inventory'!$A$2:$A$127,A484,'Current inventory'!$B$2:$B$127,B484)-SUMIFS($X$2:X483,$A$2:A483,A484,$B$2:B483,B484)))</x:f>
        <x:v>10000</x:v>
      </x:c>
      <x:c r="Q484" s="1" t="str">
        <x:v>Received history</x:v>
      </x:c>
      <x:c r="R484" s="1" t="str">
        <x:v>Receipts data film c400 c800 plastic.csv</x:v>
      </x:c>
      <x:c r="S484" s="12" t="n">
        <x:f>IF(O484=1,I484*J484,0)</x:f>
        <x:v>0</x:v>
      </x:c>
      <x:c r="T484" s="13" t="n">
        <x:f>IF(L484&gt;0,K484/L484,"n.a.")</x:f>
        <x:v>0.11130000000000001</x:v>
      </x:c>
      <x:c r="U484" s="12" t="n">
        <x:f>IF(Q484="Old cost",S484,0)</x:f>
        <x:v>0</x:v>
      </x:c>
      <x:c r="V484" s="12" t="n">
        <x:f>IF(Q484="Higher cost",S484,0)</x:f>
        <x:v>0</x:v>
      </x:c>
      <x:c r="W484" s="12" t="n">
        <x:f>IF(Q484="Unclassified",S484,0)</x:f>
        <x:v>0</x:v>
      </x:c>
      <x:c r="X484" s="12" t="n">
        <x:f>IF(AND(ISNUMBER(F484),F484&gt;0,F484&lt;=Summary!$D$5,H484&gt;0),H484*J484,0)</x:f>
        <x:v>10000</x:v>
      </x:c>
    </x:row>
    <x:row r="485" ht="21" customHeight="1">
      <x:c r="A485" s="1" t="str">
        <x:v>60</x:v>
      </x:c>
      <x:c r="B485" s="1" t="str">
        <x:v>800BBLKDSC</x:v>
      </x:c>
      <x:c r="C485" s="1" t="str">
        <x:v>6102513</x:v>
      </x:c>
      <x:c r="D485" s="1" t="str">
        <x:v>0</x:v>
      </x:c>
      <x:c r="E485" s="1"/>
      <x:c r="F485" s="7" t="n">
        <x:v>44231</x:v>
      </x:c>
      <x:c r="G485" s="7" t="n">
        <x:v>44231</x:v>
      </x:c>
      <x:c r="H485" s="8" t="n">
        <x:v>25000</x:v>
      </x:c>
      <x:c r="I485" s="8"/>
      <x:c r="J485" s="8" t="n">
        <x:v>1</x:v>
      </x:c>
      <x:c r="K485" s="9" t="n">
        <x:v>17.37</x:v>
      </x:c>
      <x:c r="L485" s="8" t="n">
        <x:v>100</x:v>
      </x:c>
      <x:c r="M485" s="10" t="n">
        <x:v>4292.5</x:v>
      </x:c>
      <x:c r="N485" s="8" t="str">
        <x:v>i</x:v>
      </x:c>
      <x:c r="O485" s="8" t="n">
        <x:v>0</x:v>
      </x:c>
      <x:c r="P485" s="11" t="n">
        <x:f>MIN(X485,MAX(0,SUMIFS('Current inventory'!$D$2:$D$127,'Current inventory'!$A$2:$A$127,A485,'Current inventory'!$B$2:$B$127,B485)-SUMIFS($X$2:X484,$A$2:A484,A485,$B$2:B484,B485)))</x:f>
        <x:v>0</x:v>
      </x:c>
      <x:c r="Q485" s="1" t="str">
        <x:v>Received history</x:v>
      </x:c>
      <x:c r="R485" s="1" t="str">
        <x:v>Receipts data film c400 c800 plastic.csv</x:v>
      </x:c>
      <x:c r="S485" s="12" t="n">
        <x:f>IF(O485=1,I485*J485,0)</x:f>
        <x:v>0</x:v>
      </x:c>
      <x:c r="T485" s="13" t="n">
        <x:f>IF(L485&gt;0,K485/L485,"n.a.")</x:f>
        <x:v>0.17370000000000002</x:v>
      </x:c>
      <x:c r="U485" s="12" t="n">
        <x:f>IF(Q485="Old cost",S485,0)</x:f>
        <x:v>0</x:v>
      </x:c>
      <x:c r="V485" s="12" t="n">
        <x:f>IF(Q485="Higher cost",S485,0)</x:f>
        <x:v>0</x:v>
      </x:c>
      <x:c r="W485" s="12" t="n">
        <x:f>IF(Q485="Unclassified",S485,0)</x:f>
        <x:v>0</x:v>
      </x:c>
      <x:c r="X485" s="12" t="n">
        <x:f>IF(AND(ISNUMBER(F485),F485&gt;0,F485&lt;=Summary!$D$5,H485&gt;0),H485*J485,0)</x:f>
        <x:v>25000</x:v>
      </x:c>
    </x:row>
    <x:row r="486" ht="21" customHeight="1">
      <x:c r="A486" s="1" t="str">
        <x:v>60</x:v>
      </x:c>
      <x:c r="B486" s="1" t="str">
        <x:v>800BBLKISC</x:v>
      </x:c>
      <x:c r="C486" s="1" t="str">
        <x:v>6102513</x:v>
      </x:c>
      <x:c r="D486" s="1" t="str">
        <x:v>0</x:v>
      </x:c>
      <x:c r="E486" s="1"/>
      <x:c r="F486" s="7" t="n">
        <x:v>44231</x:v>
      </x:c>
      <x:c r="G486" s="7" t="n">
        <x:v>44231</x:v>
      </x:c>
      <x:c r="H486" s="8" t="n">
        <x:v>30000</x:v>
      </x:c>
      <x:c r="I486" s="8"/>
      <x:c r="J486" s="8" t="n">
        <x:v>1</x:v>
      </x:c>
      <x:c r="K486" s="9" t="n">
        <x:v>9.06</x:v>
      </x:c>
      <x:c r="L486" s="8" t="n">
        <x:v>100</x:v>
      </x:c>
      <x:c r="M486" s="10" t="n">
        <x:v>2688</x:v>
      </x:c>
      <x:c r="N486" s="8" t="str">
        <x:v>i</x:v>
      </x:c>
      <x:c r="O486" s="8" t="n">
        <x:v>0</x:v>
      </x:c>
      <x:c r="P486" s="11" t="n">
        <x:f>MIN(X486,MAX(0,SUMIFS('Current inventory'!$D$2:$D$127,'Current inventory'!$A$2:$A$127,A486,'Current inventory'!$B$2:$B$127,B486)-SUMIFS($X$2:X485,$A$2:A485,A486,$B$2:B485,B486)))</x:f>
        <x:v>0</x:v>
      </x:c>
      <x:c r="Q486" s="1" t="str">
        <x:v>Received history</x:v>
      </x:c>
      <x:c r="R486" s="1" t="str">
        <x:v>Receipts data film c400 c800 plastic.csv</x:v>
      </x:c>
      <x:c r="S486" s="12" t="n">
        <x:f>IF(O486=1,I486*J486,0)</x:f>
        <x:v>0</x:v>
      </x:c>
      <x:c r="T486" s="13" t="n">
        <x:f>IF(L486&gt;0,K486/L486,"n.a.")</x:f>
        <x:v>0.0906</x:v>
      </x:c>
      <x:c r="U486" s="12" t="n">
        <x:f>IF(Q486="Old cost",S486,0)</x:f>
        <x:v>0</x:v>
      </x:c>
      <x:c r="V486" s="12" t="n">
        <x:f>IF(Q486="Higher cost",S486,0)</x:f>
        <x:v>0</x:v>
      </x:c>
      <x:c r="W486" s="12" t="n">
        <x:f>IF(Q486="Unclassified",S486,0)</x:f>
        <x:v>0</x:v>
      </x:c>
      <x:c r="X486" s="12" t="n">
        <x:f>IF(AND(ISNUMBER(F486),F486&gt;0,F486&lt;=Summary!$D$5,H486&gt;0),H486*J486,0)</x:f>
        <x:v>30000</x:v>
      </x:c>
    </x:row>
    <x:row r="487" ht="21" customHeight="1">
      <x:c r="A487" s="1" t="str">
        <x:v>60</x:v>
      </x:c>
      <x:c r="B487" s="1" t="str">
        <x:v>800BLKE</x:v>
      </x:c>
      <x:c r="C487" s="1" t="str">
        <x:v>6102513</x:v>
      </x:c>
      <x:c r="D487" s="1" t="str">
        <x:v>0</x:v>
      </x:c>
      <x:c r="E487" s="1"/>
      <x:c r="F487" s="7" t="n">
        <x:v>44231</x:v>
      </x:c>
      <x:c r="G487" s="7" t="n">
        <x:v>44231</x:v>
      </x:c>
      <x:c r="H487" s="8" t="n">
        <x:v>3000</x:v>
      </x:c>
      <x:c r="I487" s="8"/>
      <x:c r="J487" s="8" t="n">
        <x:v>1</x:v>
      </x:c>
      <x:c r="K487" s="9" t="n">
        <x:v>530</x:v>
      </x:c>
      <x:c r="L487" s="8" t="n">
        <x:v>1000</x:v>
      </x:c>
      <x:c r="M487" s="10" t="n">
        <x:v>1590</x:v>
      </x:c>
      <x:c r="N487" s="8" t="str">
        <x:v>i</x:v>
      </x:c>
      <x:c r="O487" s="8" t="n">
        <x:v>0</x:v>
      </x:c>
      <x:c r="P487" s="11" t="n">
        <x:f>MIN(X487,MAX(0,SUMIFS('Current inventory'!$D$2:$D$127,'Current inventory'!$A$2:$A$127,A487,'Current inventory'!$B$2:$B$127,B487)-SUMIFS($X$2:X486,$A$2:A486,A487,$B$2:B486,B487)))</x:f>
        <x:v>0</x:v>
      </x:c>
      <x:c r="Q487" s="1" t="str">
        <x:v>Received history</x:v>
      </x:c>
      <x:c r="R487" s="1" t="str">
        <x:v>Receipts data film c400 c800 plastic.csv</x:v>
      </x:c>
      <x:c r="S487" s="12" t="n">
        <x:f>IF(O487=1,I487*J487,0)</x:f>
        <x:v>0</x:v>
      </x:c>
      <x:c r="T487" s="13" t="n">
        <x:f>IF(L487&gt;0,K487/L487,"n.a.")</x:f>
        <x:v>0.53</x:v>
      </x:c>
      <x:c r="U487" s="12" t="n">
        <x:f>IF(Q487="Old cost",S487,0)</x:f>
        <x:v>0</x:v>
      </x:c>
      <x:c r="V487" s="12" t="n">
        <x:f>IF(Q487="Higher cost",S487,0)</x:f>
        <x:v>0</x:v>
      </x:c>
      <x:c r="W487" s="12" t="n">
        <x:f>IF(Q487="Unclassified",S487,0)</x:f>
        <x:v>0</x:v>
      </x:c>
      <x:c r="X487" s="12" t="n">
        <x:f>IF(AND(ISNUMBER(F487),F487&gt;0,F487&lt;=Summary!$D$5,H487&gt;0),H487*J487,0)</x:f>
        <x:v>3000</x:v>
      </x:c>
    </x:row>
    <x:row r="488" ht="21" customHeight="1">
      <x:c r="A488" s="1" t="str">
        <x:v>60</x:v>
      </x:c>
      <x:c r="B488" s="1" t="str">
        <x:v>800BMARASC</x:v>
      </x:c>
      <x:c r="C488" s="1" t="str">
        <x:v>6102513</x:v>
      </x:c>
      <x:c r="D488" s="1" t="str">
        <x:v>0</x:v>
      </x:c>
      <x:c r="E488" s="1"/>
      <x:c r="F488" s="7" t="n">
        <x:v>44231</x:v>
      </x:c>
      <x:c r="G488" s="7" t="n">
        <x:v>44231</x:v>
      </x:c>
      <x:c r="H488" s="8" t="n">
        <x:v>20000</x:v>
      </x:c>
      <x:c r="I488" s="8"/>
      <x:c r="J488" s="8" t="n">
        <x:v>1</x:v>
      </x:c>
      <x:c r="K488" s="9" t="n">
        <x:v>8.3</x:v>
      </x:c>
      <x:c r="L488" s="8" t="n">
        <x:v>100</x:v>
      </x:c>
      <x:c r="M488" s="10" t="n">
        <x:v>1646</x:v>
      </x:c>
      <x:c r="N488" s="8" t="str">
        <x:v>i</x:v>
      </x:c>
      <x:c r="O488" s="8" t="n">
        <x:v>0</x:v>
      </x:c>
      <x:c r="P488" s="11" t="n">
        <x:f>MIN(X488,MAX(0,SUMIFS('Current inventory'!$D$2:$D$127,'Current inventory'!$A$2:$A$127,A488,'Current inventory'!$B$2:$B$127,B488)-SUMIFS($X$2:X487,$A$2:A487,A488,$B$2:B487,B488)))</x:f>
        <x:v>0</x:v>
      </x:c>
      <x:c r="Q488" s="1" t="str">
        <x:v>Received history</x:v>
      </x:c>
      <x:c r="R488" s="1" t="str">
        <x:v>Receipts data film c400 c800 plastic.csv</x:v>
      </x:c>
      <x:c r="S488" s="12" t="n">
        <x:f>IF(O488=1,I488*J488,0)</x:f>
        <x:v>0</x:v>
      </x:c>
      <x:c r="T488" s="13" t="n">
        <x:f>IF(L488&gt;0,K488/L488,"n.a.")</x:f>
        <x:v>0.083</x:v>
      </x:c>
      <x:c r="U488" s="12" t="n">
        <x:f>IF(Q488="Old cost",S488,0)</x:f>
        <x:v>0</x:v>
      </x:c>
      <x:c r="V488" s="12" t="n">
        <x:f>IF(Q488="Higher cost",S488,0)</x:f>
        <x:v>0</x:v>
      </x:c>
      <x:c r="W488" s="12" t="n">
        <x:f>IF(Q488="Unclassified",S488,0)</x:f>
        <x:v>0</x:v>
      </x:c>
      <x:c r="X488" s="12" t="n">
        <x:f>IF(AND(ISNUMBER(F488),F488&gt;0,F488&lt;=Summary!$D$5,H488&gt;0),H488*J488,0)</x:f>
        <x:v>20000</x:v>
      </x:c>
    </x:row>
    <x:row r="489" ht="21" customHeight="1">
      <x:c r="A489" s="1" t="str">
        <x:v>60</x:v>
      </x:c>
      <x:c r="B489" s="1" t="str">
        <x:v>800BNAVASC</x:v>
      </x:c>
      <x:c r="C489" s="1" t="str">
        <x:v>6102513</x:v>
      </x:c>
      <x:c r="D489" s="1" t="str">
        <x:v>0</x:v>
      </x:c>
      <x:c r="E489" s="1"/>
      <x:c r="F489" s="7" t="n">
        <x:v>44231</x:v>
      </x:c>
      <x:c r="G489" s="7" t="n">
        <x:v>44231</x:v>
      </x:c>
      <x:c r="H489" s="8" t="n">
        <x:v>20000</x:v>
      </x:c>
      <x:c r="I489" s="8"/>
      <x:c r="J489" s="8" t="n">
        <x:v>1</x:v>
      </x:c>
      <x:c r="K489" s="9" t="n">
        <x:v>8.09</x:v>
      </x:c>
      <x:c r="L489" s="8" t="n">
        <x:v>100</x:v>
      </x:c>
      <x:c r="M489" s="10" t="n">
        <x:v>1646</x:v>
      </x:c>
      <x:c r="N489" s="8" t="str">
        <x:v>i</x:v>
      </x:c>
      <x:c r="O489" s="8" t="n">
        <x:v>0</x:v>
      </x:c>
      <x:c r="P489" s="11" t="n">
        <x:f>MIN(X489,MAX(0,SUMIFS('Current inventory'!$D$2:$D$127,'Current inventory'!$A$2:$A$127,A489,'Current inventory'!$B$2:$B$127,B489)-SUMIFS($X$2:X488,$A$2:A488,A489,$B$2:B488,B489)))</x:f>
        <x:v>0</x:v>
      </x:c>
      <x:c r="Q489" s="1" t="str">
        <x:v>Received history</x:v>
      </x:c>
      <x:c r="R489" s="1" t="str">
        <x:v>Receipts data film c400 c800 plastic.csv</x:v>
      </x:c>
      <x:c r="S489" s="12" t="n">
        <x:f>IF(O489=1,I489*J489,0)</x:f>
        <x:v>0</x:v>
      </x:c>
      <x:c r="T489" s="13" t="n">
        <x:f>IF(L489&gt;0,K489/L489,"n.a.")</x:f>
        <x:v>0.0809</x:v>
      </x:c>
      <x:c r="U489" s="12" t="n">
        <x:f>IF(Q489="Old cost",S489,0)</x:f>
        <x:v>0</x:v>
      </x:c>
      <x:c r="V489" s="12" t="n">
        <x:f>IF(Q489="Higher cost",S489,0)</x:f>
        <x:v>0</x:v>
      </x:c>
      <x:c r="W489" s="12" t="n">
        <x:f>IF(Q489="Unclassified",S489,0)</x:f>
        <x:v>0</x:v>
      </x:c>
      <x:c r="X489" s="12" t="n">
        <x:f>IF(AND(ISNUMBER(F489),F489&gt;0,F489&lt;=Summary!$D$5,H489&gt;0),H489*J489,0)</x:f>
        <x:v>20000</x:v>
      </x:c>
    </x:row>
    <x:row r="490" ht="21" customHeight="1">
      <x:c r="A490" s="1" t="str">
        <x:v>10</x:v>
      </x:c>
      <x:c r="B490" s="1" t="str">
        <x:v>800BBLKDSC</x:v>
      </x:c>
      <x:c r="C490" s="1" t="str">
        <x:v>1052596</x:v>
      </x:c>
      <x:c r="D490" s="1" t="str">
        <x:v>1</x:v>
      </x:c>
      <x:c r="E490" s="1"/>
      <x:c r="F490" s="7" t="n">
        <x:v>44208</x:v>
      </x:c>
      <x:c r="G490" s="7" t="n">
        <x:v>44209</x:v>
      </x:c>
      <x:c r="H490" s="8" t="n">
        <x:v>20000</x:v>
      </x:c>
      <x:c r="I490" s="8"/>
      <x:c r="J490" s="8" t="n">
        <x:v>1</x:v>
      </x:c>
      <x:c r="K490" s="9" t="n">
        <x:v>17.37</x:v>
      </x:c>
      <x:c r="L490" s="8" t="n">
        <x:v>100</x:v>
      </x:c>
      <x:c r="M490" s="10" t="n">
        <x:v>3434</x:v>
      </x:c>
      <x:c r="N490" s="8" t="str">
        <x:v>i</x:v>
      </x:c>
      <x:c r="O490" s="8" t="n">
        <x:v>0</x:v>
      </x:c>
      <x:c r="P490" s="11" t="n">
        <x:f>MIN(X490,MAX(0,SUMIFS('Current inventory'!$D$2:$D$127,'Current inventory'!$A$2:$A$127,A490,'Current inventory'!$B$2:$B$127,B490)-SUMIFS($X$2:X489,$A$2:A489,A490,$B$2:B489,B490)))</x:f>
        <x:v>0</x:v>
      </x:c>
      <x:c r="Q490" s="1" t="str">
        <x:v>Received history</x:v>
      </x:c>
      <x:c r="R490" s="1" t="str">
        <x:v>Receipts data film c400 c800 plastic.csv</x:v>
      </x:c>
      <x:c r="S490" s="12" t="n">
        <x:f>IF(O490=1,I490*J490,0)</x:f>
        <x:v>0</x:v>
      </x:c>
      <x:c r="T490" s="13" t="n">
        <x:f>IF(L490&gt;0,K490/L490,"n.a.")</x:f>
        <x:v>0.17370000000000002</x:v>
      </x:c>
      <x:c r="U490" s="12" t="n">
        <x:f>IF(Q490="Old cost",S490,0)</x:f>
        <x:v>0</x:v>
      </x:c>
      <x:c r="V490" s="12" t="n">
        <x:f>IF(Q490="Higher cost",S490,0)</x:f>
        <x:v>0</x:v>
      </x:c>
      <x:c r="W490" s="12" t="n">
        <x:f>IF(Q490="Unclassified",S490,0)</x:f>
        <x:v>0</x:v>
      </x:c>
      <x:c r="X490" s="12" t="n">
        <x:f>IF(AND(ISNUMBER(F490),F490&gt;0,F490&lt;=Summary!$D$5,H490&gt;0),H490*J490,0)</x:f>
        <x:v>20000</x:v>
      </x:c>
    </x:row>
    <x:row r="491" ht="21" customHeight="1">
      <x:c r="A491" s="1" t="str">
        <x:v>10</x:v>
      </x:c>
      <x:c r="B491" s="1" t="str">
        <x:v>800BBLKISC</x:v>
      </x:c>
      <x:c r="C491" s="1" t="str">
        <x:v>1052596</x:v>
      </x:c>
      <x:c r="D491" s="1" t="str">
        <x:v>1</x:v>
      </x:c>
      <x:c r="E491" s="1"/>
      <x:c r="F491" s="7" t="n">
        <x:v>44208</x:v>
      </x:c>
      <x:c r="G491" s="7" t="n">
        <x:v>44209</x:v>
      </x:c>
      <x:c r="H491" s="8" t="n">
        <x:v>10000</x:v>
      </x:c>
      <x:c r="I491" s="8"/>
      <x:c r="J491" s="8" t="n">
        <x:v>1</x:v>
      </x:c>
      <x:c r="K491" s="9" t="n">
        <x:v>9.06</x:v>
      </x:c>
      <x:c r="L491" s="8" t="n">
        <x:v>100</x:v>
      </x:c>
      <x:c r="M491" s="10" t="n">
        <x:v>896</x:v>
      </x:c>
      <x:c r="N491" s="8" t="str">
        <x:v>i</x:v>
      </x:c>
      <x:c r="O491" s="8" t="n">
        <x:v>0</x:v>
      </x:c>
      <x:c r="P491" s="11" t="n">
        <x:f>MIN(X491,MAX(0,SUMIFS('Current inventory'!$D$2:$D$127,'Current inventory'!$A$2:$A$127,A491,'Current inventory'!$B$2:$B$127,B491)-SUMIFS($X$2:X490,$A$2:A490,A491,$B$2:B490,B491)))</x:f>
        <x:v>0</x:v>
      </x:c>
      <x:c r="Q491" s="1" t="str">
        <x:v>Received history</x:v>
      </x:c>
      <x:c r="R491" s="1" t="str">
        <x:v>Receipts data film c400 c800 plastic.csv</x:v>
      </x:c>
      <x:c r="S491" s="12" t="n">
        <x:f>IF(O491=1,I491*J491,0)</x:f>
        <x:v>0</x:v>
      </x:c>
      <x:c r="T491" s="13" t="n">
        <x:f>IF(L491&gt;0,K491/L491,"n.a.")</x:f>
        <x:v>0.0906</x:v>
      </x:c>
      <x:c r="U491" s="12" t="n">
        <x:f>IF(Q491="Old cost",S491,0)</x:f>
        <x:v>0</x:v>
      </x:c>
      <x:c r="V491" s="12" t="n">
        <x:f>IF(Q491="Higher cost",S491,0)</x:f>
        <x:v>0</x:v>
      </x:c>
      <x:c r="W491" s="12" t="n">
        <x:f>IF(Q491="Unclassified",S491,0)</x:f>
        <x:v>0</x:v>
      </x:c>
      <x:c r="X491" s="12" t="n">
        <x:f>IF(AND(ISNUMBER(F491),F491&gt;0,F491&lt;=Summary!$D$5,H491&gt;0),H491*J491,0)</x:f>
        <x:v>10000</x:v>
      </x:c>
    </x:row>
    <x:row r="492" ht="21" customHeight="1">
      <x:c r="A492" s="1" t="str">
        <x:v>10</x:v>
      </x:c>
      <x:c r="B492" s="1" t="str">
        <x:v>800BFGASC</x:v>
      </x:c>
      <x:c r="C492" s="1" t="str">
        <x:v>1052596</x:v>
      </x:c>
      <x:c r="D492" s="1" t="str">
        <x:v>1</x:v>
      </x:c>
      <x:c r="E492" s="1"/>
      <x:c r="F492" s="7" t="n">
        <x:v>44208</x:v>
      </x:c>
      <x:c r="G492" s="7" t="n">
        <x:v>44209</x:v>
      </x:c>
      <x:c r="H492" s="8" t="n">
        <x:v>10000</x:v>
      </x:c>
      <x:c r="I492" s="8"/>
      <x:c r="J492" s="8" t="n">
        <x:v>1</x:v>
      </x:c>
      <x:c r="K492" s="9" t="n">
        <x:v>8.3</x:v>
      </x:c>
      <x:c r="L492" s="8" t="n">
        <x:v>100</x:v>
      </x:c>
      <x:c r="M492" s="10" t="n">
        <x:v>823</x:v>
      </x:c>
      <x:c r="N492" s="8" t="str">
        <x:v>i</x:v>
      </x:c>
      <x:c r="O492" s="8" t="n">
        <x:v>0</x:v>
      </x:c>
      <x:c r="P492" s="11" t="n">
        <x:f>MIN(X492,MAX(0,SUMIFS('Current inventory'!$D$2:$D$127,'Current inventory'!$A$2:$A$127,A492,'Current inventory'!$B$2:$B$127,B492)-SUMIFS($X$2:X491,$A$2:A491,A492,$B$2:B491,B492)))</x:f>
        <x:v>0</x:v>
      </x:c>
      <x:c r="Q492" s="1" t="str">
        <x:v>Received history</x:v>
      </x:c>
      <x:c r="R492" s="1" t="str">
        <x:v>Receipts data film c400 c800 plastic.csv</x:v>
      </x:c>
      <x:c r="S492" s="12" t="n">
        <x:f>IF(O492=1,I492*J492,0)</x:f>
        <x:v>0</x:v>
      </x:c>
      <x:c r="T492" s="13" t="n">
        <x:f>IF(L492&gt;0,K492/L492,"n.a.")</x:f>
        <x:v>0.083</x:v>
      </x:c>
      <x:c r="U492" s="12" t="n">
        <x:f>IF(Q492="Old cost",S492,0)</x:f>
        <x:v>0</x:v>
      </x:c>
      <x:c r="V492" s="12" t="n">
        <x:f>IF(Q492="Higher cost",S492,0)</x:f>
        <x:v>0</x:v>
      </x:c>
      <x:c r="W492" s="12" t="n">
        <x:f>IF(Q492="Unclassified",S492,0)</x:f>
        <x:v>0</x:v>
      </x:c>
      <x:c r="X492" s="12" t="n">
        <x:f>IF(AND(ISNUMBER(F492),F492&gt;0,F492&lt;=Summary!$D$5,H492&gt;0),H492*J492,0)</x:f>
        <x:v>10000</x:v>
      </x:c>
    </x:row>
    <x:row r="493" ht="21" customHeight="1">
      <x:c r="A493" s="1" t="str">
        <x:v>10</x:v>
      </x:c>
      <x:c r="B493" s="1" t="str">
        <x:v>800BLKE</x:v>
      </x:c>
      <x:c r="C493" s="1" t="str">
        <x:v>1052596</x:v>
      </x:c>
      <x:c r="D493" s="1" t="str">
        <x:v>1</x:v>
      </x:c>
      <x:c r="E493" s="1"/>
      <x:c r="F493" s="7" t="n">
        <x:v>44208</x:v>
      </x:c>
      <x:c r="G493" s="7" t="n">
        <x:v>44209</x:v>
      </x:c>
      <x:c r="H493" s="8" t="n">
        <x:v>6000</x:v>
      </x:c>
      <x:c r="I493" s="8"/>
      <x:c r="J493" s="8" t="n">
        <x:v>1</x:v>
      </x:c>
      <x:c r="K493" s="9" t="n">
        <x:v>530</x:v>
      </x:c>
      <x:c r="L493" s="8" t="n">
        <x:v>1000</x:v>
      </x:c>
      <x:c r="M493" s="10" t="n">
        <x:v>3180</x:v>
      </x:c>
      <x:c r="N493" s="8" t="str">
        <x:v>i</x:v>
      </x:c>
      <x:c r="O493" s="8" t="n">
        <x:v>0</x:v>
      </x:c>
      <x:c r="P493" s="11" t="n">
        <x:f>MIN(X493,MAX(0,SUMIFS('Current inventory'!$D$2:$D$127,'Current inventory'!$A$2:$A$127,A493,'Current inventory'!$B$2:$B$127,B493)-SUMIFS($X$2:X492,$A$2:A492,A493,$B$2:B492,B493)))</x:f>
        <x:v>0</x:v>
      </x:c>
      <x:c r="Q493" s="1" t="str">
        <x:v>Received history</x:v>
      </x:c>
      <x:c r="R493" s="1" t="str">
        <x:v>Receipts data film c400 c800 plastic.csv</x:v>
      </x:c>
      <x:c r="S493" s="12" t="n">
        <x:f>IF(O493=1,I493*J493,0)</x:f>
        <x:v>0</x:v>
      </x:c>
      <x:c r="T493" s="13" t="n">
        <x:f>IF(L493&gt;0,K493/L493,"n.a.")</x:f>
        <x:v>0.53</x:v>
      </x:c>
      <x:c r="U493" s="12" t="n">
        <x:f>IF(Q493="Old cost",S493,0)</x:f>
        <x:v>0</x:v>
      </x:c>
      <x:c r="V493" s="12" t="n">
        <x:f>IF(Q493="Higher cost",S493,0)</x:f>
        <x:v>0</x:v>
      </x:c>
      <x:c r="W493" s="12" t="n">
        <x:f>IF(Q493="Unclassified",S493,0)</x:f>
        <x:v>0</x:v>
      </x:c>
      <x:c r="X493" s="12" t="n">
        <x:f>IF(AND(ISNUMBER(F493),F493&gt;0,F493&lt;=Summary!$D$5,H493&gt;0),H493*J493,0)</x:f>
        <x:v>6000</x:v>
      </x:c>
    </x:row>
    <x:row r="494" ht="21" customHeight="1">
      <x:c r="A494" s="1" t="str">
        <x:v>10</x:v>
      </x:c>
      <x:c r="B494" s="1" t="str">
        <x:v>800BMARASC</x:v>
      </x:c>
      <x:c r="C494" s="1" t="str">
        <x:v>1052596</x:v>
      </x:c>
      <x:c r="D494" s="1" t="str">
        <x:v>1</x:v>
      </x:c>
      <x:c r="E494" s="1"/>
      <x:c r="F494" s="7" t="n">
        <x:v>44208</x:v>
      </x:c>
      <x:c r="G494" s="7" t="n">
        <x:v>44209</x:v>
      </x:c>
      <x:c r="H494" s="8" t="n">
        <x:v>10000</x:v>
      </x:c>
      <x:c r="I494" s="8"/>
      <x:c r="J494" s="8" t="n">
        <x:v>1</x:v>
      </x:c>
      <x:c r="K494" s="9" t="n">
        <x:v>8.3</x:v>
      </x:c>
      <x:c r="L494" s="8" t="n">
        <x:v>100</x:v>
      </x:c>
      <x:c r="M494" s="10" t="n">
        <x:v>823</x:v>
      </x:c>
      <x:c r="N494" s="8" t="str">
        <x:v>i</x:v>
      </x:c>
      <x:c r="O494" s="8" t="n">
        <x:v>0</x:v>
      </x:c>
      <x:c r="P494" s="11" t="n">
        <x:f>MIN(X494,MAX(0,SUMIFS('Current inventory'!$D$2:$D$127,'Current inventory'!$A$2:$A$127,A494,'Current inventory'!$B$2:$B$127,B494)-SUMIFS($X$2:X493,$A$2:A493,A494,$B$2:B493,B494)))</x:f>
        <x:v>0</x:v>
      </x:c>
      <x:c r="Q494" s="1" t="str">
        <x:v>Received history</x:v>
      </x:c>
      <x:c r="R494" s="1" t="str">
        <x:v>Receipts data film c400 c800 plastic.csv</x:v>
      </x:c>
      <x:c r="S494" s="12" t="n">
        <x:f>IF(O494=1,I494*J494,0)</x:f>
        <x:v>0</x:v>
      </x:c>
      <x:c r="T494" s="13" t="n">
        <x:f>IF(L494&gt;0,K494/L494,"n.a.")</x:f>
        <x:v>0.083</x:v>
      </x:c>
      <x:c r="U494" s="12" t="n">
        <x:f>IF(Q494="Old cost",S494,0)</x:f>
        <x:v>0</x:v>
      </x:c>
      <x:c r="V494" s="12" t="n">
        <x:f>IF(Q494="Higher cost",S494,0)</x:f>
        <x:v>0</x:v>
      </x:c>
      <x:c r="W494" s="12" t="n">
        <x:f>IF(Q494="Unclassified",S494,0)</x:f>
        <x:v>0</x:v>
      </x:c>
      <x:c r="X494" s="12" t="n">
        <x:f>IF(AND(ISNUMBER(F494),F494&gt;0,F494&lt;=Summary!$D$5,H494&gt;0),H494*J494,0)</x:f>
        <x:v>10000</x:v>
      </x:c>
    </x:row>
    <x:row r="495" ht="21" customHeight="1">
      <x:c r="A495" s="1" t="str">
        <x:v>10</x:v>
      </x:c>
      <x:c r="B495" s="1" t="str">
        <x:v>800BNAVASC</x:v>
      </x:c>
      <x:c r="C495" s="1" t="str">
        <x:v>1052596</x:v>
      </x:c>
      <x:c r="D495" s="1" t="str">
        <x:v>1</x:v>
      </x:c>
      <x:c r="E495" s="1"/>
      <x:c r="F495" s="7" t="n">
        <x:v>44208</x:v>
      </x:c>
      <x:c r="G495" s="7" t="n">
        <x:v>44209</x:v>
      </x:c>
      <x:c r="H495" s="8" t="n">
        <x:v>10000</x:v>
      </x:c>
      <x:c r="I495" s="8"/>
      <x:c r="J495" s="8" t="n">
        <x:v>1</x:v>
      </x:c>
      <x:c r="K495" s="9" t="n">
        <x:v>8.09</x:v>
      </x:c>
      <x:c r="L495" s="8" t="n">
        <x:v>100</x:v>
      </x:c>
      <x:c r="M495" s="10" t="n">
        <x:v>823</x:v>
      </x:c>
      <x:c r="N495" s="8" t="str">
        <x:v>i</x:v>
      </x:c>
      <x:c r="O495" s="8" t="n">
        <x:v>0</x:v>
      </x:c>
      <x:c r="P495" s="11" t="n">
        <x:f>MIN(X495,MAX(0,SUMIFS('Current inventory'!$D$2:$D$127,'Current inventory'!$A$2:$A$127,A495,'Current inventory'!$B$2:$B$127,B495)-SUMIFS($X$2:X494,$A$2:A494,A495,$B$2:B494,B495)))</x:f>
        <x:v>0</x:v>
      </x:c>
      <x:c r="Q495" s="1" t="str">
        <x:v>Received history</x:v>
      </x:c>
      <x:c r="R495" s="1" t="str">
        <x:v>Receipts data film c400 c800 plastic.csv</x:v>
      </x:c>
      <x:c r="S495" s="12" t="n">
        <x:f>IF(O495=1,I495*J495,0)</x:f>
        <x:v>0</x:v>
      </x:c>
      <x:c r="T495" s="13" t="n">
        <x:f>IF(L495&gt;0,K495/L495,"n.a.")</x:f>
        <x:v>0.0809</x:v>
      </x:c>
      <x:c r="U495" s="12" t="n">
        <x:f>IF(Q495="Old cost",S495,0)</x:f>
        <x:v>0</x:v>
      </x:c>
      <x:c r="V495" s="12" t="n">
        <x:f>IF(Q495="Higher cost",S495,0)</x:f>
        <x:v>0</x:v>
      </x:c>
      <x:c r="W495" s="12" t="n">
        <x:f>IF(Q495="Unclassified",S495,0)</x:f>
        <x:v>0</x:v>
      </x:c>
      <x:c r="X495" s="12" t="n">
        <x:f>IF(AND(ISNUMBER(F495),F495&gt;0,F495&lt;=Summary!$D$5,H495&gt;0),H495*J495,0)</x:f>
        <x:v>10000</x:v>
      </x:c>
    </x:row>
    <x:row r="496" ht="21" customHeight="1">
      <x:c r="A496" s="1" t="str">
        <x:v>10</x:v>
      </x:c>
      <x:c r="B496" s="1" t="str">
        <x:v>800BBLKASC</x:v>
      </x:c>
      <x:c r="C496" s="1" t="str">
        <x:v>1052596</x:v>
      </x:c>
      <x:c r="D496" s="1" t="str">
        <x:v>0</x:v>
      </x:c>
      <x:c r="E496" s="1"/>
      <x:c r="F496" s="7" t="n">
        <x:v>44179</x:v>
      </x:c>
      <x:c r="G496" s="7" t="n">
        <x:v>44194</x:v>
      </x:c>
      <x:c r="H496" s="8" t="n">
        <x:v>320000</x:v>
      </x:c>
      <x:c r="I496" s="8"/>
      <x:c r="J496" s="8" t="n">
        <x:v>1</x:v>
      </x:c>
      <x:c r="K496" s="9" t="n">
        <x:v>8.09</x:v>
      </x:c>
      <x:c r="L496" s="8" t="n">
        <x:v>100</x:v>
      </x:c>
      <x:c r="M496" s="10" t="n">
        <x:v>26336</x:v>
      </x:c>
      <x:c r="N496" s="8" t="str">
        <x:v>i</x:v>
      </x:c>
      <x:c r="O496" s="8" t="n">
        <x:v>0</x:v>
      </x:c>
      <x:c r="P496" s="11" t="n">
        <x:f>MIN(X496,MAX(0,SUMIFS('Current inventory'!$D$2:$D$127,'Current inventory'!$A$2:$A$127,A496,'Current inventory'!$B$2:$B$127,B496)-SUMIFS($X$2:X495,$A$2:A495,A496,$B$2:B495,B496)))</x:f>
        <x:v>0</x:v>
      </x:c>
      <x:c r="Q496" s="1" t="str">
        <x:v>Received history</x:v>
      </x:c>
      <x:c r="R496" s="1" t="str">
        <x:v>Receipts data film c400 c800 plastic.csv</x:v>
      </x:c>
      <x:c r="S496" s="12" t="n">
        <x:f>IF(O496=1,I496*J496,0)</x:f>
        <x:v>0</x:v>
      </x:c>
      <x:c r="T496" s="13" t="n">
        <x:f>IF(L496&gt;0,K496/L496,"n.a.")</x:f>
        <x:v>0.0809</x:v>
      </x:c>
      <x:c r="U496" s="12" t="n">
        <x:f>IF(Q496="Old cost",S496,0)</x:f>
        <x:v>0</x:v>
      </x:c>
      <x:c r="V496" s="12" t="n">
        <x:f>IF(Q496="Higher cost",S496,0)</x:f>
        <x:v>0</x:v>
      </x:c>
      <x:c r="W496" s="12" t="n">
        <x:f>IF(Q496="Unclassified",S496,0)</x:f>
        <x:v>0</x:v>
      </x:c>
      <x:c r="X496" s="12" t="n">
        <x:f>IF(AND(ISNUMBER(F496),F496&gt;0,F496&lt;=Summary!$D$5,H496&gt;0),H496*J496,0)</x:f>
        <x:v>320000</x:v>
      </x:c>
    </x:row>
    <x:row r="497" ht="21" customHeight="1">
      <x:c r="A497" s="1" t="str">
        <x:v>10</x:v>
      </x:c>
      <x:c r="B497" s="1" t="str">
        <x:v>800BBLKDSC</x:v>
      </x:c>
      <x:c r="C497" s="1" t="str">
        <x:v>1052596</x:v>
      </x:c>
      <x:c r="D497" s="1" t="str">
        <x:v>0</x:v>
      </x:c>
      <x:c r="E497" s="1"/>
      <x:c r="F497" s="7" t="n">
        <x:v>44179</x:v>
      </x:c>
      <x:c r="G497" s="7" t="n">
        <x:v>44194</x:v>
      </x:c>
      <x:c r="H497" s="8" t="n">
        <x:v>0</x:v>
      </x:c>
      <x:c r="I497" s="8"/>
      <x:c r="J497" s="8" t="n">
        <x:v>1</x:v>
      </x:c>
      <x:c r="K497" s="9" t="n">
        <x:v>17.37</x:v>
      </x:c>
      <x:c r="L497" s="8" t="n">
        <x:v>100</x:v>
      </x:c>
      <x:c r="M497" s="10" t="n">
        <x:v>0</x:v>
      </x:c>
      <x:c r="N497" s="8" t="str">
        <x:v>i</x:v>
      </x:c>
      <x:c r="O497" s="8" t="n">
        <x:v>0</x:v>
      </x:c>
      <x:c r="P497" s="11" t="n">
        <x:f>MIN(X497,MAX(0,SUMIFS('Current inventory'!$D$2:$D$127,'Current inventory'!$A$2:$A$127,A497,'Current inventory'!$B$2:$B$127,B497)-SUMIFS($X$2:X496,$A$2:A496,A497,$B$2:B496,B497)))</x:f>
        <x:v>0</x:v>
      </x:c>
      <x:c r="Q497" s="1" t="str">
        <x:v>Received history</x:v>
      </x:c>
      <x:c r="R497" s="1" t="str">
        <x:v>Receipts data film c400 c800 plastic.csv</x:v>
      </x:c>
      <x:c r="S497" s="12" t="n">
        <x:f>IF(O497=1,I497*J497,0)</x:f>
        <x:v>0</x:v>
      </x:c>
      <x:c r="T497" s="13" t="n">
        <x:f>IF(L497&gt;0,K497/L497,"n.a.")</x:f>
        <x:v>0.17370000000000002</x:v>
      </x:c>
      <x:c r="U497" s="12" t="n">
        <x:f>IF(Q497="Old cost",S497,0)</x:f>
        <x:v>0</x:v>
      </x:c>
      <x:c r="V497" s="12" t="n">
        <x:f>IF(Q497="Higher cost",S497,0)</x:f>
        <x:v>0</x:v>
      </x:c>
      <x:c r="W497" s="12" t="n">
        <x:f>IF(Q497="Unclassified",S497,0)</x:f>
        <x:v>0</x:v>
      </x:c>
      <x:c r="X497" s="12" t="n">
        <x:f>IF(AND(ISNUMBER(F497),F497&gt;0,F497&lt;=Summary!$D$5,H497&gt;0),H497*J497,0)</x:f>
        <x:v>0</x:v>
      </x:c>
    </x:row>
    <x:row r="498" ht="21" customHeight="1">
      <x:c r="A498" s="1" t="str">
        <x:v>10</x:v>
      </x:c>
      <x:c r="B498" s="1" t="str">
        <x:v>800BBLKISC</x:v>
      </x:c>
      <x:c r="C498" s="1" t="str">
        <x:v>1052596</x:v>
      </x:c>
      <x:c r="D498" s="1" t="str">
        <x:v>0</x:v>
      </x:c>
      <x:c r="E498" s="1"/>
      <x:c r="F498" s="7" t="n">
        <x:v>44179</x:v>
      </x:c>
      <x:c r="G498" s="7" t="n">
        <x:v>44194</x:v>
      </x:c>
      <x:c r="H498" s="8" t="n">
        <x:v>0</x:v>
      </x:c>
      <x:c r="I498" s="8"/>
      <x:c r="J498" s="8" t="n">
        <x:v>1</x:v>
      </x:c>
      <x:c r="K498" s="9" t="n">
        <x:v>9.06</x:v>
      </x:c>
      <x:c r="L498" s="8" t="n">
        <x:v>100</x:v>
      </x:c>
      <x:c r="M498" s="10" t="n">
        <x:v>0</x:v>
      </x:c>
      <x:c r="N498" s="8" t="str">
        <x:v>i</x:v>
      </x:c>
      <x:c r="O498" s="8" t="n">
        <x:v>0</x:v>
      </x:c>
      <x:c r="P498" s="11" t="n">
        <x:f>MIN(X498,MAX(0,SUMIFS('Current inventory'!$D$2:$D$127,'Current inventory'!$A$2:$A$127,A498,'Current inventory'!$B$2:$B$127,B498)-SUMIFS($X$2:X497,$A$2:A497,A498,$B$2:B497,B498)))</x:f>
        <x:v>0</x:v>
      </x:c>
      <x:c r="Q498" s="1" t="str">
        <x:v>Received history</x:v>
      </x:c>
      <x:c r="R498" s="1" t="str">
        <x:v>Receipts data film c400 c800 plastic.csv</x:v>
      </x:c>
      <x:c r="S498" s="12" t="n">
        <x:f>IF(O498=1,I498*J498,0)</x:f>
        <x:v>0</x:v>
      </x:c>
      <x:c r="T498" s="13" t="n">
        <x:f>IF(L498&gt;0,K498/L498,"n.a.")</x:f>
        <x:v>0.0906</x:v>
      </x:c>
      <x:c r="U498" s="12" t="n">
        <x:f>IF(Q498="Old cost",S498,0)</x:f>
        <x:v>0</x:v>
      </x:c>
      <x:c r="V498" s="12" t="n">
        <x:f>IF(Q498="Higher cost",S498,0)</x:f>
        <x:v>0</x:v>
      </x:c>
      <x:c r="W498" s="12" t="n">
        <x:f>IF(Q498="Unclassified",S498,0)</x:f>
        <x:v>0</x:v>
      </x:c>
      <x:c r="X498" s="12" t="n">
        <x:f>IF(AND(ISNUMBER(F498),F498&gt;0,F498&lt;=Summary!$D$5,H498&gt;0),H498*J498,0)</x:f>
        <x:v>0</x:v>
      </x:c>
    </x:row>
    <x:row r="499" ht="21" customHeight="1">
      <x:c r="A499" s="1" t="str">
        <x:v>10</x:v>
      </x:c>
      <x:c r="B499" s="1" t="str">
        <x:v>800BFGASC</x:v>
      </x:c>
      <x:c r="C499" s="1" t="str">
        <x:v>1052596</x:v>
      </x:c>
      <x:c r="D499" s="1" t="str">
        <x:v>0</x:v>
      </x:c>
      <x:c r="E499" s="1"/>
      <x:c r="F499" s="7" t="n">
        <x:v>44179</x:v>
      </x:c>
      <x:c r="G499" s="7" t="n">
        <x:v>44194</x:v>
      </x:c>
      <x:c r="H499" s="8" t="n">
        <x:v>0</x:v>
      </x:c>
      <x:c r="I499" s="8"/>
      <x:c r="J499" s="8" t="n">
        <x:v>1</x:v>
      </x:c>
      <x:c r="K499" s="9" t="n">
        <x:v>8.3</x:v>
      </x:c>
      <x:c r="L499" s="8" t="n">
        <x:v>100</x:v>
      </x:c>
      <x:c r="M499" s="10" t="n">
        <x:v>0</x:v>
      </x:c>
      <x:c r="N499" s="8" t="str">
        <x:v>i</x:v>
      </x:c>
      <x:c r="O499" s="8" t="n">
        <x:v>0</x:v>
      </x:c>
      <x:c r="P499" s="11" t="n">
        <x:f>MIN(X499,MAX(0,SUMIFS('Current inventory'!$D$2:$D$127,'Current inventory'!$A$2:$A$127,A499,'Current inventory'!$B$2:$B$127,B499)-SUMIFS($X$2:X498,$A$2:A498,A499,$B$2:B498,B499)))</x:f>
        <x:v>0</x:v>
      </x:c>
      <x:c r="Q499" s="1" t="str">
        <x:v>Received history</x:v>
      </x:c>
      <x:c r="R499" s="1" t="str">
        <x:v>Receipts data film c400 c800 plastic.csv</x:v>
      </x:c>
      <x:c r="S499" s="12" t="n">
        <x:f>IF(O499=1,I499*J499,0)</x:f>
        <x:v>0</x:v>
      </x:c>
      <x:c r="T499" s="13" t="n">
        <x:f>IF(L499&gt;0,K499/L499,"n.a.")</x:f>
        <x:v>0.083</x:v>
      </x:c>
      <x:c r="U499" s="12" t="n">
        <x:f>IF(Q499="Old cost",S499,0)</x:f>
        <x:v>0</x:v>
      </x:c>
      <x:c r="V499" s="12" t="n">
        <x:f>IF(Q499="Higher cost",S499,0)</x:f>
        <x:v>0</x:v>
      </x:c>
      <x:c r="W499" s="12" t="n">
        <x:f>IF(Q499="Unclassified",S499,0)</x:f>
        <x:v>0</x:v>
      </x:c>
      <x:c r="X499" s="12" t="n">
        <x:f>IF(AND(ISNUMBER(F499),F499&gt;0,F499&lt;=Summary!$D$5,H499&gt;0),H499*J499,0)</x:f>
        <x:v>0</x:v>
      </x:c>
    </x:row>
    <x:row r="500" ht="21" customHeight="1">
      <x:c r="A500" s="1" t="str">
        <x:v>10</x:v>
      </x:c>
      <x:c r="B500" s="1" t="str">
        <x:v>800BLKE</x:v>
      </x:c>
      <x:c r="C500" s="1" t="str">
        <x:v>1052596</x:v>
      </x:c>
      <x:c r="D500" s="1" t="str">
        <x:v>0</x:v>
      </x:c>
      <x:c r="E500" s="1"/>
      <x:c r="F500" s="7" t="n">
        <x:v>44179</x:v>
      </x:c>
      <x:c r="G500" s="7" t="n">
        <x:v>44194</x:v>
      </x:c>
      <x:c r="H500" s="8" t="n">
        <x:v>0</x:v>
      </x:c>
      <x:c r="I500" s="8"/>
      <x:c r="J500" s="8" t="n">
        <x:v>1</x:v>
      </x:c>
      <x:c r="K500" s="9" t="n">
        <x:v>530</x:v>
      </x:c>
      <x:c r="L500" s="8" t="n">
        <x:v>1000</x:v>
      </x:c>
      <x:c r="M500" s="10" t="n">
        <x:v>0</x:v>
      </x:c>
      <x:c r="N500" s="8" t="str">
        <x:v>i</x:v>
      </x:c>
      <x:c r="O500" s="8" t="n">
        <x:v>0</x:v>
      </x:c>
      <x:c r="P500" s="11" t="n">
        <x:f>MIN(X500,MAX(0,SUMIFS('Current inventory'!$D$2:$D$127,'Current inventory'!$A$2:$A$127,A500,'Current inventory'!$B$2:$B$127,B500)-SUMIFS($X$2:X499,$A$2:A499,A500,$B$2:B499,B500)))</x:f>
        <x:v>0</x:v>
      </x:c>
      <x:c r="Q500" s="1" t="str">
        <x:v>Received history</x:v>
      </x:c>
      <x:c r="R500" s="1" t="str">
        <x:v>Receipts data film c400 c800 plastic.csv</x:v>
      </x:c>
      <x:c r="S500" s="12" t="n">
        <x:f>IF(O500=1,I500*J500,0)</x:f>
        <x:v>0</x:v>
      </x:c>
      <x:c r="T500" s="13" t="n">
        <x:f>IF(L500&gt;0,K500/L500,"n.a.")</x:f>
        <x:v>0.53</x:v>
      </x:c>
      <x:c r="U500" s="12" t="n">
        <x:f>IF(Q500="Old cost",S500,0)</x:f>
        <x:v>0</x:v>
      </x:c>
      <x:c r="V500" s="12" t="n">
        <x:f>IF(Q500="Higher cost",S500,0)</x:f>
        <x:v>0</x:v>
      </x:c>
      <x:c r="W500" s="12" t="n">
        <x:f>IF(Q500="Unclassified",S500,0)</x:f>
        <x:v>0</x:v>
      </x:c>
      <x:c r="X500" s="12" t="n">
        <x:f>IF(AND(ISNUMBER(F500),F500&gt;0,F500&lt;=Summary!$D$5,H500&gt;0),H500*J500,0)</x:f>
        <x:v>0</x:v>
      </x:c>
    </x:row>
    <x:row r="501" ht="21" customHeight="1">
      <x:c r="A501" s="1" t="str">
        <x:v>10</x:v>
      </x:c>
      <x:c r="B501" s="1" t="str">
        <x:v>800BMARASC</x:v>
      </x:c>
      <x:c r="C501" s="1" t="str">
        <x:v>1052596</x:v>
      </x:c>
      <x:c r="D501" s="1" t="str">
        <x:v>0</x:v>
      </x:c>
      <x:c r="E501" s="1"/>
      <x:c r="F501" s="7" t="n">
        <x:v>44179</x:v>
      </x:c>
      <x:c r="G501" s="7" t="n">
        <x:v>44194</x:v>
      </x:c>
      <x:c r="H501" s="8" t="n">
        <x:v>0</x:v>
      </x:c>
      <x:c r="I501" s="8"/>
      <x:c r="J501" s="8" t="n">
        <x:v>1</x:v>
      </x:c>
      <x:c r="K501" s="9" t="n">
        <x:v>8.3</x:v>
      </x:c>
      <x:c r="L501" s="8" t="n">
        <x:v>100</x:v>
      </x:c>
      <x:c r="M501" s="10" t="n">
        <x:v>0</x:v>
      </x:c>
      <x:c r="N501" s="8" t="str">
        <x:v>i</x:v>
      </x:c>
      <x:c r="O501" s="8" t="n">
        <x:v>0</x:v>
      </x:c>
      <x:c r="P501" s="11" t="n">
        <x:f>MIN(X501,MAX(0,SUMIFS('Current inventory'!$D$2:$D$127,'Current inventory'!$A$2:$A$127,A501,'Current inventory'!$B$2:$B$127,B501)-SUMIFS($X$2:X500,$A$2:A500,A501,$B$2:B500,B501)))</x:f>
        <x:v>0</x:v>
      </x:c>
      <x:c r="Q501" s="1" t="str">
        <x:v>Received history</x:v>
      </x:c>
      <x:c r="R501" s="1" t="str">
        <x:v>Receipts data film c400 c800 plastic.csv</x:v>
      </x:c>
      <x:c r="S501" s="12" t="n">
        <x:f>IF(O501=1,I501*J501,0)</x:f>
        <x:v>0</x:v>
      </x:c>
      <x:c r="T501" s="13" t="n">
        <x:f>IF(L501&gt;0,K501/L501,"n.a.")</x:f>
        <x:v>0.083</x:v>
      </x:c>
      <x:c r="U501" s="12" t="n">
        <x:f>IF(Q501="Old cost",S501,0)</x:f>
        <x:v>0</x:v>
      </x:c>
      <x:c r="V501" s="12" t="n">
        <x:f>IF(Q501="Higher cost",S501,0)</x:f>
        <x:v>0</x:v>
      </x:c>
      <x:c r="W501" s="12" t="n">
        <x:f>IF(Q501="Unclassified",S501,0)</x:f>
        <x:v>0</x:v>
      </x:c>
      <x:c r="X501" s="12" t="n">
        <x:f>IF(AND(ISNUMBER(F501),F501&gt;0,F501&lt;=Summary!$D$5,H501&gt;0),H501*J501,0)</x:f>
        <x:v>0</x:v>
      </x:c>
    </x:row>
    <x:row r="502" ht="21" customHeight="1">
      <x:c r="A502" s="1" t="str">
        <x:v>10</x:v>
      </x:c>
      <x:c r="B502" s="1" t="str">
        <x:v>800BNAVASC</x:v>
      </x:c>
      <x:c r="C502" s="1" t="str">
        <x:v>1052596</x:v>
      </x:c>
      <x:c r="D502" s="1" t="str">
        <x:v>0</x:v>
      </x:c>
      <x:c r="E502" s="1"/>
      <x:c r="F502" s="7" t="n">
        <x:v>44179</x:v>
      </x:c>
      <x:c r="G502" s="7" t="n">
        <x:v>44194</x:v>
      </x:c>
      <x:c r="H502" s="8" t="n">
        <x:v>0</x:v>
      </x:c>
      <x:c r="I502" s="8"/>
      <x:c r="J502" s="8" t="n">
        <x:v>1</x:v>
      </x:c>
      <x:c r="K502" s="9" t="n">
        <x:v>8.09</x:v>
      </x:c>
      <x:c r="L502" s="8" t="n">
        <x:v>100</x:v>
      </x:c>
      <x:c r="M502" s="10" t="n">
        <x:v>0</x:v>
      </x:c>
      <x:c r="N502" s="8" t="str">
        <x:v>i</x:v>
      </x:c>
      <x:c r="O502" s="8" t="n">
        <x:v>0</x:v>
      </x:c>
      <x:c r="P502" s="11" t="n">
        <x:f>MIN(X502,MAX(0,SUMIFS('Current inventory'!$D$2:$D$127,'Current inventory'!$A$2:$A$127,A502,'Current inventory'!$B$2:$B$127,B502)-SUMIFS($X$2:X501,$A$2:A501,A502,$B$2:B501,B502)))</x:f>
        <x:v>0</x:v>
      </x:c>
      <x:c r="Q502" s="1" t="str">
        <x:v>Received history</x:v>
      </x:c>
      <x:c r="R502" s="1" t="str">
        <x:v>Receipts data film c400 c800 plastic.csv</x:v>
      </x:c>
      <x:c r="S502" s="12" t="n">
        <x:f>IF(O502=1,I502*J502,0)</x:f>
        <x:v>0</x:v>
      </x:c>
      <x:c r="T502" s="13" t="n">
        <x:f>IF(L502&gt;0,K502/L502,"n.a.")</x:f>
        <x:v>0.0809</x:v>
      </x:c>
      <x:c r="U502" s="12" t="n">
        <x:f>IF(Q502="Old cost",S502,0)</x:f>
        <x:v>0</x:v>
      </x:c>
      <x:c r="V502" s="12" t="n">
        <x:f>IF(Q502="Higher cost",S502,0)</x:f>
        <x:v>0</x:v>
      </x:c>
      <x:c r="W502" s="12" t="n">
        <x:f>IF(Q502="Unclassified",S502,0)</x:f>
        <x:v>0</x:v>
      </x:c>
      <x:c r="X502" s="12" t="n">
        <x:f>IF(AND(ISNUMBER(F502),F502&gt;0,F502&lt;=Summary!$D$5,H502&gt;0),H502*J502,0)</x:f>
        <x:v>0</x:v>
      </x:c>
    </x:row>
    <x:row r="503" ht="21" customHeight="1">
      <x:c r="A503" s="1" t="str">
        <x:v>10</x:v>
      </x:c>
      <x:c r="B503" s="1" t="str">
        <x:v>800BBLKASC</x:v>
      </x:c>
      <x:c r="C503" s="1" t="str">
        <x:v>1051754</x:v>
      </x:c>
      <x:c r="D503" s="1" t="str">
        <x:v>0</x:v>
      </x:c>
      <x:c r="E503" s="1"/>
      <x:c r="F503" s="7" t="n">
        <x:v>43936</x:v>
      </x:c>
      <x:c r="G503" s="7" t="n">
        <x:v>43938</x:v>
      </x:c>
      <x:c r="H503" s="8" t="n">
        <x:v>440000</x:v>
      </x:c>
      <x:c r="I503" s="8"/>
      <x:c r="J503" s="8" t="n">
        <x:v>1</x:v>
      </x:c>
      <x:c r="K503" s="9" t="n">
        <x:v>8.09</x:v>
      </x:c>
      <x:c r="L503" s="8" t="n">
        <x:v>100</x:v>
      </x:c>
      <x:c r="M503" s="10" t="n">
        <x:v>34848</x:v>
      </x:c>
      <x:c r="N503" s="8" t="str">
        <x:v>i</x:v>
      </x:c>
      <x:c r="O503" s="8" t="n">
        <x:v>0</x:v>
      </x:c>
      <x:c r="P503" s="11" t="n">
        <x:f>MIN(X503,MAX(0,SUMIFS('Current inventory'!$D$2:$D$127,'Current inventory'!$A$2:$A$127,A503,'Current inventory'!$B$2:$B$127,B503)-SUMIFS($X$2:X502,$A$2:A502,A503,$B$2:B502,B503)))</x:f>
        <x:v>0</x:v>
      </x:c>
      <x:c r="Q503" s="1" t="str">
        <x:v>Received history</x:v>
      </x:c>
      <x:c r="R503" s="1" t="str">
        <x:v>Receipts data film c400 c800 plastic.csv</x:v>
      </x:c>
      <x:c r="S503" s="12" t="n">
        <x:f>IF(O503=1,I503*J503,0)</x:f>
        <x:v>0</x:v>
      </x:c>
      <x:c r="T503" s="13" t="n">
        <x:f>IF(L503&gt;0,K503/L503,"n.a.")</x:f>
        <x:v>0.0809</x:v>
      </x:c>
      <x:c r="U503" s="12" t="n">
        <x:f>IF(Q503="Old cost",S503,0)</x:f>
        <x:v>0</x:v>
      </x:c>
      <x:c r="V503" s="12" t="n">
        <x:f>IF(Q503="Higher cost",S503,0)</x:f>
        <x:v>0</x:v>
      </x:c>
      <x:c r="W503" s="12" t="n">
        <x:f>IF(Q503="Unclassified",S503,0)</x:f>
        <x:v>0</x:v>
      </x:c>
      <x:c r="X503" s="12" t="n">
        <x:f>IF(AND(ISNUMBER(F503),F503&gt;0,F503&lt;=Summary!$D$5,H503&gt;0),H503*J503,0)</x:f>
        <x:v>440000</x:v>
      </x:c>
    </x:row>
    <x:row r="504" ht="21" customHeight="1">
      <x:c r="A504" s="1" t="str">
        <x:v>10</x:v>
      </x:c>
      <x:c r="B504" s="1" t="str">
        <x:v>800BBLKBRC</x:v>
      </x:c>
      <x:c r="C504" s="1" t="str">
        <x:v>1051754</x:v>
      </x:c>
      <x:c r="D504" s="1" t="str">
        <x:v>0</x:v>
      </x:c>
      <x:c r="E504" s="1"/>
      <x:c r="F504" s="7" t="n">
        <x:v>43936</x:v>
      </x:c>
      <x:c r="G504" s="7" t="n">
        <x:v>43938</x:v>
      </x:c>
      <x:c r="H504" s="8" t="n">
        <x:v>10000</x:v>
      </x:c>
      <x:c r="I504" s="8"/>
      <x:c r="J504" s="8" t="n">
        <x:v>1</x:v>
      </x:c>
      <x:c r="K504" s="9" t="n">
        <x:v>9.78</x:v>
      </x:c>
      <x:c r="L504" s="8" t="n">
        <x:v>100</x:v>
      </x:c>
      <x:c r="M504" s="10" t="n">
        <x:v>898</x:v>
      </x:c>
      <x:c r="N504" s="8" t="str">
        <x:v>i</x:v>
      </x:c>
      <x:c r="O504" s="8" t="n">
        <x:v>0</x:v>
      </x:c>
      <x:c r="P504" s="11" t="n">
        <x:f>MIN(X504,MAX(0,SUMIFS('Current inventory'!$D$2:$D$127,'Current inventory'!$A$2:$A$127,A504,'Current inventory'!$B$2:$B$127,B504)-SUMIFS($X$2:X503,$A$2:A503,A504,$B$2:B503,B504)))</x:f>
        <x:v>0</x:v>
      </x:c>
      <x:c r="Q504" s="1" t="str">
        <x:v>Received history</x:v>
      </x:c>
      <x:c r="R504" s="1" t="str">
        <x:v>Receipts data film c400 c800 plastic.csv</x:v>
      </x:c>
      <x:c r="S504" s="12" t="n">
        <x:f>IF(O504=1,I504*J504,0)</x:f>
        <x:v>0</x:v>
      </x:c>
      <x:c r="T504" s="13" t="n">
        <x:f>IF(L504&gt;0,K504/L504,"n.a.")</x:f>
        <x:v>0.0978</x:v>
      </x:c>
      <x:c r="U504" s="12" t="n">
        <x:f>IF(Q504="Old cost",S504,0)</x:f>
        <x:v>0</x:v>
      </x:c>
      <x:c r="V504" s="12" t="n">
        <x:f>IF(Q504="Higher cost",S504,0)</x:f>
        <x:v>0</x:v>
      </x:c>
      <x:c r="W504" s="12" t="n">
        <x:f>IF(Q504="Unclassified",S504,0)</x:f>
        <x:v>0</x:v>
      </x:c>
      <x:c r="X504" s="12" t="n">
        <x:f>IF(AND(ISNUMBER(F504),F504&gt;0,F504&lt;=Summary!$D$5,H504&gt;0),H504*J504,0)</x:f>
        <x:v>10000</x:v>
      </x:c>
    </x:row>
    <x:row r="505" ht="21" customHeight="1">
      <x:c r="A505" s="1" t="str">
        <x:v>10</x:v>
      </x:c>
      <x:c r="B505" s="1" t="str">
        <x:v>800BBLKCSC</x:v>
      </x:c>
      <x:c r="C505" s="1" t="str">
        <x:v>1051754</x:v>
      </x:c>
      <x:c r="D505" s="1" t="str">
        <x:v>0</x:v>
      </x:c>
      <x:c r="E505" s="1"/>
      <x:c r="F505" s="7" t="n">
        <x:v>43936</x:v>
      </x:c>
      <x:c r="G505" s="7" t="n">
        <x:v>43938</x:v>
      </x:c>
      <x:c r="H505" s="8" t="n">
        <x:v>10000</x:v>
      </x:c>
      <x:c r="I505" s="8"/>
      <x:c r="J505" s="8" t="n">
        <x:v>1</x:v>
      </x:c>
      <x:c r="K505" s="9" t="n">
        <x:v>11.13</x:v>
      </x:c>
      <x:c r="L505" s="8" t="n">
        <x:v>100</x:v>
      </x:c>
      <x:c r="M505" s="10" t="n">
        <x:v>1103</x:v>
      </x:c>
      <x:c r="N505" s="8" t="str">
        <x:v>i</x:v>
      </x:c>
      <x:c r="O505" s="8" t="n">
        <x:v>0</x:v>
      </x:c>
      <x:c r="P505" s="11" t="n">
        <x:f>MIN(X505,MAX(0,SUMIFS('Current inventory'!$D$2:$D$127,'Current inventory'!$A$2:$A$127,A505,'Current inventory'!$B$2:$B$127,B505)-SUMIFS($X$2:X504,$A$2:A504,A505,$B$2:B504,B505)))</x:f>
        <x:v>0</x:v>
      </x:c>
      <x:c r="Q505" s="1" t="str">
        <x:v>Received history</x:v>
      </x:c>
      <x:c r="R505" s="1" t="str">
        <x:v>Receipts data film c400 c800 plastic.csv</x:v>
      </x:c>
      <x:c r="S505" s="12" t="n">
        <x:f>IF(O505=1,I505*J505,0)</x:f>
        <x:v>0</x:v>
      </x:c>
      <x:c r="T505" s="13" t="n">
        <x:f>IF(L505&gt;0,K505/L505,"n.a.")</x:f>
        <x:v>0.11130000000000001</x:v>
      </x:c>
      <x:c r="U505" s="12" t="n">
        <x:f>IF(Q505="Old cost",S505,0)</x:f>
        <x:v>0</x:v>
      </x:c>
      <x:c r="V505" s="12" t="n">
        <x:f>IF(Q505="Higher cost",S505,0)</x:f>
        <x:v>0</x:v>
      </x:c>
      <x:c r="W505" s="12" t="n">
        <x:f>IF(Q505="Unclassified",S505,0)</x:f>
        <x:v>0</x:v>
      </x:c>
      <x:c r="X505" s="12" t="n">
        <x:f>IF(AND(ISNUMBER(F505),F505&gt;0,F505&lt;=Summary!$D$5,H505&gt;0),H505*J505,0)</x:f>
        <x:v>10000</x:v>
      </x:c>
    </x:row>
    <x:row r="506" ht="21" customHeight="1">
      <x:c r="A506" s="1" t="str">
        <x:v>10</x:v>
      </x:c>
      <x:c r="B506" s="1" t="str">
        <x:v>800BBLKDSC</x:v>
      </x:c>
      <x:c r="C506" s="1" t="str">
        <x:v>1051754</x:v>
      </x:c>
      <x:c r="D506" s="1" t="str">
        <x:v>0</x:v>
      </x:c>
      <x:c r="E506" s="1"/>
      <x:c r="F506" s="7" t="n">
        <x:v>43936</x:v>
      </x:c>
      <x:c r="G506" s="7" t="n">
        <x:v>43938</x:v>
      </x:c>
      <x:c r="H506" s="8" t="n">
        <x:v>5000</x:v>
      </x:c>
      <x:c r="I506" s="8"/>
      <x:c r="J506" s="8" t="n">
        <x:v>1</x:v>
      </x:c>
      <x:c r="K506" s="9" t="n">
        <x:v>17.37</x:v>
      </x:c>
      <x:c r="L506" s="8" t="n">
        <x:v>100</x:v>
      </x:c>
      <x:c r="M506" s="10" t="n">
        <x:v>827</x:v>
      </x:c>
      <x:c r="N506" s="8" t="str">
        <x:v>i</x:v>
      </x:c>
      <x:c r="O506" s="8" t="n">
        <x:v>0</x:v>
      </x:c>
      <x:c r="P506" s="11" t="n">
        <x:f>MIN(X506,MAX(0,SUMIFS('Current inventory'!$D$2:$D$127,'Current inventory'!$A$2:$A$127,A506,'Current inventory'!$B$2:$B$127,B506)-SUMIFS($X$2:X505,$A$2:A505,A506,$B$2:B505,B506)))</x:f>
        <x:v>0</x:v>
      </x:c>
      <x:c r="Q506" s="1" t="str">
        <x:v>Received history</x:v>
      </x:c>
      <x:c r="R506" s="1" t="str">
        <x:v>Receipts data film c400 c800 plastic.csv</x:v>
      </x:c>
      <x:c r="S506" s="12" t="n">
        <x:f>IF(O506=1,I506*J506,0)</x:f>
        <x:v>0</x:v>
      </x:c>
      <x:c r="T506" s="13" t="n">
        <x:f>IF(L506&gt;0,K506/L506,"n.a.")</x:f>
        <x:v>0.17370000000000002</x:v>
      </x:c>
      <x:c r="U506" s="12" t="n">
        <x:f>IF(Q506="Old cost",S506,0)</x:f>
        <x:v>0</x:v>
      </x:c>
      <x:c r="V506" s="12" t="n">
        <x:f>IF(Q506="Higher cost",S506,0)</x:f>
        <x:v>0</x:v>
      </x:c>
      <x:c r="W506" s="12" t="n">
        <x:f>IF(Q506="Unclassified",S506,0)</x:f>
        <x:v>0</x:v>
      </x:c>
      <x:c r="X506" s="12" t="n">
        <x:f>IF(AND(ISNUMBER(F506),F506&gt;0,F506&lt;=Summary!$D$5,H506&gt;0),H506*J506,0)</x:f>
        <x:v>5000</x:v>
      </x:c>
    </x:row>
    <x:row r="507" ht="21" customHeight="1">
      <x:c r="A507" s="1" t="str">
        <x:v>10</x:v>
      </x:c>
      <x:c r="B507" s="1" t="str">
        <x:v>800BBLKISC</x:v>
      </x:c>
      <x:c r="C507" s="1" t="str">
        <x:v>1051754</x:v>
      </x:c>
      <x:c r="D507" s="1" t="str">
        <x:v>0</x:v>
      </x:c>
      <x:c r="E507" s="1"/>
      <x:c r="F507" s="7" t="n">
        <x:v>43936</x:v>
      </x:c>
      <x:c r="G507" s="7" t="n">
        <x:v>43938</x:v>
      </x:c>
      <x:c r="H507" s="8" t="n">
        <x:v>17000</x:v>
      </x:c>
      <x:c r="I507" s="8"/>
      <x:c r="J507" s="8" t="n">
        <x:v>1</x:v>
      </x:c>
      <x:c r="K507" s="9" t="n">
        <x:v>9.06</x:v>
      </x:c>
      <x:c r="L507" s="8" t="n">
        <x:v>100</x:v>
      </x:c>
      <x:c r="M507" s="10" t="n">
        <x:v>1467.1</x:v>
      </x:c>
      <x:c r="N507" s="8" t="str">
        <x:v>i</x:v>
      </x:c>
      <x:c r="O507" s="8" t="n">
        <x:v>0</x:v>
      </x:c>
      <x:c r="P507" s="11" t="n">
        <x:f>MIN(X507,MAX(0,SUMIFS('Current inventory'!$D$2:$D$127,'Current inventory'!$A$2:$A$127,A507,'Current inventory'!$B$2:$B$127,B507)-SUMIFS($X$2:X506,$A$2:A506,A507,$B$2:B506,B507)))</x:f>
        <x:v>0</x:v>
      </x:c>
      <x:c r="Q507" s="1" t="str">
        <x:v>Received history</x:v>
      </x:c>
      <x:c r="R507" s="1" t="str">
        <x:v>Receipts data film c400 c800 plastic.csv</x:v>
      </x:c>
      <x:c r="S507" s="12" t="n">
        <x:f>IF(O507=1,I507*J507,0)</x:f>
        <x:v>0</x:v>
      </x:c>
      <x:c r="T507" s="13" t="n">
        <x:f>IF(L507&gt;0,K507/L507,"n.a.")</x:f>
        <x:v>0.0906</x:v>
      </x:c>
      <x:c r="U507" s="12" t="n">
        <x:f>IF(Q507="Old cost",S507,0)</x:f>
        <x:v>0</x:v>
      </x:c>
      <x:c r="V507" s="12" t="n">
        <x:f>IF(Q507="Higher cost",S507,0)</x:f>
        <x:v>0</x:v>
      </x:c>
      <x:c r="W507" s="12" t="n">
        <x:f>IF(Q507="Unclassified",S507,0)</x:f>
        <x:v>0</x:v>
      </x:c>
      <x:c r="X507" s="12" t="n">
        <x:f>IF(AND(ISNUMBER(F507),F507&gt;0,F507&lt;=Summary!$D$5,H507&gt;0),H507*J507,0)</x:f>
        <x:v>17000</x:v>
      </x:c>
    </x:row>
    <x:row r="508" ht="21" customHeight="1">
      <x:c r="A508" s="1" t="str">
        <x:v>10</x:v>
      </x:c>
      <x:c r="B508" s="1" t="str">
        <x:v>800BLKE</x:v>
      </x:c>
      <x:c r="C508" s="1" t="str">
        <x:v>1051754</x:v>
      </x:c>
      <x:c r="D508" s="1" t="str">
        <x:v>0</x:v>
      </x:c>
      <x:c r="E508" s="1"/>
      <x:c r="F508" s="7" t="n">
        <x:v>43936</x:v>
      </x:c>
      <x:c r="G508" s="7" t="n">
        <x:v>43938</x:v>
      </x:c>
      <x:c r="H508" s="8" t="n">
        <x:v>6000</x:v>
      </x:c>
      <x:c r="I508" s="8"/>
      <x:c r="J508" s="8" t="n">
        <x:v>1</x:v>
      </x:c>
      <x:c r="K508" s="9" t="n">
        <x:v>530</x:v>
      </x:c>
      <x:c r="L508" s="8" t="n">
        <x:v>1000</x:v>
      </x:c>
      <x:c r="M508" s="10" t="n">
        <x:v>3180</x:v>
      </x:c>
      <x:c r="N508" s="8" t="str">
        <x:v>i</x:v>
      </x:c>
      <x:c r="O508" s="8" t="n">
        <x:v>0</x:v>
      </x:c>
      <x:c r="P508" s="11" t="n">
        <x:f>MIN(X508,MAX(0,SUMIFS('Current inventory'!$D$2:$D$127,'Current inventory'!$A$2:$A$127,A508,'Current inventory'!$B$2:$B$127,B508)-SUMIFS($X$2:X507,$A$2:A507,A508,$B$2:B507,B508)))</x:f>
        <x:v>0</x:v>
      </x:c>
      <x:c r="Q508" s="1" t="str">
        <x:v>Received history</x:v>
      </x:c>
      <x:c r="R508" s="1" t="str">
        <x:v>Receipts data film c400 c800 plastic.csv</x:v>
      </x:c>
      <x:c r="S508" s="12" t="n">
        <x:f>IF(O508=1,I508*J508,0)</x:f>
        <x:v>0</x:v>
      </x:c>
      <x:c r="T508" s="13" t="n">
        <x:f>IF(L508&gt;0,K508/L508,"n.a.")</x:f>
        <x:v>0.53</x:v>
      </x:c>
      <x:c r="U508" s="12" t="n">
        <x:f>IF(Q508="Old cost",S508,0)</x:f>
        <x:v>0</x:v>
      </x:c>
      <x:c r="V508" s="12" t="n">
        <x:f>IF(Q508="Higher cost",S508,0)</x:f>
        <x:v>0</x:v>
      </x:c>
      <x:c r="W508" s="12" t="n">
        <x:f>IF(Q508="Unclassified",S508,0)</x:f>
        <x:v>0</x:v>
      </x:c>
      <x:c r="X508" s="12" t="n">
        <x:f>IF(AND(ISNUMBER(F508),F508&gt;0,F508&lt;=Summary!$D$5,H508&gt;0),H508*J508,0)</x:f>
        <x:v>6000</x:v>
      </x:c>
    </x:row>
    <x:row r="509" ht="21" customHeight="1">
      <x:c r="A509" s="1" t="str">
        <x:v>10</x:v>
      </x:c>
      <x:c r="B509" s="1" t="str">
        <x:v>800BNAVASC</x:v>
      </x:c>
      <x:c r="C509" s="1" t="str">
        <x:v>1051754</x:v>
      </x:c>
      <x:c r="D509" s="1" t="str">
        <x:v>0</x:v>
      </x:c>
      <x:c r="E509" s="1"/>
      <x:c r="F509" s="7" t="n">
        <x:v>43936</x:v>
      </x:c>
      <x:c r="G509" s="7" t="n">
        <x:v>43938</x:v>
      </x:c>
      <x:c r="H509" s="8" t="n">
        <x:v>40000</x:v>
      </x:c>
      <x:c r="I509" s="8"/>
      <x:c r="J509" s="8" t="n">
        <x:v>1</x:v>
      </x:c>
      <x:c r="K509" s="9" t="n">
        <x:v>8.09</x:v>
      </x:c>
      <x:c r="L509" s="8" t="n">
        <x:v>100</x:v>
      </x:c>
      <x:c r="M509" s="10" t="n">
        <x:v>3168</x:v>
      </x:c>
      <x:c r="N509" s="8" t="str">
        <x:v>i</x:v>
      </x:c>
      <x:c r="O509" s="8" t="n">
        <x:v>0</x:v>
      </x:c>
      <x:c r="P509" s="11" t="n">
        <x:f>MIN(X509,MAX(0,SUMIFS('Current inventory'!$D$2:$D$127,'Current inventory'!$A$2:$A$127,A509,'Current inventory'!$B$2:$B$127,B509)-SUMIFS($X$2:X508,$A$2:A508,A509,$B$2:B508,B509)))</x:f>
        <x:v>0</x:v>
      </x:c>
      <x:c r="Q509" s="1" t="str">
        <x:v>Received history</x:v>
      </x:c>
      <x:c r="R509" s="1" t="str">
        <x:v>Receipts data film c400 c800 plastic.csv</x:v>
      </x:c>
      <x:c r="S509" s="12" t="n">
        <x:f>IF(O509=1,I509*J509,0)</x:f>
        <x:v>0</x:v>
      </x:c>
      <x:c r="T509" s="13" t="n">
        <x:f>IF(L509&gt;0,K509/L509,"n.a.")</x:f>
        <x:v>0.0809</x:v>
      </x:c>
      <x:c r="U509" s="12" t="n">
        <x:f>IF(Q509="Old cost",S509,0)</x:f>
        <x:v>0</x:v>
      </x:c>
      <x:c r="V509" s="12" t="n">
        <x:f>IF(Q509="Higher cost",S509,0)</x:f>
        <x:v>0</x:v>
      </x:c>
      <x:c r="W509" s="12" t="n">
        <x:f>IF(Q509="Unclassified",S509,0)</x:f>
        <x:v>0</x:v>
      </x:c>
      <x:c r="X509" s="12" t="n">
        <x:f>IF(AND(ISNUMBER(F509),F509&gt;0,F509&lt;=Summary!$D$5,H509&gt;0),H509*J509,0)</x:f>
        <x:v>40000</x:v>
      </x:c>
    </x:row>
    <x:row r="510" ht="21" customHeight="1">
      <x:c r="A510" s="1" t="str">
        <x:v>10</x:v>
      </x:c>
      <x:c r="B510" s="1" t="str">
        <x:v>800BNAVCSC</x:v>
      </x:c>
      <x:c r="C510" s="1" t="str">
        <x:v>1051754</x:v>
      </x:c>
      <x:c r="D510" s="1" t="str">
        <x:v>0</x:v>
      </x:c>
      <x:c r="E510" s="1"/>
      <x:c r="F510" s="7" t="n">
        <x:v>43936</x:v>
      </x:c>
      <x:c r="G510" s="7" t="n">
        <x:v>43938</x:v>
      </x:c>
      <x:c r="H510" s="8" t="n">
        <x:v>5000</x:v>
      </x:c>
      <x:c r="I510" s="8"/>
      <x:c r="J510" s="8" t="n">
        <x:v>1</x:v>
      </x:c>
      <x:c r="K510" s="9" t="n">
        <x:v>11.13</x:v>
      </x:c>
      <x:c r="L510" s="8" t="n">
        <x:v>100</x:v>
      </x:c>
      <x:c r="M510" s="10" t="n">
        <x:v>551.5</x:v>
      </x:c>
      <x:c r="N510" s="8" t="str">
        <x:v>i</x:v>
      </x:c>
      <x:c r="O510" s="8" t="n">
        <x:v>0</x:v>
      </x:c>
      <x:c r="P510" s="11" t="n">
        <x:f>MIN(X510,MAX(0,SUMIFS('Current inventory'!$D$2:$D$127,'Current inventory'!$A$2:$A$127,A510,'Current inventory'!$B$2:$B$127,B510)-SUMIFS($X$2:X509,$A$2:A509,A510,$B$2:B509,B510)))</x:f>
        <x:v>0</x:v>
      </x:c>
      <x:c r="Q510" s="1" t="str">
        <x:v>Received history</x:v>
      </x:c>
      <x:c r="R510" s="1" t="str">
        <x:v>Receipts data film c400 c800 plastic.csv</x:v>
      </x:c>
      <x:c r="S510" s="12" t="n">
        <x:f>IF(O510=1,I510*J510,0)</x:f>
        <x:v>0</x:v>
      </x:c>
      <x:c r="T510" s="13" t="n">
        <x:f>IF(L510&gt;0,K510/L510,"n.a.")</x:f>
        <x:v>0.11130000000000001</x:v>
      </x:c>
      <x:c r="U510" s="12" t="n">
        <x:f>IF(Q510="Old cost",S510,0)</x:f>
        <x:v>0</x:v>
      </x:c>
      <x:c r="V510" s="12" t="n">
        <x:f>IF(Q510="Higher cost",S510,0)</x:f>
        <x:v>0</x:v>
      </x:c>
      <x:c r="W510" s="12" t="n">
        <x:f>IF(Q510="Unclassified",S510,0)</x:f>
        <x:v>0</x:v>
      </x:c>
      <x:c r="X510" s="12" t="n">
        <x:f>IF(AND(ISNUMBER(F510),F510&gt;0,F510&lt;=Summary!$D$5,H510&gt;0),H510*J510,0)</x:f>
        <x:v>5000</x:v>
      </x:c>
    </x:row>
    <x:row r="511" ht="21" customHeight="1">
      <x:c r="A511" s="1" t="str">
        <x:v>10</x:v>
      </x:c>
      <x:c r="B511" s="1" t="str">
        <x:v>800BNAVISC</x:v>
      </x:c>
      <x:c r="C511" s="1" t="str">
        <x:v>1051754</x:v>
      </x:c>
      <x:c r="D511" s="1" t="str">
        <x:v>0</x:v>
      </x:c>
      <x:c r="E511" s="1"/>
      <x:c r="F511" s="7" t="n">
        <x:v>43936</x:v>
      </x:c>
      <x:c r="G511" s="7" t="n">
        <x:v>43938</x:v>
      </x:c>
      <x:c r="H511" s="8" t="n">
        <x:v>13000</x:v>
      </x:c>
      <x:c r="I511" s="8"/>
      <x:c r="J511" s="8" t="n">
        <x:v>1</x:v>
      </x:c>
      <x:c r="K511" s="9" t="n">
        <x:v>9.06</x:v>
      </x:c>
      <x:c r="L511" s="8" t="n">
        <x:v>100</x:v>
      </x:c>
      <x:c r="M511" s="10" t="n">
        <x:v>1121.9</x:v>
      </x:c>
      <x:c r="N511" s="8" t="str">
        <x:v>i</x:v>
      </x:c>
      <x:c r="O511" s="8" t="n">
        <x:v>0</x:v>
      </x:c>
      <x:c r="P511" s="11" t="n">
        <x:f>MIN(X511,MAX(0,SUMIFS('Current inventory'!$D$2:$D$127,'Current inventory'!$A$2:$A$127,A511,'Current inventory'!$B$2:$B$127,B511)-SUMIFS($X$2:X510,$A$2:A510,A511,$B$2:B510,B511)))</x:f>
        <x:v>300</x:v>
      </x:c>
      <x:c r="Q511" s="1" t="str">
        <x:v>Received history</x:v>
      </x:c>
      <x:c r="R511" s="1" t="str">
        <x:v>Receipts data film c400 c800 plastic.csv</x:v>
      </x:c>
      <x:c r="S511" s="12" t="n">
        <x:f>IF(O511=1,I511*J511,0)</x:f>
        <x:v>0</x:v>
      </x:c>
      <x:c r="T511" s="13" t="n">
        <x:f>IF(L511&gt;0,K511/L511,"n.a.")</x:f>
        <x:v>0.0906</x:v>
      </x:c>
      <x:c r="U511" s="12" t="n">
        <x:f>IF(Q511="Old cost",S511,0)</x:f>
        <x:v>0</x:v>
      </x:c>
      <x:c r="V511" s="12" t="n">
        <x:f>IF(Q511="Higher cost",S511,0)</x:f>
        <x:v>0</x:v>
      </x:c>
      <x:c r="W511" s="12" t="n">
        <x:f>IF(Q511="Unclassified",S511,0)</x:f>
        <x:v>0</x:v>
      </x:c>
      <x:c r="X511" s="12" t="n">
        <x:f>IF(AND(ISNUMBER(F511),F511&gt;0,F511&lt;=Summary!$D$5,H511&gt;0),H511*J511,0)</x:f>
        <x:v>13000</x:v>
      </x:c>
    </x:row>
    <x:row r="512" ht="21" customHeight="1">
      <x:c r="A512" s="1" t="str">
        <x:v>10</x:v>
      </x:c>
      <x:c r="B512" s="1" t="str">
        <x:v>800NAVE</x:v>
      </x:c>
      <x:c r="C512" s="1" t="str">
        <x:v>1051754</x:v>
      </x:c>
      <x:c r="D512" s="1" t="str">
        <x:v>0</x:v>
      </x:c>
      <x:c r="E512" s="1"/>
      <x:c r="F512" s="7" t="n">
        <x:v>43936</x:v>
      </x:c>
      <x:c r="G512" s="7" t="n">
        <x:v>43938</x:v>
      </x:c>
      <x:c r="H512" s="8" t="n">
        <x:v>6000</x:v>
      </x:c>
      <x:c r="I512" s="8"/>
      <x:c r="J512" s="8" t="n">
        <x:v>1</x:v>
      </x:c>
      <x:c r="K512" s="9" t="n">
        <x:v>530</x:v>
      </x:c>
      <x:c r="L512" s="8" t="n">
        <x:v>1000</x:v>
      </x:c>
      <x:c r="M512" s="10" t="n">
        <x:v>3180</x:v>
      </x:c>
      <x:c r="N512" s="8" t="str">
        <x:v>i</x:v>
      </x:c>
      <x:c r="O512" s="8" t="n">
        <x:v>0</x:v>
      </x:c>
      <x:c r="P512" s="11" t="n">
        <x:f>MIN(X512,MAX(0,SUMIFS('Current inventory'!$D$2:$D$127,'Current inventory'!$A$2:$A$127,A512,'Current inventory'!$B$2:$B$127,B512)-SUMIFS($X$2:X511,$A$2:A511,A512,$B$2:B511,B512)))</x:f>
        <x:v>0</x:v>
      </x:c>
      <x:c r="Q512" s="1" t="str">
        <x:v>Received history</x:v>
      </x:c>
      <x:c r="R512" s="1" t="str">
        <x:v>Receipts data film c400 c800 plastic.csv</x:v>
      </x:c>
      <x:c r="S512" s="12" t="n">
        <x:f>IF(O512=1,I512*J512,0)</x:f>
        <x:v>0</x:v>
      </x:c>
      <x:c r="T512" s="13" t="n">
        <x:f>IF(L512&gt;0,K512/L512,"n.a.")</x:f>
        <x:v>0.53</x:v>
      </x:c>
      <x:c r="U512" s="12" t="n">
        <x:f>IF(Q512="Old cost",S512,0)</x:f>
        <x:v>0</x:v>
      </x:c>
      <x:c r="V512" s="12" t="n">
        <x:f>IF(Q512="Higher cost",S512,0)</x:f>
        <x:v>0</x:v>
      </x:c>
      <x:c r="W512" s="12" t="n">
        <x:f>IF(Q512="Unclassified",S512,0)</x:f>
        <x:v>0</x:v>
      </x:c>
      <x:c r="X512" s="12" t="n">
        <x:f>IF(AND(ISNUMBER(F512),F512&gt;0,F512&lt;=Summary!$D$5,H512&gt;0),H512*J512,0)</x:f>
        <x:v>6000</x:v>
      </x:c>
    </x:row>
    <x:row r="513" ht="21" customHeight="1">
      <x:c r="A513" s="1" t="str">
        <x:v>60</x:v>
      </x:c>
      <x:c r="B513" s="1" t="str">
        <x:v>800BBLKASC</x:v>
      </x:c>
      <x:c r="C513" s="1" t="str">
        <x:v>6102447</x:v>
      </x:c>
      <x:c r="D513" s="1" t="str">
        <x:v>0</x:v>
      </x:c>
      <x:c r="E513" s="1"/>
      <x:c r="F513" s="7" t="n">
        <x:v>43916</x:v>
      </x:c>
      <x:c r="G513" s="7" t="n">
        <x:v>43917</x:v>
      </x:c>
      <x:c r="H513" s="8" t="n">
        <x:v>280000</x:v>
      </x:c>
      <x:c r="I513" s="8"/>
      <x:c r="J513" s="8" t="n">
        <x:v>1</x:v>
      </x:c>
      <x:c r="K513" s="9" t="n">
        <x:v>8.09</x:v>
      </x:c>
      <x:c r="L513" s="8" t="n">
        <x:v>100</x:v>
      </x:c>
      <x:c r="M513" s="10" t="n">
        <x:v>22176</x:v>
      </x:c>
      <x:c r="N513" s="8" t="str">
        <x:v>i</x:v>
      </x:c>
      <x:c r="O513" s="8" t="n">
        <x:v>0</x:v>
      </x:c>
      <x:c r="P513" s="11" t="n">
        <x:f>MIN(X513,MAX(0,SUMIFS('Current inventory'!$D$2:$D$127,'Current inventory'!$A$2:$A$127,A513,'Current inventory'!$B$2:$B$127,B513)-SUMIFS($X$2:X512,$A$2:A512,A513,$B$2:B512,B513)))</x:f>
        <x:v>0</x:v>
      </x:c>
      <x:c r="Q513" s="1" t="str">
        <x:v>Received history</x:v>
      </x:c>
      <x:c r="R513" s="1" t="str">
        <x:v>Receipts data film c400 c800 plastic.csv</x:v>
      </x:c>
      <x:c r="S513" s="12" t="n">
        <x:f>IF(O513=1,I513*J513,0)</x:f>
        <x:v>0</x:v>
      </x:c>
      <x:c r="T513" s="13" t="n">
        <x:f>IF(L513&gt;0,K513/L513,"n.a.")</x:f>
        <x:v>0.0809</x:v>
      </x:c>
      <x:c r="U513" s="12" t="n">
        <x:f>IF(Q513="Old cost",S513,0)</x:f>
        <x:v>0</x:v>
      </x:c>
      <x:c r="V513" s="12" t="n">
        <x:f>IF(Q513="Higher cost",S513,0)</x:f>
        <x:v>0</x:v>
      </x:c>
      <x:c r="W513" s="12" t="n">
        <x:f>IF(Q513="Unclassified",S513,0)</x:f>
        <x:v>0</x:v>
      </x:c>
      <x:c r="X513" s="12" t="n">
        <x:f>IF(AND(ISNUMBER(F513),F513&gt;0,F513&lt;=Summary!$D$5,H513&gt;0),H513*J513,0)</x:f>
        <x:v>280000</x:v>
      </x:c>
    </x:row>
    <x:row r="514" ht="21" customHeight="1">
      <x:c r="A514" s="1" t="str">
        <x:v>60</x:v>
      </x:c>
      <x:c r="B514" s="1" t="str">
        <x:v>800BBLKDSC</x:v>
      </x:c>
      <x:c r="C514" s="1" t="str">
        <x:v>6102447</x:v>
      </x:c>
      <x:c r="D514" s="1" t="str">
        <x:v>0</x:v>
      </x:c>
      <x:c r="E514" s="1"/>
      <x:c r="F514" s="7" t="n">
        <x:v>43916</x:v>
      </x:c>
      <x:c r="G514" s="7" t="n">
        <x:v>43917</x:v>
      </x:c>
      <x:c r="H514" s="8" t="n">
        <x:v>15000</x:v>
      </x:c>
      <x:c r="I514" s="8"/>
      <x:c r="J514" s="8" t="n">
        <x:v>1</x:v>
      </x:c>
      <x:c r="K514" s="9" t="n">
        <x:v>17.37</x:v>
      </x:c>
      <x:c r="L514" s="8" t="n">
        <x:v>100</x:v>
      </x:c>
      <x:c r="M514" s="10" t="n">
        <x:v>2481</x:v>
      </x:c>
      <x:c r="N514" s="8" t="str">
        <x:v>i</x:v>
      </x:c>
      <x:c r="O514" s="8" t="n">
        <x:v>0</x:v>
      </x:c>
      <x:c r="P514" s="11" t="n">
        <x:f>MIN(X514,MAX(0,SUMIFS('Current inventory'!$D$2:$D$127,'Current inventory'!$A$2:$A$127,A514,'Current inventory'!$B$2:$B$127,B514)-SUMIFS($X$2:X513,$A$2:A513,A514,$B$2:B513,B514)))</x:f>
        <x:v>0</x:v>
      </x:c>
      <x:c r="Q514" s="1" t="str">
        <x:v>Received history</x:v>
      </x:c>
      <x:c r="R514" s="1" t="str">
        <x:v>Receipts data film c400 c800 plastic.csv</x:v>
      </x:c>
      <x:c r="S514" s="12" t="n">
        <x:f>IF(O514=1,I514*J514,0)</x:f>
        <x:v>0</x:v>
      </x:c>
      <x:c r="T514" s="13" t="n">
        <x:f>IF(L514&gt;0,K514/L514,"n.a.")</x:f>
        <x:v>0.17370000000000002</x:v>
      </x:c>
      <x:c r="U514" s="12" t="n">
        <x:f>IF(Q514="Old cost",S514,0)</x:f>
        <x:v>0</x:v>
      </x:c>
      <x:c r="V514" s="12" t="n">
        <x:f>IF(Q514="Higher cost",S514,0)</x:f>
        <x:v>0</x:v>
      </x:c>
      <x:c r="W514" s="12" t="n">
        <x:f>IF(Q514="Unclassified",S514,0)</x:f>
        <x:v>0</x:v>
      </x:c>
      <x:c r="X514" s="12" t="n">
        <x:f>IF(AND(ISNUMBER(F514),F514&gt;0,F514&lt;=Summary!$D$5,H514&gt;0),H514*J514,0)</x:f>
        <x:v>15000</x:v>
      </x:c>
    </x:row>
    <x:row r="515" ht="21" customHeight="1">
      <x:c r="A515" s="1" t="str">
        <x:v>60</x:v>
      </x:c>
      <x:c r="B515" s="1" t="str">
        <x:v>800BBLKISC</x:v>
      </x:c>
      <x:c r="C515" s="1" t="str">
        <x:v>6102447</x:v>
      </x:c>
      <x:c r="D515" s="1" t="str">
        <x:v>0</x:v>
      </x:c>
      <x:c r="E515" s="1"/>
      <x:c r="F515" s="7" t="n">
        <x:v>43916</x:v>
      </x:c>
      <x:c r="G515" s="7" t="n">
        <x:v>43917</x:v>
      </x:c>
      <x:c r="H515" s="8" t="n">
        <x:v>10000</x:v>
      </x:c>
      <x:c r="I515" s="8"/>
      <x:c r="J515" s="8" t="n">
        <x:v>1</x:v>
      </x:c>
      <x:c r="K515" s="9" t="n">
        <x:v>9.06</x:v>
      </x:c>
      <x:c r="L515" s="8" t="n">
        <x:v>100</x:v>
      </x:c>
      <x:c r="M515" s="10" t="n">
        <x:v>863</x:v>
      </x:c>
      <x:c r="N515" s="8" t="str">
        <x:v>i</x:v>
      </x:c>
      <x:c r="O515" s="8" t="n">
        <x:v>0</x:v>
      </x:c>
      <x:c r="P515" s="11" t="n">
        <x:f>MIN(X515,MAX(0,SUMIFS('Current inventory'!$D$2:$D$127,'Current inventory'!$A$2:$A$127,A515,'Current inventory'!$B$2:$B$127,B515)-SUMIFS($X$2:X514,$A$2:A514,A515,$B$2:B514,B515)))</x:f>
        <x:v>0</x:v>
      </x:c>
      <x:c r="Q515" s="1" t="str">
        <x:v>Received history</x:v>
      </x:c>
      <x:c r="R515" s="1" t="str">
        <x:v>Receipts data film c400 c800 plastic.csv</x:v>
      </x:c>
      <x:c r="S515" s="12" t="n">
        <x:f>IF(O515=1,I515*J515,0)</x:f>
        <x:v>0</x:v>
      </x:c>
      <x:c r="T515" s="13" t="n">
        <x:f>IF(L515&gt;0,K515/L515,"n.a.")</x:f>
        <x:v>0.0906</x:v>
      </x:c>
      <x:c r="U515" s="12" t="n">
        <x:f>IF(Q515="Old cost",S515,0)</x:f>
        <x:v>0</x:v>
      </x:c>
      <x:c r="V515" s="12" t="n">
        <x:f>IF(Q515="Higher cost",S515,0)</x:f>
        <x:v>0</x:v>
      </x:c>
      <x:c r="W515" s="12" t="n">
        <x:f>IF(Q515="Unclassified",S515,0)</x:f>
        <x:v>0</x:v>
      </x:c>
      <x:c r="X515" s="12" t="n">
        <x:f>IF(AND(ISNUMBER(F515),F515&gt;0,F515&lt;=Summary!$D$5,H515&gt;0),H515*J515,0)</x:f>
        <x:v>10000</x:v>
      </x:c>
    </x:row>
    <x:row r="516" ht="21" customHeight="1">
      <x:c r="A516" s="1" t="str">
        <x:v>60</x:v>
      </x:c>
      <x:c r="B516" s="1" t="str">
        <x:v>800BLKE</x:v>
      </x:c>
      <x:c r="C516" s="1" t="str">
        <x:v>6102447</x:v>
      </x:c>
      <x:c r="D516" s="1" t="str">
        <x:v>0</x:v>
      </x:c>
      <x:c r="E516" s="1"/>
      <x:c r="F516" s="7" t="n">
        <x:v>43916</x:v>
      </x:c>
      <x:c r="G516" s="7" t="n">
        <x:v>43917</x:v>
      </x:c>
      <x:c r="H516" s="8" t="n">
        <x:v>3700</x:v>
      </x:c>
      <x:c r="I516" s="8"/>
      <x:c r="J516" s="8" t="n">
        <x:v>1</x:v>
      </x:c>
      <x:c r="K516" s="9" t="n">
        <x:v>530</x:v>
      </x:c>
      <x:c r="L516" s="8" t="n">
        <x:v>1000</x:v>
      </x:c>
      <x:c r="M516" s="10" t="n">
        <x:v>1961</x:v>
      </x:c>
      <x:c r="N516" s="8" t="str">
        <x:v>i</x:v>
      </x:c>
      <x:c r="O516" s="8" t="n">
        <x:v>0</x:v>
      </x:c>
      <x:c r="P516" s="11" t="n">
        <x:f>MIN(X516,MAX(0,SUMIFS('Current inventory'!$D$2:$D$127,'Current inventory'!$A$2:$A$127,A516,'Current inventory'!$B$2:$B$127,B516)-SUMIFS($X$2:X515,$A$2:A515,A516,$B$2:B515,B516)))</x:f>
        <x:v>0</x:v>
      </x:c>
      <x:c r="Q516" s="1" t="str">
        <x:v>Received history</x:v>
      </x:c>
      <x:c r="R516" s="1" t="str">
        <x:v>Receipts data film c400 c800 plastic.csv</x:v>
      </x:c>
      <x:c r="S516" s="12" t="n">
        <x:f>IF(O516=1,I516*J516,0)</x:f>
        <x:v>0</x:v>
      </x:c>
      <x:c r="T516" s="13" t="n">
        <x:f>IF(L516&gt;0,K516/L516,"n.a.")</x:f>
        <x:v>0.53</x:v>
      </x:c>
      <x:c r="U516" s="12" t="n">
        <x:f>IF(Q516="Old cost",S516,0)</x:f>
        <x:v>0</x:v>
      </x:c>
      <x:c r="V516" s="12" t="n">
        <x:f>IF(Q516="Higher cost",S516,0)</x:f>
        <x:v>0</x:v>
      </x:c>
      <x:c r="W516" s="12" t="n">
        <x:f>IF(Q516="Unclassified",S516,0)</x:f>
        <x:v>0</x:v>
      </x:c>
      <x:c r="X516" s="12" t="n">
        <x:f>IF(AND(ISNUMBER(F516),F516&gt;0,F516&lt;=Summary!$D$5,H516&gt;0),H516*J516,0)</x:f>
        <x:v>3700</x:v>
      </x:c>
    </x:row>
    <x:row r="517" ht="21" customHeight="1">
      <x:c r="A517" s="1" t="str">
        <x:v>60</x:v>
      </x:c>
      <x:c r="B517" s="1" t="str">
        <x:v>800BMARASC</x:v>
      </x:c>
      <x:c r="C517" s="1" t="str">
        <x:v>6102447</x:v>
      </x:c>
      <x:c r="D517" s="1" t="str">
        <x:v>0</x:v>
      </x:c>
      <x:c r="E517" s="1"/>
      <x:c r="F517" s="7" t="n">
        <x:v>43916</x:v>
      </x:c>
      <x:c r="G517" s="7" t="n">
        <x:v>43917</x:v>
      </x:c>
      <x:c r="H517" s="8" t="n">
        <x:v>14700</x:v>
      </x:c>
      <x:c r="I517" s="8"/>
      <x:c r="J517" s="8" t="n">
        <x:v>1</x:v>
      </x:c>
      <x:c r="K517" s="9" t="n">
        <x:v>8.3</x:v>
      </x:c>
      <x:c r="L517" s="8" t="n">
        <x:v>100</x:v>
      </x:c>
      <x:c r="M517" s="10" t="n">
        <x:v>1164.24</x:v>
      </x:c>
      <x:c r="N517" s="8" t="str">
        <x:v>i</x:v>
      </x:c>
      <x:c r="O517" s="8" t="n">
        <x:v>0</x:v>
      </x:c>
      <x:c r="P517" s="11" t="n">
        <x:f>MIN(X517,MAX(0,SUMIFS('Current inventory'!$D$2:$D$127,'Current inventory'!$A$2:$A$127,A517,'Current inventory'!$B$2:$B$127,B517)-SUMIFS($X$2:X516,$A$2:A516,A517,$B$2:B516,B517)))</x:f>
        <x:v>0</x:v>
      </x:c>
      <x:c r="Q517" s="1" t="str">
        <x:v>Received history</x:v>
      </x:c>
      <x:c r="R517" s="1" t="str">
        <x:v>Receipts data film c400 c800 plastic.csv</x:v>
      </x:c>
      <x:c r="S517" s="12" t="n">
        <x:f>IF(O517=1,I517*J517,0)</x:f>
        <x:v>0</x:v>
      </x:c>
      <x:c r="T517" s="13" t="n">
        <x:f>IF(L517&gt;0,K517/L517,"n.a.")</x:f>
        <x:v>0.083</x:v>
      </x:c>
      <x:c r="U517" s="12" t="n">
        <x:f>IF(Q517="Old cost",S517,0)</x:f>
        <x:v>0</x:v>
      </x:c>
      <x:c r="V517" s="12" t="n">
        <x:f>IF(Q517="Higher cost",S517,0)</x:f>
        <x:v>0</x:v>
      </x:c>
      <x:c r="W517" s="12" t="n">
        <x:f>IF(Q517="Unclassified",S517,0)</x:f>
        <x:v>0</x:v>
      </x:c>
      <x:c r="X517" s="12" t="n">
        <x:f>IF(AND(ISNUMBER(F517),F517&gt;0,F517&lt;=Summary!$D$5,H517&gt;0),H517*J517,0)</x:f>
        <x:v>14700</x:v>
      </x:c>
    </x:row>
    <x:row r="518" ht="21" customHeight="1">
      <x:c r="A518" s="1" t="str">
        <x:v>60</x:v>
      </x:c>
      <x:c r="B518" s="1" t="str">
        <x:v>800BNAVASC</x:v>
      </x:c>
      <x:c r="C518" s="1" t="str">
        <x:v>6102447</x:v>
      </x:c>
      <x:c r="D518" s="1" t="str">
        <x:v>0</x:v>
      </x:c>
      <x:c r="E518" s="1"/>
      <x:c r="F518" s="7" t="n">
        <x:v>43916</x:v>
      </x:c>
      <x:c r="G518" s="7" t="n">
        <x:v>43917</x:v>
      </x:c>
      <x:c r="H518" s="8" t="n">
        <x:v>20000</x:v>
      </x:c>
      <x:c r="I518" s="8"/>
      <x:c r="J518" s="8" t="n">
        <x:v>1</x:v>
      </x:c>
      <x:c r="K518" s="9" t="n">
        <x:v>8.09</x:v>
      </x:c>
      <x:c r="L518" s="8" t="n">
        <x:v>100</x:v>
      </x:c>
      <x:c r="M518" s="10" t="n">
        <x:v>1584</x:v>
      </x:c>
      <x:c r="N518" s="8" t="str">
        <x:v>i</x:v>
      </x:c>
      <x:c r="O518" s="8" t="n">
        <x:v>0</x:v>
      </x:c>
      <x:c r="P518" s="11" t="n">
        <x:f>MIN(X518,MAX(0,SUMIFS('Current inventory'!$D$2:$D$127,'Current inventory'!$A$2:$A$127,A518,'Current inventory'!$B$2:$B$127,B518)-SUMIFS($X$2:X517,$A$2:A517,A518,$B$2:B517,B518)))</x:f>
        <x:v>0</x:v>
      </x:c>
      <x:c r="Q518" s="1" t="str">
        <x:v>Received history</x:v>
      </x:c>
      <x:c r="R518" s="1" t="str">
        <x:v>Receipts data film c400 c800 plastic.csv</x:v>
      </x:c>
      <x:c r="S518" s="12" t="n">
        <x:f>IF(O518=1,I518*J518,0)</x:f>
        <x:v>0</x:v>
      </x:c>
      <x:c r="T518" s="13" t="n">
        <x:f>IF(L518&gt;0,K518/L518,"n.a.")</x:f>
        <x:v>0.0809</x:v>
      </x:c>
      <x:c r="U518" s="12" t="n">
        <x:f>IF(Q518="Old cost",S518,0)</x:f>
        <x:v>0</x:v>
      </x:c>
      <x:c r="V518" s="12" t="n">
        <x:f>IF(Q518="Higher cost",S518,0)</x:f>
        <x:v>0</x:v>
      </x:c>
      <x:c r="W518" s="12" t="n">
        <x:f>IF(Q518="Unclassified",S518,0)</x:f>
        <x:v>0</x:v>
      </x:c>
      <x:c r="X518" s="12" t="n">
        <x:f>IF(AND(ISNUMBER(F518),F518&gt;0,F518&lt;=Summary!$D$5,H518&gt;0),H518*J518,0)</x:f>
        <x:v>20000</x:v>
      </x:c>
    </x:row>
    <x:row r="519" ht="21" customHeight="1">
      <x:c r="A519" s="1" t="str">
        <x:v>60</x:v>
      </x:c>
      <x:c r="B519" s="1" t="str">
        <x:v>800NAVE</x:v>
      </x:c>
      <x:c r="C519" s="1" t="str">
        <x:v>6102447</x:v>
      </x:c>
      <x:c r="D519" s="1" t="str">
        <x:v>0</x:v>
      </x:c>
      <x:c r="E519" s="1"/>
      <x:c r="F519" s="7" t="n">
        <x:v>43916</x:v>
      </x:c>
      <x:c r="G519" s="7" t="n">
        <x:v>43917</x:v>
      </x:c>
      <x:c r="H519" s="8" t="n">
        <x:v>6000</x:v>
      </x:c>
      <x:c r="I519" s="8"/>
      <x:c r="J519" s="8" t="n">
        <x:v>1</x:v>
      </x:c>
      <x:c r="K519" s="9" t="n">
        <x:v>530</x:v>
      </x:c>
      <x:c r="L519" s="8" t="n">
        <x:v>1000</x:v>
      </x:c>
      <x:c r="M519" s="10" t="n">
        <x:v>3180</x:v>
      </x:c>
      <x:c r="N519" s="8" t="str">
        <x:v>i</x:v>
      </x:c>
      <x:c r="O519" s="8" t="n">
        <x:v>0</x:v>
      </x:c>
      <x:c r="P519" s="11" t="n">
        <x:f>MIN(X519,MAX(0,SUMIFS('Current inventory'!$D$2:$D$127,'Current inventory'!$A$2:$A$127,A519,'Current inventory'!$B$2:$B$127,B519)-SUMIFS($X$2:X518,$A$2:A518,A519,$B$2:B518,B519)))</x:f>
        <x:v>0</x:v>
      </x:c>
      <x:c r="Q519" s="1" t="str">
        <x:v>Received history</x:v>
      </x:c>
      <x:c r="R519" s="1" t="str">
        <x:v>Receipts data film c400 c800 plastic.csv</x:v>
      </x:c>
      <x:c r="S519" s="12" t="n">
        <x:f>IF(O519=1,I519*J519,0)</x:f>
        <x:v>0</x:v>
      </x:c>
      <x:c r="T519" s="13" t="n">
        <x:f>IF(L519&gt;0,K519/L519,"n.a.")</x:f>
        <x:v>0.53</x:v>
      </x:c>
      <x:c r="U519" s="12" t="n">
        <x:f>IF(Q519="Old cost",S519,0)</x:f>
        <x:v>0</x:v>
      </x:c>
      <x:c r="V519" s="12" t="n">
        <x:f>IF(Q519="Higher cost",S519,0)</x:f>
        <x:v>0</x:v>
      </x:c>
      <x:c r="W519" s="12" t="n">
        <x:f>IF(Q519="Unclassified",S519,0)</x:f>
        <x:v>0</x:v>
      </x:c>
      <x:c r="X519" s="12" t="n">
        <x:f>IF(AND(ISNUMBER(F519),F519&gt;0,F519&lt;=Summary!$D$5,H519&gt;0),H519*J519,0)</x:f>
        <x:v>6000</x:v>
      </x:c>
    </x:row>
    <x:row r="520" ht="21" customHeight="1">
      <x:c r="A520" s="1" t="str">
        <x:v>30</x:v>
      </x:c>
      <x:c r="B520" s="1" t="str">
        <x:v>800BBLKASC</x:v>
      </x:c>
      <x:c r="C520" s="1" t="str">
        <x:v>3003600</x:v>
      </x:c>
      <x:c r="D520" s="1" t="str">
        <x:v>0</x:v>
      </x:c>
      <x:c r="E520" s="1"/>
      <x:c r="F520" s="7" t="n">
        <x:v>43909</x:v>
      </x:c>
      <x:c r="G520" s="7" t="n">
        <x:v>43910</x:v>
      </x:c>
      <x:c r="H520" s="8" t="n">
        <x:v>280000</x:v>
      </x:c>
      <x:c r="I520" s="8"/>
      <x:c r="J520" s="8" t="n">
        <x:v>1</x:v>
      </x:c>
      <x:c r="K520" s="9" t="n">
        <x:v>8.09</x:v>
      </x:c>
      <x:c r="L520" s="8" t="n">
        <x:v>100</x:v>
      </x:c>
      <x:c r="M520" s="10" t="n">
        <x:v>22176</x:v>
      </x:c>
      <x:c r="N520" s="8" t="str">
        <x:v>i</x:v>
      </x:c>
      <x:c r="O520" s="8" t="n">
        <x:v>0</x:v>
      </x:c>
      <x:c r="P520" s="11" t="n">
        <x:f>MIN(X520,MAX(0,SUMIFS('Current inventory'!$D$2:$D$127,'Current inventory'!$A$2:$A$127,A520,'Current inventory'!$B$2:$B$127,B520)-SUMIFS($X$2:X519,$A$2:A519,A520,$B$2:B519,B520)))</x:f>
        <x:v>0</x:v>
      </x:c>
      <x:c r="Q520" s="1" t="str">
        <x:v>Received history</x:v>
      </x:c>
      <x:c r="R520" s="1" t="str">
        <x:v>Receipts data film c400 c800 plastic.csv</x:v>
      </x:c>
      <x:c r="S520" s="12" t="n">
        <x:f>IF(O520=1,I520*J520,0)</x:f>
        <x:v>0</x:v>
      </x:c>
      <x:c r="T520" s="13" t="n">
        <x:f>IF(L520&gt;0,K520/L520,"n.a.")</x:f>
        <x:v>0.0809</x:v>
      </x:c>
      <x:c r="U520" s="12" t="n">
        <x:f>IF(Q520="Old cost",S520,0)</x:f>
        <x:v>0</x:v>
      </x:c>
      <x:c r="V520" s="12" t="n">
        <x:f>IF(Q520="Higher cost",S520,0)</x:f>
        <x:v>0</x:v>
      </x:c>
      <x:c r="W520" s="12" t="n">
        <x:f>IF(Q520="Unclassified",S520,0)</x:f>
        <x:v>0</x:v>
      </x:c>
      <x:c r="X520" s="12" t="n">
        <x:f>IF(AND(ISNUMBER(F520),F520&gt;0,F520&lt;=Summary!$D$5,H520&gt;0),H520*J520,0)</x:f>
        <x:v>280000</x:v>
      </x:c>
    </x:row>
    <x:row r="521" ht="21" customHeight="1">
      <x:c r="A521" s="1" t="str">
        <x:v>30</x:v>
      </x:c>
      <x:c r="B521" s="1" t="str">
        <x:v>800BBLKCSC</x:v>
      </x:c>
      <x:c r="C521" s="1" t="str">
        <x:v>3003600</x:v>
      </x:c>
      <x:c r="D521" s="1" t="str">
        <x:v>0</x:v>
      </x:c>
      <x:c r="E521" s="1"/>
      <x:c r="F521" s="7" t="n">
        <x:v>43909</x:v>
      </x:c>
      <x:c r="G521" s="7" t="n">
        <x:v>43910</x:v>
      </x:c>
      <x:c r="H521" s="8" t="n">
        <x:v>6000</x:v>
      </x:c>
      <x:c r="I521" s="8"/>
      <x:c r="J521" s="8" t="n">
        <x:v>1</x:v>
      </x:c>
      <x:c r="K521" s="9" t="n">
        <x:v>11.13</x:v>
      </x:c>
      <x:c r="L521" s="8" t="n">
        <x:v>100</x:v>
      </x:c>
      <x:c r="M521" s="10" t="n">
        <x:v>661.8</x:v>
      </x:c>
      <x:c r="N521" s="8" t="str">
        <x:v>i</x:v>
      </x:c>
      <x:c r="O521" s="8" t="n">
        <x:v>0</x:v>
      </x:c>
      <x:c r="P521" s="11" t="n">
        <x:f>MIN(X521,MAX(0,SUMIFS('Current inventory'!$D$2:$D$127,'Current inventory'!$A$2:$A$127,A521,'Current inventory'!$B$2:$B$127,B521)-SUMIFS($X$2:X520,$A$2:A520,A521,$B$2:B520,B521)))</x:f>
        <x:v>0</x:v>
      </x:c>
      <x:c r="Q521" s="1" t="str">
        <x:v>Received history</x:v>
      </x:c>
      <x:c r="R521" s="1" t="str">
        <x:v>Receipts data film c400 c800 plastic.csv</x:v>
      </x:c>
      <x:c r="S521" s="12" t="n">
        <x:f>IF(O521=1,I521*J521,0)</x:f>
        <x:v>0</x:v>
      </x:c>
      <x:c r="T521" s="13" t="n">
        <x:f>IF(L521&gt;0,K521/L521,"n.a.")</x:f>
        <x:v>0.11130000000000001</x:v>
      </x:c>
      <x:c r="U521" s="12" t="n">
        <x:f>IF(Q521="Old cost",S521,0)</x:f>
        <x:v>0</x:v>
      </x:c>
      <x:c r="V521" s="12" t="n">
        <x:f>IF(Q521="Higher cost",S521,0)</x:f>
        <x:v>0</x:v>
      </x:c>
      <x:c r="W521" s="12" t="n">
        <x:f>IF(Q521="Unclassified",S521,0)</x:f>
        <x:v>0</x:v>
      </x:c>
      <x:c r="X521" s="12" t="n">
        <x:f>IF(AND(ISNUMBER(F521),F521&gt;0,F521&lt;=Summary!$D$5,H521&gt;0),H521*J521,0)</x:f>
        <x:v>6000</x:v>
      </x:c>
    </x:row>
    <x:row r="522" ht="21" customHeight="1">
      <x:c r="A522" s="1" t="str">
        <x:v>30</x:v>
      </x:c>
      <x:c r="B522" s="1" t="str">
        <x:v>800BBLKDSC</x:v>
      </x:c>
      <x:c r="C522" s="1" t="str">
        <x:v>3003600</x:v>
      </x:c>
      <x:c r="D522" s="1" t="str">
        <x:v>0</x:v>
      </x:c>
      <x:c r="E522" s="1"/>
      <x:c r="F522" s="7" t="n">
        <x:v>43909</x:v>
      </x:c>
      <x:c r="G522" s="7" t="n">
        <x:v>43910</x:v>
      </x:c>
      <x:c r="H522" s="8" t="n">
        <x:v>14000</x:v>
      </x:c>
      <x:c r="I522" s="8"/>
      <x:c r="J522" s="8" t="n">
        <x:v>1</x:v>
      </x:c>
      <x:c r="K522" s="9" t="n">
        <x:v>17.37</x:v>
      </x:c>
      <x:c r="L522" s="8" t="n">
        <x:v>100</x:v>
      </x:c>
      <x:c r="M522" s="10" t="n">
        <x:v>2315.6</x:v>
      </x:c>
      <x:c r="N522" s="8" t="str">
        <x:v>i</x:v>
      </x:c>
      <x:c r="O522" s="8" t="n">
        <x:v>0</x:v>
      </x:c>
      <x:c r="P522" s="11" t="n">
        <x:f>MIN(X522,MAX(0,SUMIFS('Current inventory'!$D$2:$D$127,'Current inventory'!$A$2:$A$127,A522,'Current inventory'!$B$2:$B$127,B522)-SUMIFS($X$2:X521,$A$2:A521,A522,$B$2:B521,B522)))</x:f>
        <x:v>0</x:v>
      </x:c>
      <x:c r="Q522" s="1" t="str">
        <x:v>Received history</x:v>
      </x:c>
      <x:c r="R522" s="1" t="str">
        <x:v>Receipts data film c400 c800 plastic.csv</x:v>
      </x:c>
      <x:c r="S522" s="12" t="n">
        <x:f>IF(O522=1,I522*J522,0)</x:f>
        <x:v>0</x:v>
      </x:c>
      <x:c r="T522" s="13" t="n">
        <x:f>IF(L522&gt;0,K522/L522,"n.a.")</x:f>
        <x:v>0.17370000000000002</x:v>
      </x:c>
      <x:c r="U522" s="12" t="n">
        <x:f>IF(Q522="Old cost",S522,0)</x:f>
        <x:v>0</x:v>
      </x:c>
      <x:c r="V522" s="12" t="n">
        <x:f>IF(Q522="Higher cost",S522,0)</x:f>
        <x:v>0</x:v>
      </x:c>
      <x:c r="W522" s="12" t="n">
        <x:f>IF(Q522="Unclassified",S522,0)</x:f>
        <x:v>0</x:v>
      </x:c>
      <x:c r="X522" s="12" t="n">
        <x:f>IF(AND(ISNUMBER(F522),F522&gt;0,F522&lt;=Summary!$D$5,H522&gt;0),H522*J522,0)</x:f>
        <x:v>14000</x:v>
      </x:c>
    </x:row>
    <x:row r="523" ht="21" customHeight="1">
      <x:c r="A523" s="1" t="str">
        <x:v>30</x:v>
      </x:c>
      <x:c r="B523" s="1" t="str">
        <x:v>800BBLKISC</x:v>
      </x:c>
      <x:c r="C523" s="1" t="str">
        <x:v>3003600</x:v>
      </x:c>
      <x:c r="D523" s="1" t="str">
        <x:v>0</x:v>
      </x:c>
      <x:c r="E523" s="1"/>
      <x:c r="F523" s="7" t="n">
        <x:v>43909</x:v>
      </x:c>
      <x:c r="G523" s="7" t="n">
        <x:v>43910</x:v>
      </x:c>
      <x:c r="H523" s="8" t="n">
        <x:v>10000</x:v>
      </x:c>
      <x:c r="I523" s="8"/>
      <x:c r="J523" s="8" t="n">
        <x:v>1</x:v>
      </x:c>
      <x:c r="K523" s="9" t="n">
        <x:v>9.06</x:v>
      </x:c>
      <x:c r="L523" s="8" t="n">
        <x:v>100</x:v>
      </x:c>
      <x:c r="M523" s="10" t="n">
        <x:v>863</x:v>
      </x:c>
      <x:c r="N523" s="8" t="str">
        <x:v>i</x:v>
      </x:c>
      <x:c r="O523" s="8" t="n">
        <x:v>0</x:v>
      </x:c>
      <x:c r="P523" s="11" t="n">
        <x:f>MIN(X523,MAX(0,SUMIFS('Current inventory'!$D$2:$D$127,'Current inventory'!$A$2:$A$127,A523,'Current inventory'!$B$2:$B$127,B523)-SUMIFS($X$2:X522,$A$2:A522,A523,$B$2:B522,B523)))</x:f>
        <x:v>0</x:v>
      </x:c>
      <x:c r="Q523" s="1" t="str">
        <x:v>Received history</x:v>
      </x:c>
      <x:c r="R523" s="1" t="str">
        <x:v>Receipts data film c400 c800 plastic.csv</x:v>
      </x:c>
      <x:c r="S523" s="12" t="n">
        <x:f>IF(O523=1,I523*J523,0)</x:f>
        <x:v>0</x:v>
      </x:c>
      <x:c r="T523" s="13" t="n">
        <x:f>IF(L523&gt;0,K523/L523,"n.a.")</x:f>
        <x:v>0.0906</x:v>
      </x:c>
      <x:c r="U523" s="12" t="n">
        <x:f>IF(Q523="Old cost",S523,0)</x:f>
        <x:v>0</x:v>
      </x:c>
      <x:c r="V523" s="12" t="n">
        <x:f>IF(Q523="Higher cost",S523,0)</x:f>
        <x:v>0</x:v>
      </x:c>
      <x:c r="W523" s="12" t="n">
        <x:f>IF(Q523="Unclassified",S523,0)</x:f>
        <x:v>0</x:v>
      </x:c>
      <x:c r="X523" s="12" t="n">
        <x:f>IF(AND(ISNUMBER(F523),F523&gt;0,F523&lt;=Summary!$D$5,H523&gt;0),H523*J523,0)</x:f>
        <x:v>10000</x:v>
      </x:c>
    </x:row>
    <x:row r="524" ht="21" customHeight="1">
      <x:c r="A524" s="1" t="str">
        <x:v>30</x:v>
      </x:c>
      <x:c r="B524" s="1" t="str">
        <x:v>800BFGASC</x:v>
      </x:c>
      <x:c r="C524" s="1" t="str">
        <x:v>3003600</x:v>
      </x:c>
      <x:c r="D524" s="1" t="str">
        <x:v>0</x:v>
      </x:c>
      <x:c r="E524" s="1"/>
      <x:c r="F524" s="7" t="n">
        <x:v>43909</x:v>
      </x:c>
      <x:c r="G524" s="7" t="n">
        <x:v>43910</x:v>
      </x:c>
      <x:c r="H524" s="8" t="n">
        <x:v>10000</x:v>
      </x:c>
      <x:c r="I524" s="8"/>
      <x:c r="J524" s="8" t="n">
        <x:v>1</x:v>
      </x:c>
      <x:c r="K524" s="9" t="n">
        <x:v>8.3</x:v>
      </x:c>
      <x:c r="L524" s="8" t="n">
        <x:v>100</x:v>
      </x:c>
      <x:c r="M524" s="10" t="n">
        <x:v>792</x:v>
      </x:c>
      <x:c r="N524" s="8" t="str">
        <x:v>i</x:v>
      </x:c>
      <x:c r="O524" s="8" t="n">
        <x:v>0</x:v>
      </x:c>
      <x:c r="P524" s="11" t="n">
        <x:f>MIN(X524,MAX(0,SUMIFS('Current inventory'!$D$2:$D$127,'Current inventory'!$A$2:$A$127,A524,'Current inventory'!$B$2:$B$127,B524)-SUMIFS($X$2:X523,$A$2:A523,A524,$B$2:B523,B524)))</x:f>
        <x:v>0</x:v>
      </x:c>
      <x:c r="Q524" s="1" t="str">
        <x:v>Received history</x:v>
      </x:c>
      <x:c r="R524" s="1" t="str">
        <x:v>Receipts data film c400 c800 plastic.csv</x:v>
      </x:c>
      <x:c r="S524" s="12" t="n">
        <x:f>IF(O524=1,I524*J524,0)</x:f>
        <x:v>0</x:v>
      </x:c>
      <x:c r="T524" s="13" t="n">
        <x:f>IF(L524&gt;0,K524/L524,"n.a.")</x:f>
        <x:v>0.083</x:v>
      </x:c>
      <x:c r="U524" s="12" t="n">
        <x:f>IF(Q524="Old cost",S524,0)</x:f>
        <x:v>0</x:v>
      </x:c>
      <x:c r="V524" s="12" t="n">
        <x:f>IF(Q524="Higher cost",S524,0)</x:f>
        <x:v>0</x:v>
      </x:c>
      <x:c r="W524" s="12" t="n">
        <x:f>IF(Q524="Unclassified",S524,0)</x:f>
        <x:v>0</x:v>
      </x:c>
      <x:c r="X524" s="12" t="n">
        <x:f>IF(AND(ISNUMBER(F524),F524&gt;0,F524&lt;=Summary!$D$5,H524&gt;0),H524*J524,0)</x:f>
        <x:v>10000</x:v>
      </x:c>
    </x:row>
    <x:row r="525" ht="21" customHeight="1">
      <x:c r="A525" s="1" t="str">
        <x:v>30</x:v>
      </x:c>
      <x:c r="B525" s="1" t="str">
        <x:v>800BMARASC</x:v>
      </x:c>
      <x:c r="C525" s="1" t="str">
        <x:v>3003600</x:v>
      </x:c>
      <x:c r="D525" s="1" t="str">
        <x:v>0</x:v>
      </x:c>
      <x:c r="E525" s="1"/>
      <x:c r="F525" s="7" t="n">
        <x:v>43909</x:v>
      </x:c>
      <x:c r="G525" s="7" t="n">
        <x:v>43910</x:v>
      </x:c>
      <x:c r="H525" s="8" t="n">
        <x:v>18000</x:v>
      </x:c>
      <x:c r="I525" s="8"/>
      <x:c r="J525" s="8" t="n">
        <x:v>1</x:v>
      </x:c>
      <x:c r="K525" s="9" t="n">
        <x:v>8.3</x:v>
      </x:c>
      <x:c r="L525" s="8" t="n">
        <x:v>100</x:v>
      </x:c>
      <x:c r="M525" s="10" t="n">
        <x:v>1425.6</x:v>
      </x:c>
      <x:c r="N525" s="8" t="str">
        <x:v>i</x:v>
      </x:c>
      <x:c r="O525" s="8" t="n">
        <x:v>0</x:v>
      </x:c>
      <x:c r="P525" s="11" t="n">
        <x:f>MIN(X525,MAX(0,SUMIFS('Current inventory'!$D$2:$D$127,'Current inventory'!$A$2:$A$127,A525,'Current inventory'!$B$2:$B$127,B525)-SUMIFS($X$2:X524,$A$2:A524,A525,$B$2:B524,B525)))</x:f>
        <x:v>0</x:v>
      </x:c>
      <x:c r="Q525" s="1" t="str">
        <x:v>Received history</x:v>
      </x:c>
      <x:c r="R525" s="1" t="str">
        <x:v>Receipts data film c400 c800 plastic.csv</x:v>
      </x:c>
      <x:c r="S525" s="12" t="n">
        <x:f>IF(O525=1,I525*J525,0)</x:f>
        <x:v>0</x:v>
      </x:c>
      <x:c r="T525" s="13" t="n">
        <x:f>IF(L525&gt;0,K525/L525,"n.a.")</x:f>
        <x:v>0.083</x:v>
      </x:c>
      <x:c r="U525" s="12" t="n">
        <x:f>IF(Q525="Old cost",S525,0)</x:f>
        <x:v>0</x:v>
      </x:c>
      <x:c r="V525" s="12" t="n">
        <x:f>IF(Q525="Higher cost",S525,0)</x:f>
        <x:v>0</x:v>
      </x:c>
      <x:c r="W525" s="12" t="n">
        <x:f>IF(Q525="Unclassified",S525,0)</x:f>
        <x:v>0</x:v>
      </x:c>
      <x:c r="X525" s="12" t="n">
        <x:f>IF(AND(ISNUMBER(F525),F525&gt;0,F525&lt;=Summary!$D$5,H525&gt;0),H525*J525,0)</x:f>
        <x:v>18000</x:v>
      </x:c>
    </x:row>
    <x:row r="526" ht="21" customHeight="1">
      <x:c r="A526" s="1" t="str">
        <x:v>30</x:v>
      </x:c>
      <x:c r="B526" s="1" t="str">
        <x:v>800BNAVASC</x:v>
      </x:c>
      <x:c r="C526" s="1" t="str">
        <x:v>3003600</x:v>
      </x:c>
      <x:c r="D526" s="1" t="str">
        <x:v>0</x:v>
      </x:c>
      <x:c r="E526" s="1"/>
      <x:c r="F526" s="7" t="n">
        <x:v>43909</x:v>
      </x:c>
      <x:c r="G526" s="7" t="n">
        <x:v>43910</x:v>
      </x:c>
      <x:c r="H526" s="8" t="n">
        <x:v>25000</x:v>
      </x:c>
      <x:c r="I526" s="8"/>
      <x:c r="J526" s="8" t="n">
        <x:v>1</x:v>
      </x:c>
      <x:c r="K526" s="9" t="n">
        <x:v>8.09</x:v>
      </x:c>
      <x:c r="L526" s="8" t="n">
        <x:v>100</x:v>
      </x:c>
      <x:c r="M526" s="10" t="n">
        <x:v>1980</x:v>
      </x:c>
      <x:c r="N526" s="8" t="str">
        <x:v>i</x:v>
      </x:c>
      <x:c r="O526" s="8" t="n">
        <x:v>0</x:v>
      </x:c>
      <x:c r="P526" s="11" t="n">
        <x:f>MIN(X526,MAX(0,SUMIFS('Current inventory'!$D$2:$D$127,'Current inventory'!$A$2:$A$127,A526,'Current inventory'!$B$2:$B$127,B526)-SUMIFS($X$2:X525,$A$2:A525,A526,$B$2:B525,B526)))</x:f>
        <x:v>0</x:v>
      </x:c>
      <x:c r="Q526" s="1" t="str">
        <x:v>Received history</x:v>
      </x:c>
      <x:c r="R526" s="1" t="str">
        <x:v>Receipts data film c400 c800 plastic.csv</x:v>
      </x:c>
      <x:c r="S526" s="12" t="n">
        <x:f>IF(O526=1,I526*J526,0)</x:f>
        <x:v>0</x:v>
      </x:c>
      <x:c r="T526" s="13" t="n">
        <x:f>IF(L526&gt;0,K526/L526,"n.a.")</x:f>
        <x:v>0.0809</x:v>
      </x:c>
      <x:c r="U526" s="12" t="n">
        <x:f>IF(Q526="Old cost",S526,0)</x:f>
        <x:v>0</x:v>
      </x:c>
      <x:c r="V526" s="12" t="n">
        <x:f>IF(Q526="Higher cost",S526,0)</x:f>
        <x:v>0</x:v>
      </x:c>
      <x:c r="W526" s="12" t="n">
        <x:f>IF(Q526="Unclassified",S526,0)</x:f>
        <x:v>0</x:v>
      </x:c>
      <x:c r="X526" s="12" t="n">
        <x:f>IF(AND(ISNUMBER(F526),F526&gt;0,F526&lt;=Summary!$D$5,H526&gt;0),H526*J526,0)</x:f>
        <x:v>25000</x:v>
      </x:c>
    </x:row>
    <x:row r="527" ht="21" customHeight="1">
      <x:c r="A527" s="1" t="str">
        <x:v>30</x:v>
      </x:c>
      <x:c r="B527" s="1" t="str">
        <x:v>800BNAVISC</x:v>
      </x:c>
      <x:c r="C527" s="1" t="str">
        <x:v>3003600</x:v>
      </x:c>
      <x:c r="D527" s="1" t="str">
        <x:v>0</x:v>
      </x:c>
      <x:c r="E527" s="1"/>
      <x:c r="F527" s="7" t="n">
        <x:v>43909</x:v>
      </x:c>
      <x:c r="G527" s="7" t="n">
        <x:v>43910</x:v>
      </x:c>
      <x:c r="H527" s="8" t="n">
        <x:v>17000</x:v>
      </x:c>
      <x:c r="I527" s="8"/>
      <x:c r="J527" s="8" t="n">
        <x:v>1</x:v>
      </x:c>
      <x:c r="K527" s="9" t="n">
        <x:v>9.06</x:v>
      </x:c>
      <x:c r="L527" s="8" t="n">
        <x:v>100</x:v>
      </x:c>
      <x:c r="M527" s="10" t="n">
        <x:v>1467.1</x:v>
      </x:c>
      <x:c r="N527" s="8" t="str">
        <x:v>i</x:v>
      </x:c>
      <x:c r="O527" s="8" t="n">
        <x:v>0</x:v>
      </x:c>
      <x:c r="P527" s="11" t="n">
        <x:f>MIN(X527,MAX(0,SUMIFS('Current inventory'!$D$2:$D$127,'Current inventory'!$A$2:$A$127,A527,'Current inventory'!$B$2:$B$127,B527)-SUMIFS($X$2:X526,$A$2:A526,A527,$B$2:B526,B527)))</x:f>
        <x:v>0</x:v>
      </x:c>
      <x:c r="Q527" s="1" t="str">
        <x:v>Received history</x:v>
      </x:c>
      <x:c r="R527" s="1" t="str">
        <x:v>Receipts data film c400 c800 plastic.csv</x:v>
      </x:c>
      <x:c r="S527" s="12" t="n">
        <x:f>IF(O527=1,I527*J527,0)</x:f>
        <x:v>0</x:v>
      </x:c>
      <x:c r="T527" s="13" t="n">
        <x:f>IF(L527&gt;0,K527/L527,"n.a.")</x:f>
        <x:v>0.0906</x:v>
      </x:c>
      <x:c r="U527" s="12" t="n">
        <x:f>IF(Q527="Old cost",S527,0)</x:f>
        <x:v>0</x:v>
      </x:c>
      <x:c r="V527" s="12" t="n">
        <x:f>IF(Q527="Higher cost",S527,0)</x:f>
        <x:v>0</x:v>
      </x:c>
      <x:c r="W527" s="12" t="n">
        <x:f>IF(Q527="Unclassified",S527,0)</x:f>
        <x:v>0</x:v>
      </x:c>
      <x:c r="X527" s="12" t="n">
        <x:f>IF(AND(ISNUMBER(F527),F527&gt;0,F527&lt;=Summary!$D$5,H527&gt;0),H527*J527,0)</x:f>
        <x:v>17000</x:v>
      </x:c>
    </x:row>
    <x:row r="528" ht="21" customHeight="1">
      <x:c r="A528" s="1" t="str">
        <x:v>10</x:v>
      </x:c>
      <x:c r="B528" s="1" t="str">
        <x:v>800BBLKASC</x:v>
      </x:c>
      <x:c r="C528" s="1" t="str">
        <x:v>1051221</x:v>
      </x:c>
      <x:c r="D528" s="1" t="str">
        <x:v>0</x:v>
      </x:c>
      <x:c r="E528" s="1"/>
      <x:c r="F528" s="7" t="n">
        <x:v>43845</x:v>
      </x:c>
      <x:c r="G528" s="7" t="n">
        <x:v>43847</x:v>
      </x:c>
      <x:c r="H528" s="8" t="n">
        <x:v>320000</x:v>
      </x:c>
      <x:c r="I528" s="8"/>
      <x:c r="J528" s="8" t="n">
        <x:v>1</x:v>
      </x:c>
      <x:c r="K528" s="9" t="n">
        <x:v>8.09</x:v>
      </x:c>
      <x:c r="L528" s="8" t="n">
        <x:v>100</x:v>
      </x:c>
      <x:c r="M528" s="10" t="n">
        <x:v>25344</x:v>
      </x:c>
      <x:c r="N528" s="8" t="str">
        <x:v>i</x:v>
      </x:c>
      <x:c r="O528" s="8" t="n">
        <x:v>0</x:v>
      </x:c>
      <x:c r="P528" s="11" t="n">
        <x:f>MIN(X528,MAX(0,SUMIFS('Current inventory'!$D$2:$D$127,'Current inventory'!$A$2:$A$127,A528,'Current inventory'!$B$2:$B$127,B528)-SUMIFS($X$2:X527,$A$2:A527,A528,$B$2:B527,B528)))</x:f>
        <x:v>0</x:v>
      </x:c>
      <x:c r="Q528" s="1" t="str">
        <x:v>Received history</x:v>
      </x:c>
      <x:c r="R528" s="1" t="str">
        <x:v>Receipts data film c400 c800 plastic.csv</x:v>
      </x:c>
      <x:c r="S528" s="12" t="n">
        <x:f>IF(O528=1,I528*J528,0)</x:f>
        <x:v>0</x:v>
      </x:c>
      <x:c r="T528" s="13" t="n">
        <x:f>IF(L528&gt;0,K528/L528,"n.a.")</x:f>
        <x:v>0.0809</x:v>
      </x:c>
      <x:c r="U528" s="12" t="n">
        <x:f>IF(Q528="Old cost",S528,0)</x:f>
        <x:v>0</x:v>
      </x:c>
      <x:c r="V528" s="12" t="n">
        <x:f>IF(Q528="Higher cost",S528,0)</x:f>
        <x:v>0</x:v>
      </x:c>
      <x:c r="W528" s="12" t="n">
        <x:f>IF(Q528="Unclassified",S528,0)</x:f>
        <x:v>0</x:v>
      </x:c>
      <x:c r="X528" s="12" t="n">
        <x:f>IF(AND(ISNUMBER(F528),F528&gt;0,F528&lt;=Summary!$D$5,H528&gt;0),H528*J528,0)</x:f>
        <x:v>320000</x:v>
      </x:c>
    </x:row>
    <x:row r="529" ht="21" customHeight="1">
      <x:c r="A529" s="1" t="str">
        <x:v>10</x:v>
      </x:c>
      <x:c r="B529" s="1" t="str">
        <x:v>800BBLKDSC</x:v>
      </x:c>
      <x:c r="C529" s="1" t="str">
        <x:v>1051221</x:v>
      </x:c>
      <x:c r="D529" s="1" t="str">
        <x:v>0</x:v>
      </x:c>
      <x:c r="E529" s="1"/>
      <x:c r="F529" s="7" t="n">
        <x:v>43845</x:v>
      </x:c>
      <x:c r="G529" s="7" t="n">
        <x:v>43847</x:v>
      </x:c>
      <x:c r="H529" s="8" t="n">
        <x:v>20000</x:v>
      </x:c>
      <x:c r="I529" s="8"/>
      <x:c r="J529" s="8" t="n">
        <x:v>1</x:v>
      </x:c>
      <x:c r="K529" s="9" t="n">
        <x:v>17.37</x:v>
      </x:c>
      <x:c r="L529" s="8" t="n">
        <x:v>100</x:v>
      </x:c>
      <x:c r="M529" s="10" t="n">
        <x:v>3308</x:v>
      </x:c>
      <x:c r="N529" s="8" t="str">
        <x:v>i</x:v>
      </x:c>
      <x:c r="O529" s="8" t="n">
        <x:v>0</x:v>
      </x:c>
      <x:c r="P529" s="11" t="n">
        <x:f>MIN(X529,MAX(0,SUMIFS('Current inventory'!$D$2:$D$127,'Current inventory'!$A$2:$A$127,A529,'Current inventory'!$B$2:$B$127,B529)-SUMIFS($X$2:X528,$A$2:A528,A529,$B$2:B528,B529)))</x:f>
        <x:v>0</x:v>
      </x:c>
      <x:c r="Q529" s="1" t="str">
        <x:v>Received history</x:v>
      </x:c>
      <x:c r="R529" s="1" t="str">
        <x:v>Receipts data film c400 c800 plastic.csv</x:v>
      </x:c>
      <x:c r="S529" s="12" t="n">
        <x:f>IF(O529=1,I529*J529,0)</x:f>
        <x:v>0</x:v>
      </x:c>
      <x:c r="T529" s="13" t="n">
        <x:f>IF(L529&gt;0,K529/L529,"n.a.")</x:f>
        <x:v>0.17370000000000002</x:v>
      </x:c>
      <x:c r="U529" s="12" t="n">
        <x:f>IF(Q529="Old cost",S529,0)</x:f>
        <x:v>0</x:v>
      </x:c>
      <x:c r="V529" s="12" t="n">
        <x:f>IF(Q529="Higher cost",S529,0)</x:f>
        <x:v>0</x:v>
      </x:c>
      <x:c r="W529" s="12" t="n">
        <x:f>IF(Q529="Unclassified",S529,0)</x:f>
        <x:v>0</x:v>
      </x:c>
      <x:c r="X529" s="12" t="n">
        <x:f>IF(AND(ISNUMBER(F529),F529&gt;0,F529&lt;=Summary!$D$5,H529&gt;0),H529*J529,0)</x:f>
        <x:v>20000</x:v>
      </x:c>
    </x:row>
    <x:row r="530" ht="21" customHeight="1">
      <x:c r="A530" s="1" t="str">
        <x:v>10</x:v>
      </x:c>
      <x:c r="B530" s="1" t="str">
        <x:v>800BBLKISC</x:v>
      </x:c>
      <x:c r="C530" s="1" t="str">
        <x:v>1051221</x:v>
      </x:c>
      <x:c r="D530" s="1" t="str">
        <x:v>0</x:v>
      </x:c>
      <x:c r="E530" s="1"/>
      <x:c r="F530" s="7" t="n">
        <x:v>43845</x:v>
      </x:c>
      <x:c r="G530" s="7" t="n">
        <x:v>43847</x:v>
      </x:c>
      <x:c r="H530" s="8" t="n">
        <x:v>18000</x:v>
      </x:c>
      <x:c r="I530" s="8"/>
      <x:c r="J530" s="8" t="n">
        <x:v>1</x:v>
      </x:c>
      <x:c r="K530" s="9" t="n">
        <x:v>9.06</x:v>
      </x:c>
      <x:c r="L530" s="8" t="n">
        <x:v>100</x:v>
      </x:c>
      <x:c r="M530" s="10" t="n">
        <x:v>1553.4</x:v>
      </x:c>
      <x:c r="N530" s="8" t="str">
        <x:v>i</x:v>
      </x:c>
      <x:c r="O530" s="8" t="n">
        <x:v>0</x:v>
      </x:c>
      <x:c r="P530" s="11" t="n">
        <x:f>MIN(X530,MAX(0,SUMIFS('Current inventory'!$D$2:$D$127,'Current inventory'!$A$2:$A$127,A530,'Current inventory'!$B$2:$B$127,B530)-SUMIFS($X$2:X529,$A$2:A529,A530,$B$2:B529,B530)))</x:f>
        <x:v>0</x:v>
      </x:c>
      <x:c r="Q530" s="1" t="str">
        <x:v>Received history</x:v>
      </x:c>
      <x:c r="R530" s="1" t="str">
        <x:v>Receipts data film c400 c800 plastic.csv</x:v>
      </x:c>
      <x:c r="S530" s="12" t="n">
        <x:f>IF(O530=1,I530*J530,0)</x:f>
        <x:v>0</x:v>
      </x:c>
      <x:c r="T530" s="13" t="n">
        <x:f>IF(L530&gt;0,K530/L530,"n.a.")</x:f>
        <x:v>0.0906</x:v>
      </x:c>
      <x:c r="U530" s="12" t="n">
        <x:f>IF(Q530="Old cost",S530,0)</x:f>
        <x:v>0</x:v>
      </x:c>
      <x:c r="V530" s="12" t="n">
        <x:f>IF(Q530="Higher cost",S530,0)</x:f>
        <x:v>0</x:v>
      </x:c>
      <x:c r="W530" s="12" t="n">
        <x:f>IF(Q530="Unclassified",S530,0)</x:f>
        <x:v>0</x:v>
      </x:c>
      <x:c r="X530" s="12" t="n">
        <x:f>IF(AND(ISNUMBER(F530),F530&gt;0,F530&lt;=Summary!$D$5,H530&gt;0),H530*J530,0)</x:f>
        <x:v>18000</x:v>
      </x:c>
    </x:row>
    <x:row r="531" ht="21" customHeight="1">
      <x:c r="A531" s="1" t="str">
        <x:v>10</x:v>
      </x:c>
      <x:c r="B531" s="1" t="str">
        <x:v>800BLKE</x:v>
      </x:c>
      <x:c r="C531" s="1" t="str">
        <x:v>1051221</x:v>
      </x:c>
      <x:c r="D531" s="1" t="str">
        <x:v>0</x:v>
      </x:c>
      <x:c r="E531" s="1"/>
      <x:c r="F531" s="7" t="n">
        <x:v>43845</x:v>
      </x:c>
      <x:c r="G531" s="7" t="n">
        <x:v>43847</x:v>
      </x:c>
      <x:c r="H531" s="8" t="n">
        <x:v>2000</x:v>
      </x:c>
      <x:c r="I531" s="8"/>
      <x:c r="J531" s="8" t="n">
        <x:v>1</x:v>
      </x:c>
      <x:c r="K531" s="9" t="n">
        <x:v>530</x:v>
      </x:c>
      <x:c r="L531" s="8" t="n">
        <x:v>1000</x:v>
      </x:c>
      <x:c r="M531" s="10" t="n">
        <x:v>1060</x:v>
      </x:c>
      <x:c r="N531" s="8" t="str">
        <x:v>i</x:v>
      </x:c>
      <x:c r="O531" s="8" t="n">
        <x:v>0</x:v>
      </x:c>
      <x:c r="P531" s="11" t="n">
        <x:f>MIN(X531,MAX(0,SUMIFS('Current inventory'!$D$2:$D$127,'Current inventory'!$A$2:$A$127,A531,'Current inventory'!$B$2:$B$127,B531)-SUMIFS($X$2:X530,$A$2:A530,A531,$B$2:B530,B531)))</x:f>
        <x:v>0</x:v>
      </x:c>
      <x:c r="Q531" s="1" t="str">
        <x:v>Received history</x:v>
      </x:c>
      <x:c r="R531" s="1" t="str">
        <x:v>Receipts data film c400 c800 plastic.csv</x:v>
      </x:c>
      <x:c r="S531" s="12" t="n">
        <x:f>IF(O531=1,I531*J531,0)</x:f>
        <x:v>0</x:v>
      </x:c>
      <x:c r="T531" s="13" t="n">
        <x:f>IF(L531&gt;0,K531/L531,"n.a.")</x:f>
        <x:v>0.53</x:v>
      </x:c>
      <x:c r="U531" s="12" t="n">
        <x:f>IF(Q531="Old cost",S531,0)</x:f>
        <x:v>0</x:v>
      </x:c>
      <x:c r="V531" s="12" t="n">
        <x:f>IF(Q531="Higher cost",S531,0)</x:f>
        <x:v>0</x:v>
      </x:c>
      <x:c r="W531" s="12" t="n">
        <x:f>IF(Q531="Unclassified",S531,0)</x:f>
        <x:v>0</x:v>
      </x:c>
      <x:c r="X531" s="12" t="n">
        <x:f>IF(AND(ISNUMBER(F531),F531&gt;0,F531&lt;=Summary!$D$5,H531&gt;0),H531*J531,0)</x:f>
        <x:v>2000</x:v>
      </x:c>
    </x:row>
    <x:row r="532" ht="21" customHeight="1">
      <x:c r="A532" s="1" t="str">
        <x:v>10</x:v>
      </x:c>
      <x:c r="B532" s="1" t="str">
        <x:v>800BNAVASC</x:v>
      </x:c>
      <x:c r="C532" s="1" t="str">
        <x:v>1051221</x:v>
      </x:c>
      <x:c r="D532" s="1" t="str">
        <x:v>0</x:v>
      </x:c>
      <x:c r="E532" s="1"/>
      <x:c r="F532" s="7" t="n">
        <x:v>43845</x:v>
      </x:c>
      <x:c r="G532" s="7" t="n">
        <x:v>43847</x:v>
      </x:c>
      <x:c r="H532" s="8" t="n">
        <x:v>40000</x:v>
      </x:c>
      <x:c r="I532" s="8"/>
      <x:c r="J532" s="8" t="n">
        <x:v>1</x:v>
      </x:c>
      <x:c r="K532" s="9" t="n">
        <x:v>8.09</x:v>
      </x:c>
      <x:c r="L532" s="8" t="n">
        <x:v>100</x:v>
      </x:c>
      <x:c r="M532" s="10" t="n">
        <x:v>3168</x:v>
      </x:c>
      <x:c r="N532" s="8" t="str">
        <x:v>i</x:v>
      </x:c>
      <x:c r="O532" s="8" t="n">
        <x:v>0</x:v>
      </x:c>
      <x:c r="P532" s="11" t="n">
        <x:f>MIN(X532,MAX(0,SUMIFS('Current inventory'!$D$2:$D$127,'Current inventory'!$A$2:$A$127,A532,'Current inventory'!$B$2:$B$127,B532)-SUMIFS($X$2:X531,$A$2:A531,A532,$B$2:B531,B532)))</x:f>
        <x:v>0</x:v>
      </x:c>
      <x:c r="Q532" s="1" t="str">
        <x:v>Received history</x:v>
      </x:c>
      <x:c r="R532" s="1" t="str">
        <x:v>Receipts data film c400 c800 plastic.csv</x:v>
      </x:c>
      <x:c r="S532" s="12" t="n">
        <x:f>IF(O532=1,I532*J532,0)</x:f>
        <x:v>0</x:v>
      </x:c>
      <x:c r="T532" s="13" t="n">
        <x:f>IF(L532&gt;0,K532/L532,"n.a.")</x:f>
        <x:v>0.0809</x:v>
      </x:c>
      <x:c r="U532" s="12" t="n">
        <x:f>IF(Q532="Old cost",S532,0)</x:f>
        <x:v>0</x:v>
      </x:c>
      <x:c r="V532" s="12" t="n">
        <x:f>IF(Q532="Higher cost",S532,0)</x:f>
        <x:v>0</x:v>
      </x:c>
      <x:c r="W532" s="12" t="n">
        <x:f>IF(Q532="Unclassified",S532,0)</x:f>
        <x:v>0</x:v>
      </x:c>
      <x:c r="X532" s="12" t="n">
        <x:f>IF(AND(ISNUMBER(F532),F532&gt;0,F532&lt;=Summary!$D$5,H532&gt;0),H532*J532,0)</x:f>
        <x:v>40000</x:v>
      </x:c>
    </x:row>
    <x:row r="533" ht="21" customHeight="1">
      <x:c r="A533" s="1" t="str">
        <x:v>10</x:v>
      </x:c>
      <x:c r="B533" s="1" t="str">
        <x:v>800BNAVISC</x:v>
      </x:c>
      <x:c r="C533" s="1" t="str">
        <x:v>1051221</x:v>
      </x:c>
      <x:c r="D533" s="1" t="str">
        <x:v>0</x:v>
      </x:c>
      <x:c r="E533" s="1"/>
      <x:c r="F533" s="7" t="n">
        <x:v>43845</x:v>
      </x:c>
      <x:c r="G533" s="7" t="n">
        <x:v>43847</x:v>
      </x:c>
      <x:c r="H533" s="8" t="n">
        <x:v>11000</x:v>
      </x:c>
      <x:c r="I533" s="8"/>
      <x:c r="J533" s="8" t="n">
        <x:v>1</x:v>
      </x:c>
      <x:c r="K533" s="9" t="n">
        <x:v>9.06</x:v>
      </x:c>
      <x:c r="L533" s="8" t="n">
        <x:v>100</x:v>
      </x:c>
      <x:c r="M533" s="10" t="n">
        <x:v>949.3</x:v>
      </x:c>
      <x:c r="N533" s="8" t="str">
        <x:v>i</x:v>
      </x:c>
      <x:c r="O533" s="8" t="n">
        <x:v>0</x:v>
      </x:c>
      <x:c r="P533" s="11" t="n">
        <x:f>MIN(X533,MAX(0,SUMIFS('Current inventory'!$D$2:$D$127,'Current inventory'!$A$2:$A$127,A533,'Current inventory'!$B$2:$B$127,B533)-SUMIFS($X$2:X532,$A$2:A532,A533,$B$2:B532,B533)))</x:f>
        <x:v>0</x:v>
      </x:c>
      <x:c r="Q533" s="1" t="str">
        <x:v>Received history</x:v>
      </x:c>
      <x:c r="R533" s="1" t="str">
        <x:v>Receipts data film c400 c800 plastic.csv</x:v>
      </x:c>
      <x:c r="S533" s="12" t="n">
        <x:f>IF(O533=1,I533*J533,0)</x:f>
        <x:v>0</x:v>
      </x:c>
      <x:c r="T533" s="13" t="n">
        <x:f>IF(L533&gt;0,K533/L533,"n.a.")</x:f>
        <x:v>0.0906</x:v>
      </x:c>
      <x:c r="U533" s="12" t="n">
        <x:f>IF(Q533="Old cost",S533,0)</x:f>
        <x:v>0</x:v>
      </x:c>
      <x:c r="V533" s="12" t="n">
        <x:f>IF(Q533="Higher cost",S533,0)</x:f>
        <x:v>0</x:v>
      </x:c>
      <x:c r="W533" s="12" t="n">
        <x:f>IF(Q533="Unclassified",S533,0)</x:f>
        <x:v>0</x:v>
      </x:c>
      <x:c r="X533" s="12" t="n">
        <x:f>IF(AND(ISNUMBER(F533),F533&gt;0,F533&lt;=Summary!$D$5,H533&gt;0),H533*J533,0)</x:f>
        <x:v>11000</x:v>
      </x:c>
    </x:row>
    <x:row r="534" ht="21" customHeight="1">
      <x:c r="A534" s="1" t="str">
        <x:v>10</x:v>
      </x:c>
      <x:c r="B534" s="1" t="str">
        <x:v>800BWHTASC</x:v>
      </x:c>
      <x:c r="C534" s="1" t="str">
        <x:v>1051221</x:v>
      </x:c>
      <x:c r="D534" s="1" t="str">
        <x:v>0</x:v>
      </x:c>
      <x:c r="E534" s="1"/>
      <x:c r="F534" s="7" t="n">
        <x:v>43845</x:v>
      </x:c>
      <x:c r="G534" s="7" t="n">
        <x:v>43847</x:v>
      </x:c>
      <x:c r="H534" s="8" t="n">
        <x:v>11000</x:v>
      </x:c>
      <x:c r="I534" s="8"/>
      <x:c r="J534" s="8" t="n">
        <x:v>1</x:v>
      </x:c>
      <x:c r="K534" s="9" t="n">
        <x:v>8.3</x:v>
      </x:c>
      <x:c r="L534" s="8" t="n">
        <x:v>100</x:v>
      </x:c>
      <x:c r="M534" s="10" t="n">
        <x:v>871.2</x:v>
      </x:c>
      <x:c r="N534" s="8" t="str">
        <x:v>i</x:v>
      </x:c>
      <x:c r="O534" s="8" t="n">
        <x:v>0</x:v>
      </x:c>
      <x:c r="P534" s="11" t="n">
        <x:f>MIN(X534,MAX(0,SUMIFS('Current inventory'!$D$2:$D$127,'Current inventory'!$A$2:$A$127,A534,'Current inventory'!$B$2:$B$127,B534)-SUMIFS($X$2:X533,$A$2:A533,A534,$B$2:B533,B534)))</x:f>
        <x:v>0</x:v>
      </x:c>
      <x:c r="Q534" s="1" t="str">
        <x:v>Received history</x:v>
      </x:c>
      <x:c r="R534" s="1" t="str">
        <x:v>Receipts data film c400 c800 plastic.csv</x:v>
      </x:c>
      <x:c r="S534" s="12" t="n">
        <x:f>IF(O534=1,I534*J534,0)</x:f>
        <x:v>0</x:v>
      </x:c>
      <x:c r="T534" s="13" t="n">
        <x:f>IF(L534&gt;0,K534/L534,"n.a.")</x:f>
        <x:v>0.083</x:v>
      </x:c>
      <x:c r="U534" s="12" t="n">
        <x:f>IF(Q534="Old cost",S534,0)</x:f>
        <x:v>0</x:v>
      </x:c>
      <x:c r="V534" s="12" t="n">
        <x:f>IF(Q534="Higher cost",S534,0)</x:f>
        <x:v>0</x:v>
      </x:c>
      <x:c r="W534" s="12" t="n">
        <x:f>IF(Q534="Unclassified",S534,0)</x:f>
        <x:v>0</x:v>
      </x:c>
      <x:c r="X534" s="12" t="n">
        <x:f>IF(AND(ISNUMBER(F534),F534&gt;0,F534&lt;=Summary!$D$5,H534&gt;0),H534*J534,0)</x:f>
        <x:v>11000</x:v>
      </x:c>
    </x:row>
    <x:row r="535" ht="21" customHeight="1">
      <x:c r="A535" s="1" t="str">
        <x:v>10</x:v>
      </x:c>
      <x:c r="B535" s="1" t="str">
        <x:v>800NAVE</x:v>
      </x:c>
      <x:c r="C535" s="1" t="str">
        <x:v>1051221</x:v>
      </x:c>
      <x:c r="D535" s="1" t="str">
        <x:v>0</x:v>
      </x:c>
      <x:c r="E535" s="1"/>
      <x:c r="F535" s="7" t="n">
        <x:v>43845</x:v>
      </x:c>
      <x:c r="G535" s="7" t="n">
        <x:v>43847</x:v>
      </x:c>
      <x:c r="H535" s="8" t="n">
        <x:v>6000</x:v>
      </x:c>
      <x:c r="I535" s="8"/>
      <x:c r="J535" s="8" t="n">
        <x:v>1</x:v>
      </x:c>
      <x:c r="K535" s="9" t="n">
        <x:v>530</x:v>
      </x:c>
      <x:c r="L535" s="8" t="n">
        <x:v>1000</x:v>
      </x:c>
      <x:c r="M535" s="10" t="n">
        <x:v>3180</x:v>
      </x:c>
      <x:c r="N535" s="8" t="str">
        <x:v>i</x:v>
      </x:c>
      <x:c r="O535" s="8" t="n">
        <x:v>0</x:v>
      </x:c>
      <x:c r="P535" s="11" t="n">
        <x:f>MIN(X535,MAX(0,SUMIFS('Current inventory'!$D$2:$D$127,'Current inventory'!$A$2:$A$127,A535,'Current inventory'!$B$2:$B$127,B535)-SUMIFS($X$2:X534,$A$2:A534,A535,$B$2:B534,B535)))</x:f>
        <x:v>0</x:v>
      </x:c>
      <x:c r="Q535" s="1" t="str">
        <x:v>Received history</x:v>
      </x:c>
      <x:c r="R535" s="1" t="str">
        <x:v>Receipts data film c400 c800 plastic.csv</x:v>
      </x:c>
      <x:c r="S535" s="12" t="n">
        <x:f>IF(O535=1,I535*J535,0)</x:f>
        <x:v>0</x:v>
      </x:c>
      <x:c r="T535" s="13" t="n">
        <x:f>IF(L535&gt;0,K535/L535,"n.a.")</x:f>
        <x:v>0.53</x:v>
      </x:c>
      <x:c r="U535" s="12" t="n">
        <x:f>IF(Q535="Old cost",S535,0)</x:f>
        <x:v>0</x:v>
      </x:c>
      <x:c r="V535" s="12" t="n">
        <x:f>IF(Q535="Higher cost",S535,0)</x:f>
        <x:v>0</x:v>
      </x:c>
      <x:c r="W535" s="12" t="n">
        <x:f>IF(Q535="Unclassified",S535,0)</x:f>
        <x:v>0</x:v>
      </x:c>
      <x:c r="X535" s="12" t="n">
        <x:f>IF(AND(ISNUMBER(F535),F535&gt;0,F535&lt;=Summary!$D$5,H535&gt;0),H535*J535,0)</x:f>
        <x:v>6000</x:v>
      </x:c>
    </x:row>
    <x:row r="536" ht="21" customHeight="1">
      <x:c r="A536" s="1" t="str">
        <x:v>10</x:v>
      </x:c>
      <x:c r="B536" s="1" t="str">
        <x:v>800BBLKASC</x:v>
      </x:c>
      <x:c r="C536" s="1" t="str">
        <x:v>1050521</x:v>
      </x:c>
      <x:c r="D536" s="1" t="str">
        <x:v>2</x:v>
      </x:c>
      <x:c r="E536" s="1"/>
      <x:c r="F536" s="7" t="n">
        <x:v>43761</x:v>
      </x:c>
      <x:c r="G536" s="7" t="n">
        <x:v>43756</x:v>
      </x:c>
      <x:c r="H536" s="8" t="n">
        <x:v>280000</x:v>
      </x:c>
      <x:c r="I536" s="8"/>
      <x:c r="J536" s="8" t="n">
        <x:v>1</x:v>
      </x:c>
      <x:c r="K536" s="9" t="n">
        <x:v>7.8</x:v>
      </x:c>
      <x:c r="L536" s="8" t="n">
        <x:v>100</x:v>
      </x:c>
      <x:c r="M536" s="10" t="n">
        <x:v>22176</x:v>
      </x:c>
      <x:c r="N536" s="8" t="str">
        <x:v>i</x:v>
      </x:c>
      <x:c r="O536" s="8" t="n">
        <x:v>0</x:v>
      </x:c>
      <x:c r="P536" s="11" t="n">
        <x:f>MIN(X536,MAX(0,SUMIFS('Current inventory'!$D$2:$D$127,'Current inventory'!$A$2:$A$127,A536,'Current inventory'!$B$2:$B$127,B536)-SUMIFS($X$2:X535,$A$2:A535,A536,$B$2:B535,B536)))</x:f>
        <x:v>0</x:v>
      </x:c>
      <x:c r="Q536" s="1" t="str">
        <x:v>Received history</x:v>
      </x:c>
      <x:c r="R536" s="1" t="str">
        <x:v>Receipts data film c400 c800 plastic.csv</x:v>
      </x:c>
      <x:c r="S536" s="12" t="n">
        <x:f>IF(O536=1,I536*J536,0)</x:f>
        <x:v>0</x:v>
      </x:c>
      <x:c r="T536" s="13" t="n">
        <x:f>IF(L536&gt;0,K536/L536,"n.a.")</x:f>
        <x:v>0.078</x:v>
      </x:c>
      <x:c r="U536" s="12" t="n">
        <x:f>IF(Q536="Old cost",S536,0)</x:f>
        <x:v>0</x:v>
      </x:c>
      <x:c r="V536" s="12" t="n">
        <x:f>IF(Q536="Higher cost",S536,0)</x:f>
        <x:v>0</x:v>
      </x:c>
      <x:c r="W536" s="12" t="n">
        <x:f>IF(Q536="Unclassified",S536,0)</x:f>
        <x:v>0</x:v>
      </x:c>
      <x:c r="X536" s="12" t="n">
        <x:f>IF(AND(ISNUMBER(F536),F536&gt;0,F536&lt;=Summary!$D$5,H536&gt;0),H536*J536,0)</x:f>
        <x:v>280000</x:v>
      </x:c>
    </x:row>
    <x:row r="537" ht="21" customHeight="1">
      <x:c r="A537" s="1" t="str">
        <x:v>60</x:v>
      </x:c>
      <x:c r="B537" s="1" t="str">
        <x:v>800BBLKASC</x:v>
      </x:c>
      <x:c r="C537" s="1" t="str">
        <x:v>6102389</x:v>
      </x:c>
      <x:c r="D537" s="1" t="str">
        <x:v>1</x:v>
      </x:c>
      <x:c r="E537" s="1"/>
      <x:c r="F537" s="7" t="n">
        <x:v>43759</x:v>
      </x:c>
      <x:c r="G537" s="7" t="n">
        <x:v>43754</x:v>
      </x:c>
      <x:c r="H537" s="8" t="n">
        <x:v>280000</x:v>
      </x:c>
      <x:c r="I537" s="8"/>
      <x:c r="J537" s="8" t="n">
        <x:v>1</x:v>
      </x:c>
      <x:c r="K537" s="9" t="n">
        <x:v>7.8</x:v>
      </x:c>
      <x:c r="L537" s="8" t="n">
        <x:v>100</x:v>
      </x:c>
      <x:c r="M537" s="10" t="n">
        <x:v>22176</x:v>
      </x:c>
      <x:c r="N537" s="8" t="str">
        <x:v>i</x:v>
      </x:c>
      <x:c r="O537" s="8" t="n">
        <x:v>0</x:v>
      </x:c>
      <x:c r="P537" s="11" t="n">
        <x:f>MIN(X537,MAX(0,SUMIFS('Current inventory'!$D$2:$D$127,'Current inventory'!$A$2:$A$127,A537,'Current inventory'!$B$2:$B$127,B537)-SUMIFS($X$2:X536,$A$2:A536,A537,$B$2:B536,B537)))</x:f>
        <x:v>0</x:v>
      </x:c>
      <x:c r="Q537" s="1" t="str">
        <x:v>Received history</x:v>
      </x:c>
      <x:c r="R537" s="1" t="str">
        <x:v>Receipts data film c400 c800 plastic.csv</x:v>
      </x:c>
      <x:c r="S537" s="12" t="n">
        <x:f>IF(O537=1,I537*J537,0)</x:f>
        <x:v>0</x:v>
      </x:c>
      <x:c r="T537" s="13" t="n">
        <x:f>IF(L537&gt;0,K537/L537,"n.a.")</x:f>
        <x:v>0.078</x:v>
      </x:c>
      <x:c r="U537" s="12" t="n">
        <x:f>IF(Q537="Old cost",S537,0)</x:f>
        <x:v>0</x:v>
      </x:c>
      <x:c r="V537" s="12" t="n">
        <x:f>IF(Q537="Higher cost",S537,0)</x:f>
        <x:v>0</x:v>
      </x:c>
      <x:c r="W537" s="12" t="n">
        <x:f>IF(Q537="Unclassified",S537,0)</x:f>
        <x:v>0</x:v>
      </x:c>
      <x:c r="X537" s="12" t="n">
        <x:f>IF(AND(ISNUMBER(F537),F537&gt;0,F537&lt;=Summary!$D$5,H537&gt;0),H537*J537,0)</x:f>
        <x:v>280000</x:v>
      </x:c>
    </x:row>
    <x:row r="538" ht="21" customHeight="1">
      <x:c r="A538" s="1" t="str">
        <x:v>60</x:v>
      </x:c>
      <x:c r="B538" s="1" t="str">
        <x:v>800BBLKCSC</x:v>
      </x:c>
      <x:c r="C538" s="1" t="str">
        <x:v>6102389</x:v>
      </x:c>
      <x:c r="D538" s="1" t="str">
        <x:v>1</x:v>
      </x:c>
      <x:c r="E538" s="1"/>
      <x:c r="F538" s="7" t="n">
        <x:v>43759</x:v>
      </x:c>
      <x:c r="G538" s="7" t="n">
        <x:v>43754</x:v>
      </x:c>
      <x:c r="H538" s="8" t="n">
        <x:v>5000</x:v>
      </x:c>
      <x:c r="I538" s="8"/>
      <x:c r="J538" s="8" t="n">
        <x:v>1</x:v>
      </x:c>
      <x:c r="K538" s="9" t="n">
        <x:v>11.13</x:v>
      </x:c>
      <x:c r="L538" s="8" t="n">
        <x:v>100</x:v>
      </x:c>
      <x:c r="M538" s="10" t="n">
        <x:v>551.5</x:v>
      </x:c>
      <x:c r="N538" s="8" t="str">
        <x:v>i</x:v>
      </x:c>
      <x:c r="O538" s="8" t="n">
        <x:v>0</x:v>
      </x:c>
      <x:c r="P538" s="11" t="n">
        <x:f>MIN(X538,MAX(0,SUMIFS('Current inventory'!$D$2:$D$127,'Current inventory'!$A$2:$A$127,A538,'Current inventory'!$B$2:$B$127,B538)-SUMIFS($X$2:X537,$A$2:A537,A538,$B$2:B537,B538)))</x:f>
        <x:v>500</x:v>
      </x:c>
      <x:c r="Q538" s="1" t="str">
        <x:v>Received history</x:v>
      </x:c>
      <x:c r="R538" s="1" t="str">
        <x:v>Receipts data film c400 c800 plastic.csv</x:v>
      </x:c>
      <x:c r="S538" s="12" t="n">
        <x:f>IF(O538=1,I538*J538,0)</x:f>
        <x:v>0</x:v>
      </x:c>
      <x:c r="T538" s="13" t="n">
        <x:f>IF(L538&gt;0,K538/L538,"n.a.")</x:f>
        <x:v>0.11130000000000001</x:v>
      </x:c>
      <x:c r="U538" s="12" t="n">
        <x:f>IF(Q538="Old cost",S538,0)</x:f>
        <x:v>0</x:v>
      </x:c>
      <x:c r="V538" s="12" t="n">
        <x:f>IF(Q538="Higher cost",S538,0)</x:f>
        <x:v>0</x:v>
      </x:c>
      <x:c r="W538" s="12" t="n">
        <x:f>IF(Q538="Unclassified",S538,0)</x:f>
        <x:v>0</x:v>
      </x:c>
      <x:c r="X538" s="12" t="n">
        <x:f>IF(AND(ISNUMBER(F538),F538&gt;0,F538&lt;=Summary!$D$5,H538&gt;0),H538*J538,0)</x:f>
        <x:v>5000</x:v>
      </x:c>
    </x:row>
    <x:row r="539" ht="21" customHeight="1">
      <x:c r="A539" s="1" t="str">
        <x:v>60</x:v>
      </x:c>
      <x:c r="B539" s="1" t="str">
        <x:v>800BBLKDSC</x:v>
      </x:c>
      <x:c r="C539" s="1" t="str">
        <x:v>6102389</x:v>
      </x:c>
      <x:c r="D539" s="1" t="str">
        <x:v>1</x:v>
      </x:c>
      <x:c r="E539" s="1"/>
      <x:c r="F539" s="7" t="n">
        <x:v>43759</x:v>
      </x:c>
      <x:c r="G539" s="7" t="n">
        <x:v>43754</x:v>
      </x:c>
      <x:c r="H539" s="8" t="n">
        <x:v>29000</x:v>
      </x:c>
      <x:c r="I539" s="8"/>
      <x:c r="J539" s="8" t="n">
        <x:v>1</x:v>
      </x:c>
      <x:c r="K539" s="9" t="n">
        <x:v>16.71</x:v>
      </x:c>
      <x:c r="L539" s="8" t="n">
        <x:v>100</x:v>
      </x:c>
      <x:c r="M539" s="10" t="n">
        <x:v>4796.6</x:v>
      </x:c>
      <x:c r="N539" s="8" t="str">
        <x:v>i</x:v>
      </x:c>
      <x:c r="O539" s="8" t="n">
        <x:v>0</x:v>
      </x:c>
      <x:c r="P539" s="11" t="n">
        <x:f>MIN(X539,MAX(0,SUMIFS('Current inventory'!$D$2:$D$127,'Current inventory'!$A$2:$A$127,A539,'Current inventory'!$B$2:$B$127,B539)-SUMIFS($X$2:X538,$A$2:A538,A539,$B$2:B538,B539)))</x:f>
        <x:v>0</x:v>
      </x:c>
      <x:c r="Q539" s="1" t="str">
        <x:v>Received history</x:v>
      </x:c>
      <x:c r="R539" s="1" t="str">
        <x:v>Receipts data film c400 c800 plastic.csv</x:v>
      </x:c>
      <x:c r="S539" s="12" t="n">
        <x:f>IF(O539=1,I539*J539,0)</x:f>
        <x:v>0</x:v>
      </x:c>
      <x:c r="T539" s="13" t="n">
        <x:f>IF(L539&gt;0,K539/L539,"n.a.")</x:f>
        <x:v>0.1671</x:v>
      </x:c>
      <x:c r="U539" s="12" t="n">
        <x:f>IF(Q539="Old cost",S539,0)</x:f>
        <x:v>0</x:v>
      </x:c>
      <x:c r="V539" s="12" t="n">
        <x:f>IF(Q539="Higher cost",S539,0)</x:f>
        <x:v>0</x:v>
      </x:c>
      <x:c r="W539" s="12" t="n">
        <x:f>IF(Q539="Unclassified",S539,0)</x:f>
        <x:v>0</x:v>
      </x:c>
      <x:c r="X539" s="12" t="n">
        <x:f>IF(AND(ISNUMBER(F539),F539&gt;0,F539&lt;=Summary!$D$5,H539&gt;0),H539*J539,0)</x:f>
        <x:v>29000</x:v>
      </x:c>
    </x:row>
    <x:row r="540" ht="21" customHeight="1">
      <x:c r="A540" s="1" t="str">
        <x:v>60</x:v>
      </x:c>
      <x:c r="B540" s="1" t="str">
        <x:v>800BBLKISC</x:v>
      </x:c>
      <x:c r="C540" s="1" t="str">
        <x:v>6102389</x:v>
      </x:c>
      <x:c r="D540" s="1" t="str">
        <x:v>1</x:v>
      </x:c>
      <x:c r="E540" s="1"/>
      <x:c r="F540" s="7" t="n">
        <x:v>43759</x:v>
      </x:c>
      <x:c r="G540" s="7" t="n">
        <x:v>43754</x:v>
      </x:c>
      <x:c r="H540" s="8" t="n">
        <x:v>10000</x:v>
      </x:c>
      <x:c r="I540" s="8"/>
      <x:c r="J540" s="8" t="n">
        <x:v>1</x:v>
      </x:c>
      <x:c r="K540" s="9" t="n">
        <x:v>8.72</x:v>
      </x:c>
      <x:c r="L540" s="8" t="n">
        <x:v>100</x:v>
      </x:c>
      <x:c r="M540" s="10" t="n">
        <x:v>863</x:v>
      </x:c>
      <x:c r="N540" s="8" t="str">
        <x:v>i</x:v>
      </x:c>
      <x:c r="O540" s="8" t="n">
        <x:v>0</x:v>
      </x:c>
      <x:c r="P540" s="11" t="n">
        <x:f>MIN(X540,MAX(0,SUMIFS('Current inventory'!$D$2:$D$127,'Current inventory'!$A$2:$A$127,A540,'Current inventory'!$B$2:$B$127,B540)-SUMIFS($X$2:X539,$A$2:A539,A540,$B$2:B539,B540)))</x:f>
        <x:v>0</x:v>
      </x:c>
      <x:c r="Q540" s="1" t="str">
        <x:v>Received history</x:v>
      </x:c>
      <x:c r="R540" s="1" t="str">
        <x:v>Receipts data film c400 c800 plastic.csv</x:v>
      </x:c>
      <x:c r="S540" s="12" t="n">
        <x:f>IF(O540=1,I540*J540,0)</x:f>
        <x:v>0</x:v>
      </x:c>
      <x:c r="T540" s="13" t="n">
        <x:f>IF(L540&gt;0,K540/L540,"n.a.")</x:f>
        <x:v>0.0872</x:v>
      </x:c>
      <x:c r="U540" s="12" t="n">
        <x:f>IF(Q540="Old cost",S540,0)</x:f>
        <x:v>0</x:v>
      </x:c>
      <x:c r="V540" s="12" t="n">
        <x:f>IF(Q540="Higher cost",S540,0)</x:f>
        <x:v>0</x:v>
      </x:c>
      <x:c r="W540" s="12" t="n">
        <x:f>IF(Q540="Unclassified",S540,0)</x:f>
        <x:v>0</x:v>
      </x:c>
      <x:c r="X540" s="12" t="n">
        <x:f>IF(AND(ISNUMBER(F540),F540&gt;0,F540&lt;=Summary!$D$5,H540&gt;0),H540*J540,0)</x:f>
        <x:v>10000</x:v>
      </x:c>
    </x:row>
    <x:row r="541" ht="21" customHeight="1">
      <x:c r="A541" s="1" t="str">
        <x:v>10</x:v>
      </x:c>
      <x:c r="B541" s="1" t="str">
        <x:v>800BBLKASC</x:v>
      </x:c>
      <x:c r="C541" s="1" t="str">
        <x:v>1050521</x:v>
      </x:c>
      <x:c r="D541" s="1" t="str">
        <x:v>1</x:v>
      </x:c>
      <x:c r="E541" s="1"/>
      <x:c r="F541" s="7" t="n">
        <x:v>43755</x:v>
      </x:c>
      <x:c r="G541" s="7" t="n">
        <x:v>43756</x:v>
      </x:c>
      <x:c r="H541" s="8" t="n">
        <x:v>80000</x:v>
      </x:c>
      <x:c r="I541" s="8"/>
      <x:c r="J541" s="8" t="n">
        <x:v>1</x:v>
      </x:c>
      <x:c r="K541" s="9" t="n">
        <x:v>7.8</x:v>
      </x:c>
      <x:c r="L541" s="8" t="n">
        <x:v>100</x:v>
      </x:c>
      <x:c r="M541" s="10" t="n">
        <x:v>6336</x:v>
      </x:c>
      <x:c r="N541" s="8" t="str">
        <x:v>i</x:v>
      </x:c>
      <x:c r="O541" s="8" t="n">
        <x:v>0</x:v>
      </x:c>
      <x:c r="P541" s="11" t="n">
        <x:f>MIN(X541,MAX(0,SUMIFS('Current inventory'!$D$2:$D$127,'Current inventory'!$A$2:$A$127,A541,'Current inventory'!$B$2:$B$127,B541)-SUMIFS($X$2:X540,$A$2:A540,A541,$B$2:B540,B541)))</x:f>
        <x:v>0</x:v>
      </x:c>
      <x:c r="Q541" s="1" t="str">
        <x:v>Received history</x:v>
      </x:c>
      <x:c r="R541" s="1" t="str">
        <x:v>Receipts data film c400 c800 plastic.csv</x:v>
      </x:c>
      <x:c r="S541" s="12" t="n">
        <x:f>IF(O541=1,I541*J541,0)</x:f>
        <x:v>0</x:v>
      </x:c>
      <x:c r="T541" s="13" t="n">
        <x:f>IF(L541&gt;0,K541/L541,"n.a.")</x:f>
        <x:v>0.078</x:v>
      </x:c>
      <x:c r="U541" s="12" t="n">
        <x:f>IF(Q541="Old cost",S541,0)</x:f>
        <x:v>0</x:v>
      </x:c>
      <x:c r="V541" s="12" t="n">
        <x:f>IF(Q541="Higher cost",S541,0)</x:f>
        <x:v>0</x:v>
      </x:c>
      <x:c r="W541" s="12" t="n">
        <x:f>IF(Q541="Unclassified",S541,0)</x:f>
        <x:v>0</x:v>
      </x:c>
      <x:c r="X541" s="12" t="n">
        <x:f>IF(AND(ISNUMBER(F541),F541&gt;0,F541&lt;=Summary!$D$5,H541&gt;0),H541*J541,0)</x:f>
        <x:v>80000</x:v>
      </x:c>
    </x:row>
    <x:row r="542" ht="21" customHeight="1">
      <x:c r="A542" s="1" t="str">
        <x:v>10</x:v>
      </x:c>
      <x:c r="B542" s="1" t="str">
        <x:v>800BBLKBRC</x:v>
      </x:c>
      <x:c r="C542" s="1" t="str">
        <x:v>1050521</x:v>
      </x:c>
      <x:c r="D542" s="1" t="str">
        <x:v>1</x:v>
      </x:c>
      <x:c r="E542" s="1"/>
      <x:c r="F542" s="7" t="n">
        <x:v>43755</x:v>
      </x:c>
      <x:c r="G542" s="7" t="n">
        <x:v>43756</x:v>
      </x:c>
      <x:c r="H542" s="8" t="n">
        <x:v>10000</x:v>
      </x:c>
      <x:c r="I542" s="8"/>
      <x:c r="J542" s="8" t="n">
        <x:v>1</x:v>
      </x:c>
      <x:c r="K542" s="9" t="n">
        <x:v>9.41</x:v>
      </x:c>
      <x:c r="L542" s="8" t="n">
        <x:v>100</x:v>
      </x:c>
      <x:c r="M542" s="10" t="n">
        <x:v>898</x:v>
      </x:c>
      <x:c r="N542" s="8" t="str">
        <x:v>i</x:v>
      </x:c>
      <x:c r="O542" s="8" t="n">
        <x:v>0</x:v>
      </x:c>
      <x:c r="P542" s="11" t="n">
        <x:f>MIN(X542,MAX(0,SUMIFS('Current inventory'!$D$2:$D$127,'Current inventory'!$A$2:$A$127,A542,'Current inventory'!$B$2:$B$127,B542)-SUMIFS($X$2:X541,$A$2:A541,A542,$B$2:B541,B542)))</x:f>
        <x:v>0</x:v>
      </x:c>
      <x:c r="Q542" s="1" t="str">
        <x:v>Received history</x:v>
      </x:c>
      <x:c r="R542" s="1" t="str">
        <x:v>Receipts data film c400 c800 plastic.csv</x:v>
      </x:c>
      <x:c r="S542" s="12" t="n">
        <x:f>IF(O542=1,I542*J542,0)</x:f>
        <x:v>0</x:v>
      </x:c>
      <x:c r="T542" s="13" t="n">
        <x:f>IF(L542&gt;0,K542/L542,"n.a.")</x:f>
        <x:v>0.0941</x:v>
      </x:c>
      <x:c r="U542" s="12" t="n">
        <x:f>IF(Q542="Old cost",S542,0)</x:f>
        <x:v>0</x:v>
      </x:c>
      <x:c r="V542" s="12" t="n">
        <x:f>IF(Q542="Higher cost",S542,0)</x:f>
        <x:v>0</x:v>
      </x:c>
      <x:c r="W542" s="12" t="n">
        <x:f>IF(Q542="Unclassified",S542,0)</x:f>
        <x:v>0</x:v>
      </x:c>
      <x:c r="X542" s="12" t="n">
        <x:f>IF(AND(ISNUMBER(F542),F542&gt;0,F542&lt;=Summary!$D$5,H542&gt;0),H542*J542,0)</x:f>
        <x:v>10000</x:v>
      </x:c>
    </x:row>
    <x:row r="543" ht="21" customHeight="1">
      <x:c r="A543" s="1" t="str">
        <x:v>10</x:v>
      </x:c>
      <x:c r="B543" s="1" t="str">
        <x:v>800BBLKCSC</x:v>
      </x:c>
      <x:c r="C543" s="1" t="str">
        <x:v>1050521</x:v>
      </x:c>
      <x:c r="D543" s="1" t="str">
        <x:v>1</x:v>
      </x:c>
      <x:c r="E543" s="1"/>
      <x:c r="F543" s="7" t="n">
        <x:v>43755</x:v>
      </x:c>
      <x:c r="G543" s="7" t="n">
        <x:v>43756</x:v>
      </x:c>
      <x:c r="H543" s="8" t="n">
        <x:v>6000</x:v>
      </x:c>
      <x:c r="I543" s="8"/>
      <x:c r="J543" s="8" t="n">
        <x:v>1</x:v>
      </x:c>
      <x:c r="K543" s="9" t="n">
        <x:v>11.13</x:v>
      </x:c>
      <x:c r="L543" s="8" t="n">
        <x:v>100</x:v>
      </x:c>
      <x:c r="M543" s="10" t="n">
        <x:v>661.8</x:v>
      </x:c>
      <x:c r="N543" s="8" t="str">
        <x:v>i</x:v>
      </x:c>
      <x:c r="O543" s="8" t="n">
        <x:v>0</x:v>
      </x:c>
      <x:c r="P543" s="11" t="n">
        <x:f>MIN(X543,MAX(0,SUMIFS('Current inventory'!$D$2:$D$127,'Current inventory'!$A$2:$A$127,A543,'Current inventory'!$B$2:$B$127,B543)-SUMIFS($X$2:X542,$A$2:A542,A543,$B$2:B542,B543)))</x:f>
        <x:v>0</x:v>
      </x:c>
      <x:c r="Q543" s="1" t="str">
        <x:v>Received history</x:v>
      </x:c>
      <x:c r="R543" s="1" t="str">
        <x:v>Receipts data film c400 c800 plastic.csv</x:v>
      </x:c>
      <x:c r="S543" s="12" t="n">
        <x:f>IF(O543=1,I543*J543,0)</x:f>
        <x:v>0</x:v>
      </x:c>
      <x:c r="T543" s="13" t="n">
        <x:f>IF(L543&gt;0,K543/L543,"n.a.")</x:f>
        <x:v>0.11130000000000001</x:v>
      </x:c>
      <x:c r="U543" s="12" t="n">
        <x:f>IF(Q543="Old cost",S543,0)</x:f>
        <x:v>0</x:v>
      </x:c>
      <x:c r="V543" s="12" t="n">
        <x:f>IF(Q543="Higher cost",S543,0)</x:f>
        <x:v>0</x:v>
      </x:c>
      <x:c r="W543" s="12" t="n">
        <x:f>IF(Q543="Unclassified",S543,0)</x:f>
        <x:v>0</x:v>
      </x:c>
      <x:c r="X543" s="12" t="n">
        <x:f>IF(AND(ISNUMBER(F543),F543&gt;0,F543&lt;=Summary!$D$5,H543&gt;0),H543*J543,0)</x:f>
        <x:v>6000</x:v>
      </x:c>
    </x:row>
    <x:row r="544" ht="21" customHeight="1">
      <x:c r="A544" s="1" t="str">
        <x:v>10</x:v>
      </x:c>
      <x:c r="B544" s="1" t="str">
        <x:v>800BBLKDSC</x:v>
      </x:c>
      <x:c r="C544" s="1" t="str">
        <x:v>1050521</x:v>
      </x:c>
      <x:c r="D544" s="1" t="str">
        <x:v>1</x:v>
      </x:c>
      <x:c r="E544" s="1"/>
      <x:c r="F544" s="7" t="n">
        <x:v>43755</x:v>
      </x:c>
      <x:c r="G544" s="7" t="n">
        <x:v>43756</x:v>
      </x:c>
      <x:c r="H544" s="8" t="n">
        <x:v>14000</x:v>
      </x:c>
      <x:c r="I544" s="8"/>
      <x:c r="J544" s="8" t="n">
        <x:v>1</x:v>
      </x:c>
      <x:c r="K544" s="9" t="n">
        <x:v>16.71</x:v>
      </x:c>
      <x:c r="L544" s="8" t="n">
        <x:v>100</x:v>
      </x:c>
      <x:c r="M544" s="10" t="n">
        <x:v>2315.6</x:v>
      </x:c>
      <x:c r="N544" s="8" t="str">
        <x:v>i</x:v>
      </x:c>
      <x:c r="O544" s="8" t="n">
        <x:v>0</x:v>
      </x:c>
      <x:c r="P544" s="11" t="n">
        <x:f>MIN(X544,MAX(0,SUMIFS('Current inventory'!$D$2:$D$127,'Current inventory'!$A$2:$A$127,A544,'Current inventory'!$B$2:$B$127,B544)-SUMIFS($X$2:X543,$A$2:A543,A544,$B$2:B543,B544)))</x:f>
        <x:v>0</x:v>
      </x:c>
      <x:c r="Q544" s="1" t="str">
        <x:v>Received history</x:v>
      </x:c>
      <x:c r="R544" s="1" t="str">
        <x:v>Receipts data film c400 c800 plastic.csv</x:v>
      </x:c>
      <x:c r="S544" s="12" t="n">
        <x:f>IF(O544=1,I544*J544,0)</x:f>
        <x:v>0</x:v>
      </x:c>
      <x:c r="T544" s="13" t="n">
        <x:f>IF(L544&gt;0,K544/L544,"n.a.")</x:f>
        <x:v>0.1671</x:v>
      </x:c>
      <x:c r="U544" s="12" t="n">
        <x:f>IF(Q544="Old cost",S544,0)</x:f>
        <x:v>0</x:v>
      </x:c>
      <x:c r="V544" s="12" t="n">
        <x:f>IF(Q544="Higher cost",S544,0)</x:f>
        <x:v>0</x:v>
      </x:c>
      <x:c r="W544" s="12" t="n">
        <x:f>IF(Q544="Unclassified",S544,0)</x:f>
        <x:v>0</x:v>
      </x:c>
      <x:c r="X544" s="12" t="n">
        <x:f>IF(AND(ISNUMBER(F544),F544&gt;0,F544&lt;=Summary!$D$5,H544&gt;0),H544*J544,0)</x:f>
        <x:v>14000</x:v>
      </x:c>
    </x:row>
    <x:row r="545" ht="21" customHeight="1">
      <x:c r="A545" s="1" t="str">
        <x:v>10</x:v>
      </x:c>
      <x:c r="B545" s="1" t="str">
        <x:v>800BBLKISC</x:v>
      </x:c>
      <x:c r="C545" s="1" t="str">
        <x:v>1050521</x:v>
      </x:c>
      <x:c r="D545" s="1" t="str">
        <x:v>1</x:v>
      </x:c>
      <x:c r="E545" s="1"/>
      <x:c r="F545" s="7" t="n">
        <x:v>43755</x:v>
      </x:c>
      <x:c r="G545" s="7" t="n">
        <x:v>43756</x:v>
      </x:c>
      <x:c r="H545" s="8" t="n">
        <x:v>15000</x:v>
      </x:c>
      <x:c r="I545" s="8"/>
      <x:c r="J545" s="8" t="n">
        <x:v>1</x:v>
      </x:c>
      <x:c r="K545" s="9" t="n">
        <x:v>8.72</x:v>
      </x:c>
      <x:c r="L545" s="8" t="n">
        <x:v>100</x:v>
      </x:c>
      <x:c r="M545" s="10" t="n">
        <x:v>1294.5</x:v>
      </x:c>
      <x:c r="N545" s="8" t="str">
        <x:v>i</x:v>
      </x:c>
      <x:c r="O545" s="8" t="n">
        <x:v>0</x:v>
      </x:c>
      <x:c r="P545" s="11" t="n">
        <x:f>MIN(X545,MAX(0,SUMIFS('Current inventory'!$D$2:$D$127,'Current inventory'!$A$2:$A$127,A545,'Current inventory'!$B$2:$B$127,B545)-SUMIFS($X$2:X544,$A$2:A544,A545,$B$2:B544,B545)))</x:f>
        <x:v>0</x:v>
      </x:c>
      <x:c r="Q545" s="1" t="str">
        <x:v>Received history</x:v>
      </x:c>
      <x:c r="R545" s="1" t="str">
        <x:v>Receipts data film c400 c800 plastic.csv</x:v>
      </x:c>
      <x:c r="S545" s="12" t="n">
        <x:f>IF(O545=1,I545*J545,0)</x:f>
        <x:v>0</x:v>
      </x:c>
      <x:c r="T545" s="13" t="n">
        <x:f>IF(L545&gt;0,K545/L545,"n.a.")</x:f>
        <x:v>0.0872</x:v>
      </x:c>
      <x:c r="U545" s="12" t="n">
        <x:f>IF(Q545="Old cost",S545,0)</x:f>
        <x:v>0</x:v>
      </x:c>
      <x:c r="V545" s="12" t="n">
        <x:f>IF(Q545="Higher cost",S545,0)</x:f>
        <x:v>0</x:v>
      </x:c>
      <x:c r="W545" s="12" t="n">
        <x:f>IF(Q545="Unclassified",S545,0)</x:f>
        <x:v>0</x:v>
      </x:c>
      <x:c r="X545" s="12" t="n">
        <x:f>IF(AND(ISNUMBER(F545),F545&gt;0,F545&lt;=Summary!$D$5,H545&gt;0),H545*J545,0)</x:f>
        <x:v>15000</x:v>
      </x:c>
    </x:row>
    <x:row r="546" ht="21" customHeight="1">
      <x:c r="A546" s="1" t="str">
        <x:v>10</x:v>
      </x:c>
      <x:c r="B546" s="1" t="str">
        <x:v>800BBLKASC</x:v>
      </x:c>
      <x:c r="C546" s="1" t="str">
        <x:v>1050521</x:v>
      </x:c>
      <x:c r="D546" s="1" t="str">
        <x:v>0</x:v>
      </x:c>
      <x:c r="E546" s="1"/>
      <x:c r="F546" s="7" t="n">
        <x:v>43740</x:v>
      </x:c>
      <x:c r="G546" s="7" t="n">
        <x:v>43756</x:v>
      </x:c>
      <x:c r="H546" s="8" t="n">
        <x:v>0</x:v>
      </x:c>
      <x:c r="I546" s="8"/>
      <x:c r="J546" s="8" t="n">
        <x:v>1</x:v>
      </x:c>
      <x:c r="K546" s="9" t="n">
        <x:v>7.8</x:v>
      </x:c>
      <x:c r="L546" s="8" t="n">
        <x:v>100</x:v>
      </x:c>
      <x:c r="M546" s="10" t="n">
        <x:v>0</x:v>
      </x:c>
      <x:c r="N546" s="8" t="str">
        <x:v>i</x:v>
      </x:c>
      <x:c r="O546" s="8" t="n">
        <x:v>0</x:v>
      </x:c>
      <x:c r="P546" s="11" t="n">
        <x:f>MIN(X546,MAX(0,SUMIFS('Current inventory'!$D$2:$D$127,'Current inventory'!$A$2:$A$127,A546,'Current inventory'!$B$2:$B$127,B546)-SUMIFS($X$2:X545,$A$2:A545,A546,$B$2:B545,B546)))</x:f>
        <x:v>0</x:v>
      </x:c>
      <x:c r="Q546" s="1" t="str">
        <x:v>Received history</x:v>
      </x:c>
      <x:c r="R546" s="1" t="str">
        <x:v>Receipts data film c400 c800 plastic.csv</x:v>
      </x:c>
      <x:c r="S546" s="12" t="n">
        <x:f>IF(O546=1,I546*J546,0)</x:f>
        <x:v>0</x:v>
      </x:c>
      <x:c r="T546" s="13" t="n">
        <x:f>IF(L546&gt;0,K546/L546,"n.a.")</x:f>
        <x:v>0.078</x:v>
      </x:c>
      <x:c r="U546" s="12" t="n">
        <x:f>IF(Q546="Old cost",S546,0)</x:f>
        <x:v>0</x:v>
      </x:c>
      <x:c r="V546" s="12" t="n">
        <x:f>IF(Q546="Higher cost",S546,0)</x:f>
        <x:v>0</x:v>
      </x:c>
      <x:c r="W546" s="12" t="n">
        <x:f>IF(Q546="Unclassified",S546,0)</x:f>
        <x:v>0</x:v>
      </x:c>
      <x:c r="X546" s="12" t="n">
        <x:f>IF(AND(ISNUMBER(F546),F546&gt;0,F546&lt;=Summary!$D$5,H546&gt;0),H546*J546,0)</x:f>
        <x:v>0</x:v>
      </x:c>
    </x:row>
    <x:row r="547" ht="21" customHeight="1">
      <x:c r="A547" s="1" t="str">
        <x:v>10</x:v>
      </x:c>
      <x:c r="B547" s="1" t="str">
        <x:v>800BBLKBRC</x:v>
      </x:c>
      <x:c r="C547" s="1" t="str">
        <x:v>1050521</x:v>
      </x:c>
      <x:c r="D547" s="1" t="str">
        <x:v>0</x:v>
      </x:c>
      <x:c r="E547" s="1"/>
      <x:c r="F547" s="7" t="n">
        <x:v>43740</x:v>
      </x:c>
      <x:c r="G547" s="7" t="n">
        <x:v>43756</x:v>
      </x:c>
      <x:c r="H547" s="8" t="n">
        <x:v>0</x:v>
      </x:c>
      <x:c r="I547" s="8"/>
      <x:c r="J547" s="8" t="n">
        <x:v>1</x:v>
      </x:c>
      <x:c r="K547" s="9" t="n">
        <x:v>9.41</x:v>
      </x:c>
      <x:c r="L547" s="8" t="n">
        <x:v>100</x:v>
      </x:c>
      <x:c r="M547" s="10" t="n">
        <x:v>0</x:v>
      </x:c>
      <x:c r="N547" s="8" t="str">
        <x:v>i</x:v>
      </x:c>
      <x:c r="O547" s="8" t="n">
        <x:v>0</x:v>
      </x:c>
      <x:c r="P547" s="11" t="n">
        <x:f>MIN(X547,MAX(0,SUMIFS('Current inventory'!$D$2:$D$127,'Current inventory'!$A$2:$A$127,A547,'Current inventory'!$B$2:$B$127,B547)-SUMIFS($X$2:X546,$A$2:A546,A547,$B$2:B546,B547)))</x:f>
        <x:v>0</x:v>
      </x:c>
      <x:c r="Q547" s="1" t="str">
        <x:v>Received history</x:v>
      </x:c>
      <x:c r="R547" s="1" t="str">
        <x:v>Receipts data film c400 c800 plastic.csv</x:v>
      </x:c>
      <x:c r="S547" s="12" t="n">
        <x:f>IF(O547=1,I547*J547,0)</x:f>
        <x:v>0</x:v>
      </x:c>
      <x:c r="T547" s="13" t="n">
        <x:f>IF(L547&gt;0,K547/L547,"n.a.")</x:f>
        <x:v>0.0941</x:v>
      </x:c>
      <x:c r="U547" s="12" t="n">
        <x:f>IF(Q547="Old cost",S547,0)</x:f>
        <x:v>0</x:v>
      </x:c>
      <x:c r="V547" s="12" t="n">
        <x:f>IF(Q547="Higher cost",S547,0)</x:f>
        <x:v>0</x:v>
      </x:c>
      <x:c r="W547" s="12" t="n">
        <x:f>IF(Q547="Unclassified",S547,0)</x:f>
        <x:v>0</x:v>
      </x:c>
      <x:c r="X547" s="12" t="n">
        <x:f>IF(AND(ISNUMBER(F547),F547&gt;0,F547&lt;=Summary!$D$5,H547&gt;0),H547*J547,0)</x:f>
        <x:v>0</x:v>
      </x:c>
    </x:row>
    <x:row r="548" ht="21" customHeight="1">
      <x:c r="A548" s="1" t="str">
        <x:v>10</x:v>
      </x:c>
      <x:c r="B548" s="1" t="str">
        <x:v>800BBLKCSC</x:v>
      </x:c>
      <x:c r="C548" s="1" t="str">
        <x:v>1050521</x:v>
      </x:c>
      <x:c r="D548" s="1" t="str">
        <x:v>0</x:v>
      </x:c>
      <x:c r="E548" s="1"/>
      <x:c r="F548" s="7" t="n">
        <x:v>43740</x:v>
      </x:c>
      <x:c r="G548" s="7" t="n">
        <x:v>43756</x:v>
      </x:c>
      <x:c r="H548" s="8" t="n">
        <x:v>0</x:v>
      </x:c>
      <x:c r="I548" s="8"/>
      <x:c r="J548" s="8" t="n">
        <x:v>1</x:v>
      </x:c>
      <x:c r="K548" s="9" t="n">
        <x:v>11.13</x:v>
      </x:c>
      <x:c r="L548" s="8" t="n">
        <x:v>100</x:v>
      </x:c>
      <x:c r="M548" s="10" t="n">
        <x:v>0</x:v>
      </x:c>
      <x:c r="N548" s="8" t="str">
        <x:v>i</x:v>
      </x:c>
      <x:c r="O548" s="8" t="n">
        <x:v>0</x:v>
      </x:c>
      <x:c r="P548" s="11" t="n">
        <x:f>MIN(X548,MAX(0,SUMIFS('Current inventory'!$D$2:$D$127,'Current inventory'!$A$2:$A$127,A548,'Current inventory'!$B$2:$B$127,B548)-SUMIFS($X$2:X547,$A$2:A547,A548,$B$2:B547,B548)))</x:f>
        <x:v>0</x:v>
      </x:c>
      <x:c r="Q548" s="1" t="str">
        <x:v>Received history</x:v>
      </x:c>
      <x:c r="R548" s="1" t="str">
        <x:v>Receipts data film c400 c800 plastic.csv</x:v>
      </x:c>
      <x:c r="S548" s="12" t="n">
        <x:f>IF(O548=1,I548*J548,0)</x:f>
        <x:v>0</x:v>
      </x:c>
      <x:c r="T548" s="13" t="n">
        <x:f>IF(L548&gt;0,K548/L548,"n.a.")</x:f>
        <x:v>0.11130000000000001</x:v>
      </x:c>
      <x:c r="U548" s="12" t="n">
        <x:f>IF(Q548="Old cost",S548,0)</x:f>
        <x:v>0</x:v>
      </x:c>
      <x:c r="V548" s="12" t="n">
        <x:f>IF(Q548="Higher cost",S548,0)</x:f>
        <x:v>0</x:v>
      </x:c>
      <x:c r="W548" s="12" t="n">
        <x:f>IF(Q548="Unclassified",S548,0)</x:f>
        <x:v>0</x:v>
      </x:c>
      <x:c r="X548" s="12" t="n">
        <x:f>IF(AND(ISNUMBER(F548),F548&gt;0,F548&lt;=Summary!$D$5,H548&gt;0),H548*J548,0)</x:f>
        <x:v>0</x:v>
      </x:c>
    </x:row>
    <x:row r="549" ht="21" customHeight="1">
      <x:c r="A549" s="1" t="str">
        <x:v>10</x:v>
      </x:c>
      <x:c r="B549" s="1" t="str">
        <x:v>800BBLKDSC</x:v>
      </x:c>
      <x:c r="C549" s="1" t="str">
        <x:v>1050521</x:v>
      </x:c>
      <x:c r="D549" s="1" t="str">
        <x:v>0</x:v>
      </x:c>
      <x:c r="E549" s="1"/>
      <x:c r="F549" s="7" t="n">
        <x:v>43740</x:v>
      </x:c>
      <x:c r="G549" s="7" t="n">
        <x:v>43756</x:v>
      </x:c>
      <x:c r="H549" s="8" t="n">
        <x:v>0</x:v>
      </x:c>
      <x:c r="I549" s="8"/>
      <x:c r="J549" s="8" t="n">
        <x:v>1</x:v>
      </x:c>
      <x:c r="K549" s="9" t="n">
        <x:v>16.71</x:v>
      </x:c>
      <x:c r="L549" s="8" t="n">
        <x:v>100</x:v>
      </x:c>
      <x:c r="M549" s="10" t="n">
        <x:v>0</x:v>
      </x:c>
      <x:c r="N549" s="8" t="str">
        <x:v>i</x:v>
      </x:c>
      <x:c r="O549" s="8" t="n">
        <x:v>0</x:v>
      </x:c>
      <x:c r="P549" s="11" t="n">
        <x:f>MIN(X549,MAX(0,SUMIFS('Current inventory'!$D$2:$D$127,'Current inventory'!$A$2:$A$127,A549,'Current inventory'!$B$2:$B$127,B549)-SUMIFS($X$2:X548,$A$2:A548,A549,$B$2:B548,B549)))</x:f>
        <x:v>0</x:v>
      </x:c>
      <x:c r="Q549" s="1" t="str">
        <x:v>Received history</x:v>
      </x:c>
      <x:c r="R549" s="1" t="str">
        <x:v>Receipts data film c400 c800 plastic.csv</x:v>
      </x:c>
      <x:c r="S549" s="12" t="n">
        <x:f>IF(O549=1,I549*J549,0)</x:f>
        <x:v>0</x:v>
      </x:c>
      <x:c r="T549" s="13" t="n">
        <x:f>IF(L549&gt;0,K549/L549,"n.a.")</x:f>
        <x:v>0.1671</x:v>
      </x:c>
      <x:c r="U549" s="12" t="n">
        <x:f>IF(Q549="Old cost",S549,0)</x:f>
        <x:v>0</x:v>
      </x:c>
      <x:c r="V549" s="12" t="n">
        <x:f>IF(Q549="Higher cost",S549,0)</x:f>
        <x:v>0</x:v>
      </x:c>
      <x:c r="W549" s="12" t="n">
        <x:f>IF(Q549="Unclassified",S549,0)</x:f>
        <x:v>0</x:v>
      </x:c>
      <x:c r="X549" s="12" t="n">
        <x:f>IF(AND(ISNUMBER(F549),F549&gt;0,F549&lt;=Summary!$D$5,H549&gt;0),H549*J549,0)</x:f>
        <x:v>0</x:v>
      </x:c>
    </x:row>
    <x:row r="550" ht="21" customHeight="1">
      <x:c r="A550" s="1" t="str">
        <x:v>10</x:v>
      </x:c>
      <x:c r="B550" s="1" t="str">
        <x:v>800BBLKISC</x:v>
      </x:c>
      <x:c r="C550" s="1" t="str">
        <x:v>1050521</x:v>
      </x:c>
      <x:c r="D550" s="1" t="str">
        <x:v>0</x:v>
      </x:c>
      <x:c r="E550" s="1"/>
      <x:c r="F550" s="7" t="n">
        <x:v>43740</x:v>
      </x:c>
      <x:c r="G550" s="7" t="n">
        <x:v>43756</x:v>
      </x:c>
      <x:c r="H550" s="8" t="n">
        <x:v>0</x:v>
      </x:c>
      <x:c r="I550" s="8"/>
      <x:c r="J550" s="8" t="n">
        <x:v>1</x:v>
      </x:c>
      <x:c r="K550" s="9" t="n">
        <x:v>8.72</x:v>
      </x:c>
      <x:c r="L550" s="8" t="n">
        <x:v>100</x:v>
      </x:c>
      <x:c r="M550" s="10" t="n">
        <x:v>0</x:v>
      </x:c>
      <x:c r="N550" s="8" t="str">
        <x:v>i</x:v>
      </x:c>
      <x:c r="O550" s="8" t="n">
        <x:v>0</x:v>
      </x:c>
      <x:c r="P550" s="11" t="n">
        <x:f>MIN(X550,MAX(0,SUMIFS('Current inventory'!$D$2:$D$127,'Current inventory'!$A$2:$A$127,A550,'Current inventory'!$B$2:$B$127,B550)-SUMIFS($X$2:X549,$A$2:A549,A550,$B$2:B549,B550)))</x:f>
        <x:v>0</x:v>
      </x:c>
      <x:c r="Q550" s="1" t="str">
        <x:v>Received history</x:v>
      </x:c>
      <x:c r="R550" s="1" t="str">
        <x:v>Receipts data film c400 c800 plastic.csv</x:v>
      </x:c>
      <x:c r="S550" s="12" t="n">
        <x:f>IF(O550=1,I550*J550,0)</x:f>
        <x:v>0</x:v>
      </x:c>
      <x:c r="T550" s="13" t="n">
        <x:f>IF(L550&gt;0,K550/L550,"n.a.")</x:f>
        <x:v>0.0872</x:v>
      </x:c>
      <x:c r="U550" s="12" t="n">
        <x:f>IF(Q550="Old cost",S550,0)</x:f>
        <x:v>0</x:v>
      </x:c>
      <x:c r="V550" s="12" t="n">
        <x:f>IF(Q550="Higher cost",S550,0)</x:f>
        <x:v>0</x:v>
      </x:c>
      <x:c r="W550" s="12" t="n">
        <x:f>IF(Q550="Unclassified",S550,0)</x:f>
        <x:v>0</x:v>
      </x:c>
      <x:c r="X550" s="12" t="n">
        <x:f>IF(AND(ISNUMBER(F550),F550&gt;0,F550&lt;=Summary!$D$5,H550&gt;0),H550*J550,0)</x:f>
        <x:v>0</x:v>
      </x:c>
    </x:row>
    <x:row r="551" ht="21" customHeight="1">
      <x:c r="A551" s="1" t="str">
        <x:v>10</x:v>
      </x:c>
      <x:c r="B551" s="1" t="str">
        <x:v>800BMARASC</x:v>
      </x:c>
      <x:c r="C551" s="1" t="str">
        <x:v>1050521</x:v>
      </x:c>
      <x:c r="D551" s="1" t="str">
        <x:v>0</x:v>
      </x:c>
      <x:c r="E551" s="1"/>
      <x:c r="F551" s="7" t="n">
        <x:v>43740</x:v>
      </x:c>
      <x:c r="G551" s="7" t="n">
        <x:v>43756</x:v>
      </x:c>
      <x:c r="H551" s="8" t="n">
        <x:v>9000</x:v>
      </x:c>
      <x:c r="I551" s="8"/>
      <x:c r="J551" s="8" t="n">
        <x:v>1</x:v>
      </x:c>
      <x:c r="K551" s="9" t="n">
        <x:v>8</x:v>
      </x:c>
      <x:c r="L551" s="8" t="n">
        <x:v>100</x:v>
      </x:c>
      <x:c r="M551" s="10" t="n">
        <x:v>712.8</x:v>
      </x:c>
      <x:c r="N551" s="8" t="str">
        <x:v>i</x:v>
      </x:c>
      <x:c r="O551" s="8" t="n">
        <x:v>0</x:v>
      </x:c>
      <x:c r="P551" s="11" t="n">
        <x:f>MIN(X551,MAX(0,SUMIFS('Current inventory'!$D$2:$D$127,'Current inventory'!$A$2:$A$127,A551,'Current inventory'!$B$2:$B$127,B551)-SUMIFS($X$2:X550,$A$2:A550,A551,$B$2:B550,B551)))</x:f>
        <x:v>0</x:v>
      </x:c>
      <x:c r="Q551" s="1" t="str">
        <x:v>Received history</x:v>
      </x:c>
      <x:c r="R551" s="1" t="str">
        <x:v>Receipts data film c400 c800 plastic.csv</x:v>
      </x:c>
      <x:c r="S551" s="12" t="n">
        <x:f>IF(O551=1,I551*J551,0)</x:f>
        <x:v>0</x:v>
      </x:c>
      <x:c r="T551" s="13" t="n">
        <x:f>IF(L551&gt;0,K551/L551,"n.a.")</x:f>
        <x:v>0.08</x:v>
      </x:c>
      <x:c r="U551" s="12" t="n">
        <x:f>IF(Q551="Old cost",S551,0)</x:f>
        <x:v>0</x:v>
      </x:c>
      <x:c r="V551" s="12" t="n">
        <x:f>IF(Q551="Higher cost",S551,0)</x:f>
        <x:v>0</x:v>
      </x:c>
      <x:c r="W551" s="12" t="n">
        <x:f>IF(Q551="Unclassified",S551,0)</x:f>
        <x:v>0</x:v>
      </x:c>
      <x:c r="X551" s="12" t="n">
        <x:f>IF(AND(ISNUMBER(F551),F551&gt;0,F551&lt;=Summary!$D$5,H551&gt;0),H551*J551,0)</x:f>
        <x:v>9000</x:v>
      </x:c>
    </x:row>
    <x:row r="552" ht="21" customHeight="1">
      <x:c r="A552" s="1" t="str">
        <x:v>10</x:v>
      </x:c>
      <x:c r="B552" s="1" t="str">
        <x:v>800BNAVASC</x:v>
      </x:c>
      <x:c r="C552" s="1" t="str">
        <x:v>1050521</x:v>
      </x:c>
      <x:c r="D552" s="1" t="str">
        <x:v>0</x:v>
      </x:c>
      <x:c r="E552" s="1"/>
      <x:c r="F552" s="7" t="n">
        <x:v>43740</x:v>
      </x:c>
      <x:c r="G552" s="7" t="n">
        <x:v>43756</x:v>
      </x:c>
      <x:c r="H552" s="8" t="n">
        <x:v>45000</x:v>
      </x:c>
      <x:c r="I552" s="8"/>
      <x:c r="J552" s="8" t="n">
        <x:v>1</x:v>
      </x:c>
      <x:c r="K552" s="9" t="n">
        <x:v>7.8</x:v>
      </x:c>
      <x:c r="L552" s="8" t="n">
        <x:v>100</x:v>
      </x:c>
      <x:c r="M552" s="10" t="n">
        <x:v>3564</x:v>
      </x:c>
      <x:c r="N552" s="8" t="str">
        <x:v>i</x:v>
      </x:c>
      <x:c r="O552" s="8" t="n">
        <x:v>0</x:v>
      </x:c>
      <x:c r="P552" s="11" t="n">
        <x:f>MIN(X552,MAX(0,SUMIFS('Current inventory'!$D$2:$D$127,'Current inventory'!$A$2:$A$127,A552,'Current inventory'!$B$2:$B$127,B552)-SUMIFS($X$2:X551,$A$2:A551,A552,$B$2:B551,B552)))</x:f>
        <x:v>0</x:v>
      </x:c>
      <x:c r="Q552" s="1" t="str">
        <x:v>Received history</x:v>
      </x:c>
      <x:c r="R552" s="1" t="str">
        <x:v>Receipts data film c400 c800 plastic.csv</x:v>
      </x:c>
      <x:c r="S552" s="12" t="n">
        <x:f>IF(O552=1,I552*J552,0)</x:f>
        <x:v>0</x:v>
      </x:c>
      <x:c r="T552" s="13" t="n">
        <x:f>IF(L552&gt;0,K552/L552,"n.a.")</x:f>
        <x:v>0.078</x:v>
      </x:c>
      <x:c r="U552" s="12" t="n">
        <x:f>IF(Q552="Old cost",S552,0)</x:f>
        <x:v>0</x:v>
      </x:c>
      <x:c r="V552" s="12" t="n">
        <x:f>IF(Q552="Higher cost",S552,0)</x:f>
        <x:v>0</x:v>
      </x:c>
      <x:c r="W552" s="12" t="n">
        <x:f>IF(Q552="Unclassified",S552,0)</x:f>
        <x:v>0</x:v>
      </x:c>
      <x:c r="X552" s="12" t="n">
        <x:f>IF(AND(ISNUMBER(F552),F552&gt;0,F552&lt;=Summary!$D$5,H552&gt;0),H552*J552,0)</x:f>
        <x:v>45000</x:v>
      </x:c>
    </x:row>
    <x:row r="553" ht="21" customHeight="1">
      <x:c r="A553" s="1" t="str">
        <x:v>10</x:v>
      </x:c>
      <x:c r="B553" s="1" t="str">
        <x:v>800BNAVBRC</x:v>
      </x:c>
      <x:c r="C553" s="1" t="str">
        <x:v>1050521</x:v>
      </x:c>
      <x:c r="D553" s="1" t="str">
        <x:v>0</x:v>
      </x:c>
      <x:c r="E553" s="1"/>
      <x:c r="F553" s="7" t="n">
        <x:v>43740</x:v>
      </x:c>
      <x:c r="G553" s="7" t="n">
        <x:v>43756</x:v>
      </x:c>
      <x:c r="H553" s="8" t="n">
        <x:v>10000</x:v>
      </x:c>
      <x:c r="I553" s="8"/>
      <x:c r="J553" s="8" t="n">
        <x:v>1</x:v>
      </x:c>
      <x:c r="K553" s="9" t="n">
        <x:v>9.41</x:v>
      </x:c>
      <x:c r="L553" s="8" t="n">
        <x:v>100</x:v>
      </x:c>
      <x:c r="M553" s="10" t="n">
        <x:v>898</x:v>
      </x:c>
      <x:c r="N553" s="8" t="str">
        <x:v>i</x:v>
      </x:c>
      <x:c r="O553" s="8" t="n">
        <x:v>0</x:v>
      </x:c>
      <x:c r="P553" s="11" t="n">
        <x:f>MIN(X553,MAX(0,SUMIFS('Current inventory'!$D$2:$D$127,'Current inventory'!$A$2:$A$127,A553,'Current inventory'!$B$2:$B$127,B553)-SUMIFS($X$2:X552,$A$2:A552,A553,$B$2:B552,B553)))</x:f>
        <x:v>0</x:v>
      </x:c>
      <x:c r="Q553" s="1" t="str">
        <x:v>Received history</x:v>
      </x:c>
      <x:c r="R553" s="1" t="str">
        <x:v>Receipts data film c400 c800 plastic.csv</x:v>
      </x:c>
      <x:c r="S553" s="12" t="n">
        <x:f>IF(O553=1,I553*J553,0)</x:f>
        <x:v>0</x:v>
      </x:c>
      <x:c r="T553" s="13" t="n">
        <x:f>IF(L553&gt;0,K553/L553,"n.a.")</x:f>
        <x:v>0.0941</x:v>
      </x:c>
      <x:c r="U553" s="12" t="n">
        <x:f>IF(Q553="Old cost",S553,0)</x:f>
        <x:v>0</x:v>
      </x:c>
      <x:c r="V553" s="12" t="n">
        <x:f>IF(Q553="Higher cost",S553,0)</x:f>
        <x:v>0</x:v>
      </x:c>
      <x:c r="W553" s="12" t="n">
        <x:f>IF(Q553="Unclassified",S553,0)</x:f>
        <x:v>0</x:v>
      </x:c>
      <x:c r="X553" s="12" t="n">
        <x:f>IF(AND(ISNUMBER(F553),F553&gt;0,F553&lt;=Summary!$D$5,H553&gt;0),H553*J553,0)</x:f>
        <x:v>10000</x:v>
      </x:c>
    </x:row>
    <x:row r="554" ht="21" customHeight="1">
      <x:c r="A554" s="1" t="str">
        <x:v>10</x:v>
      </x:c>
      <x:c r="B554" s="1" t="str">
        <x:v>800BNAVISC</x:v>
      </x:c>
      <x:c r="C554" s="1" t="str">
        <x:v>1050521</x:v>
      </x:c>
      <x:c r="D554" s="1" t="str">
        <x:v>0</x:v>
      </x:c>
      <x:c r="E554" s="1"/>
      <x:c r="F554" s="7" t="n">
        <x:v>43740</x:v>
      </x:c>
      <x:c r="G554" s="7" t="n">
        <x:v>43756</x:v>
      </x:c>
      <x:c r="H554" s="8" t="n">
        <x:v>20000</x:v>
      </x:c>
      <x:c r="I554" s="8"/>
      <x:c r="J554" s="8" t="n">
        <x:v>1</x:v>
      </x:c>
      <x:c r="K554" s="9" t="n">
        <x:v>8.72</x:v>
      </x:c>
      <x:c r="L554" s="8" t="n">
        <x:v>100</x:v>
      </x:c>
      <x:c r="M554" s="10" t="n">
        <x:v>1726</x:v>
      </x:c>
      <x:c r="N554" s="8" t="str">
        <x:v>i</x:v>
      </x:c>
      <x:c r="O554" s="8" t="n">
        <x:v>0</x:v>
      </x:c>
      <x:c r="P554" s="11" t="n">
        <x:f>MIN(X554,MAX(0,SUMIFS('Current inventory'!$D$2:$D$127,'Current inventory'!$A$2:$A$127,A554,'Current inventory'!$B$2:$B$127,B554)-SUMIFS($X$2:X553,$A$2:A553,A554,$B$2:B553,B554)))</x:f>
        <x:v>0</x:v>
      </x:c>
      <x:c r="Q554" s="1" t="str">
        <x:v>Received history</x:v>
      </x:c>
      <x:c r="R554" s="1" t="str">
        <x:v>Receipts data film c400 c800 plastic.csv</x:v>
      </x:c>
      <x:c r="S554" s="12" t="n">
        <x:f>IF(O554=1,I554*J554,0)</x:f>
        <x:v>0</x:v>
      </x:c>
      <x:c r="T554" s="13" t="n">
        <x:f>IF(L554&gt;0,K554/L554,"n.a.")</x:f>
        <x:v>0.0872</x:v>
      </x:c>
      <x:c r="U554" s="12" t="n">
        <x:f>IF(Q554="Old cost",S554,0)</x:f>
        <x:v>0</x:v>
      </x:c>
      <x:c r="V554" s="12" t="n">
        <x:f>IF(Q554="Higher cost",S554,0)</x:f>
        <x:v>0</x:v>
      </x:c>
      <x:c r="W554" s="12" t="n">
        <x:f>IF(Q554="Unclassified",S554,0)</x:f>
        <x:v>0</x:v>
      </x:c>
      <x:c r="X554" s="12" t="n">
        <x:f>IF(AND(ISNUMBER(F554),F554&gt;0,F554&lt;=Summary!$D$5,H554&gt;0),H554*J554,0)</x:f>
        <x:v>20000</x:v>
      </x:c>
    </x:row>
    <x:row r="555" ht="21" customHeight="1">
      <x:c r="A555" s="1" t="str">
        <x:v>10</x:v>
      </x:c>
      <x:c r="B555" s="1" t="str">
        <x:v>800BWHTASC</x:v>
      </x:c>
      <x:c r="C555" s="1" t="str">
        <x:v>1050521</x:v>
      </x:c>
      <x:c r="D555" s="1" t="str">
        <x:v>0</x:v>
      </x:c>
      <x:c r="E555" s="1"/>
      <x:c r="F555" s="7" t="n">
        <x:v>43740</x:v>
      </x:c>
      <x:c r="G555" s="7" t="n">
        <x:v>43756</x:v>
      </x:c>
      <x:c r="H555" s="8" t="n">
        <x:v>11000</x:v>
      </x:c>
      <x:c r="I555" s="8"/>
      <x:c r="J555" s="8" t="n">
        <x:v>1</x:v>
      </x:c>
      <x:c r="K555" s="9" t="n">
        <x:v>8</x:v>
      </x:c>
      <x:c r="L555" s="8" t="n">
        <x:v>100</x:v>
      </x:c>
      <x:c r="M555" s="10" t="n">
        <x:v>871.2</x:v>
      </x:c>
      <x:c r="N555" s="8" t="str">
        <x:v>i</x:v>
      </x:c>
      <x:c r="O555" s="8" t="n">
        <x:v>0</x:v>
      </x:c>
      <x:c r="P555" s="11" t="n">
        <x:f>MIN(X555,MAX(0,SUMIFS('Current inventory'!$D$2:$D$127,'Current inventory'!$A$2:$A$127,A555,'Current inventory'!$B$2:$B$127,B555)-SUMIFS($X$2:X554,$A$2:A554,A555,$B$2:B554,B555)))</x:f>
        <x:v>0</x:v>
      </x:c>
      <x:c r="Q555" s="1" t="str">
        <x:v>Received history</x:v>
      </x:c>
      <x:c r="R555" s="1" t="str">
        <x:v>Receipts data film c400 c800 plastic.csv</x:v>
      </x:c>
      <x:c r="S555" s="12" t="n">
        <x:f>IF(O555=1,I555*J555,0)</x:f>
        <x:v>0</x:v>
      </x:c>
      <x:c r="T555" s="13" t="n">
        <x:f>IF(L555&gt;0,K555/L555,"n.a.")</x:f>
        <x:v>0.08</x:v>
      </x:c>
      <x:c r="U555" s="12" t="n">
        <x:f>IF(Q555="Old cost",S555,0)</x:f>
        <x:v>0</x:v>
      </x:c>
      <x:c r="V555" s="12" t="n">
        <x:f>IF(Q555="Higher cost",S555,0)</x:f>
        <x:v>0</x:v>
      </x:c>
      <x:c r="W555" s="12" t="n">
        <x:f>IF(Q555="Unclassified",S555,0)</x:f>
        <x:v>0</x:v>
      </x:c>
      <x:c r="X555" s="12" t="n">
        <x:f>IF(AND(ISNUMBER(F555),F555&gt;0,F555&lt;=Summary!$D$5,H555&gt;0),H555*J555,0)</x:f>
        <x:v>11000</x:v>
      </x:c>
    </x:row>
    <x:row r="556" ht="21" customHeight="1">
      <x:c r="A556" s="1" t="str">
        <x:v>10</x:v>
      </x:c>
      <x:c r="B556" s="1" t="str">
        <x:v>800NAVF</x:v>
      </x:c>
      <x:c r="C556" s="1" t="str">
        <x:v>1050521</x:v>
      </x:c>
      <x:c r="D556" s="1" t="str">
        <x:v>0</x:v>
      </x:c>
      <x:c r="E556" s="1"/>
      <x:c r="F556" s="7" t="n">
        <x:v>43740</x:v>
      </x:c>
      <x:c r="G556" s="7" t="n">
        <x:v>43756</x:v>
      </x:c>
      <x:c r="H556" s="8" t="n">
        <x:v>2000</x:v>
      </x:c>
      <x:c r="I556" s="8"/>
      <x:c r="J556" s="8" t="n">
        <x:v>1</x:v>
      </x:c>
      <x:c r="K556" s="9" t="n">
        <x:v>710</x:v>
      </x:c>
      <x:c r="L556" s="8" t="n">
        <x:v>100</x:v>
      </x:c>
      <x:c r="M556" s="10" t="n">
        <x:v>1406</x:v>
      </x:c>
      <x:c r="N556" s="8" t="str">
        <x:v>i</x:v>
      </x:c>
      <x:c r="O556" s="8" t="n">
        <x:v>0</x:v>
      </x:c>
      <x:c r="P556" s="11" t="n">
        <x:f>MIN(X556,MAX(0,SUMIFS('Current inventory'!$D$2:$D$127,'Current inventory'!$A$2:$A$127,A556,'Current inventory'!$B$2:$B$127,B556)-SUMIFS($X$2:X555,$A$2:A555,A556,$B$2:B555,B556)))</x:f>
        <x:v>0</x:v>
      </x:c>
      <x:c r="Q556" s="1" t="str">
        <x:v>Received history</x:v>
      </x:c>
      <x:c r="R556" s="1" t="str">
        <x:v>Receipts data film c400 c800 plastic.csv</x:v>
      </x:c>
      <x:c r="S556" s="12" t="n">
        <x:f>IF(O556=1,I556*J556,0)</x:f>
        <x:v>0</x:v>
      </x:c>
      <x:c r="T556" s="13" t="n">
        <x:f>IF(L556&gt;0,K556/L556,"n.a.")</x:f>
        <x:v>7.1</x:v>
      </x:c>
      <x:c r="U556" s="12" t="n">
        <x:f>IF(Q556="Old cost",S556,0)</x:f>
        <x:v>0</x:v>
      </x:c>
      <x:c r="V556" s="12" t="n">
        <x:f>IF(Q556="Higher cost",S556,0)</x:f>
        <x:v>0</x:v>
      </x:c>
      <x:c r="W556" s="12" t="n">
        <x:f>IF(Q556="Unclassified",S556,0)</x:f>
        <x:v>0</x:v>
      </x:c>
      <x:c r="X556" s="12" t="n">
        <x:f>IF(AND(ISNUMBER(F556),F556&gt;0,F556&lt;=Summary!$D$5,H556&gt;0),H556*J556,0)</x:f>
        <x:v>2000</x:v>
      </x:c>
    </x:row>
    <x:row r="557" ht="21" customHeight="1">
      <x:c r="A557" s="1" t="str">
        <x:v>60</x:v>
      </x:c>
      <x:c r="B557" s="1" t="str">
        <x:v>800BBLKASC</x:v>
      </x:c>
      <x:c r="C557" s="1" t="str">
        <x:v>6102389</x:v>
      </x:c>
      <x:c r="D557" s="1" t="str">
        <x:v>0</x:v>
      </x:c>
      <x:c r="E557" s="1"/>
      <x:c r="F557" s="7" t="n">
        <x:v>43739</x:v>
      </x:c>
      <x:c r="G557" s="7" t="n">
        <x:v>43754</x:v>
      </x:c>
      <x:c r="H557" s="8" t="n">
        <x:v>0</x:v>
      </x:c>
      <x:c r="I557" s="8"/>
      <x:c r="J557" s="8" t="n">
        <x:v>1</x:v>
      </x:c>
      <x:c r="K557" s="9" t="n">
        <x:v>7.8</x:v>
      </x:c>
      <x:c r="L557" s="8" t="n">
        <x:v>100</x:v>
      </x:c>
      <x:c r="M557" s="10" t="n">
        <x:v>0</x:v>
      </x:c>
      <x:c r="N557" s="8" t="str">
        <x:v>i</x:v>
      </x:c>
      <x:c r="O557" s="8" t="n">
        <x:v>0</x:v>
      </x:c>
      <x:c r="P557" s="11" t="n">
        <x:f>MIN(X557,MAX(0,SUMIFS('Current inventory'!$D$2:$D$127,'Current inventory'!$A$2:$A$127,A557,'Current inventory'!$B$2:$B$127,B557)-SUMIFS($X$2:X556,$A$2:A556,A557,$B$2:B556,B557)))</x:f>
        <x:v>0</x:v>
      </x:c>
      <x:c r="Q557" s="1" t="str">
        <x:v>Received history</x:v>
      </x:c>
      <x:c r="R557" s="1" t="str">
        <x:v>Receipts data film c400 c800 plastic.csv</x:v>
      </x:c>
      <x:c r="S557" s="12" t="n">
        <x:f>IF(O557=1,I557*J557,0)</x:f>
        <x:v>0</x:v>
      </x:c>
      <x:c r="T557" s="13" t="n">
        <x:f>IF(L557&gt;0,K557/L557,"n.a.")</x:f>
        <x:v>0.078</x:v>
      </x:c>
      <x:c r="U557" s="12" t="n">
        <x:f>IF(Q557="Old cost",S557,0)</x:f>
        <x:v>0</x:v>
      </x:c>
      <x:c r="V557" s="12" t="n">
        <x:f>IF(Q557="Higher cost",S557,0)</x:f>
        <x:v>0</x:v>
      </x:c>
      <x:c r="W557" s="12" t="n">
        <x:f>IF(Q557="Unclassified",S557,0)</x:f>
        <x:v>0</x:v>
      </x:c>
      <x:c r="X557" s="12" t="n">
        <x:f>IF(AND(ISNUMBER(F557),F557&gt;0,F557&lt;=Summary!$D$5,H557&gt;0),H557*J557,0)</x:f>
        <x:v>0</x:v>
      </x:c>
    </x:row>
    <x:row r="558" ht="21" customHeight="1">
      <x:c r="A558" s="1" t="str">
        <x:v>60</x:v>
      </x:c>
      <x:c r="B558" s="1" t="str">
        <x:v>800BBLKCSC</x:v>
      </x:c>
      <x:c r="C558" s="1" t="str">
        <x:v>6102389</x:v>
      </x:c>
      <x:c r="D558" s="1" t="str">
        <x:v>0</x:v>
      </x:c>
      <x:c r="E558" s="1"/>
      <x:c r="F558" s="7" t="n">
        <x:v>43739</x:v>
      </x:c>
      <x:c r="G558" s="7" t="n">
        <x:v>43754</x:v>
      </x:c>
      <x:c r="H558" s="8" t="n">
        <x:v>0</x:v>
      </x:c>
      <x:c r="I558" s="8"/>
      <x:c r="J558" s="8" t="n">
        <x:v>1</x:v>
      </x:c>
      <x:c r="K558" s="9" t="n">
        <x:v>11.13</x:v>
      </x:c>
      <x:c r="L558" s="8" t="n">
        <x:v>100</x:v>
      </x:c>
      <x:c r="M558" s="10" t="n">
        <x:v>0</x:v>
      </x:c>
      <x:c r="N558" s="8" t="str">
        <x:v>i</x:v>
      </x:c>
      <x:c r="O558" s="8" t="n">
        <x:v>0</x:v>
      </x:c>
      <x:c r="P558" s="11" t="n">
        <x:f>MIN(X558,MAX(0,SUMIFS('Current inventory'!$D$2:$D$127,'Current inventory'!$A$2:$A$127,A558,'Current inventory'!$B$2:$B$127,B558)-SUMIFS($X$2:X557,$A$2:A557,A558,$B$2:B557,B558)))</x:f>
        <x:v>0</x:v>
      </x:c>
      <x:c r="Q558" s="1" t="str">
        <x:v>Received history</x:v>
      </x:c>
      <x:c r="R558" s="1" t="str">
        <x:v>Receipts data film c400 c800 plastic.csv</x:v>
      </x:c>
      <x:c r="S558" s="12" t="n">
        <x:f>IF(O558=1,I558*J558,0)</x:f>
        <x:v>0</x:v>
      </x:c>
      <x:c r="T558" s="13" t="n">
        <x:f>IF(L558&gt;0,K558/L558,"n.a.")</x:f>
        <x:v>0.11130000000000001</x:v>
      </x:c>
      <x:c r="U558" s="12" t="n">
        <x:f>IF(Q558="Old cost",S558,0)</x:f>
        <x:v>0</x:v>
      </x:c>
      <x:c r="V558" s="12" t="n">
        <x:f>IF(Q558="Higher cost",S558,0)</x:f>
        <x:v>0</x:v>
      </x:c>
      <x:c r="W558" s="12" t="n">
        <x:f>IF(Q558="Unclassified",S558,0)</x:f>
        <x:v>0</x:v>
      </x:c>
      <x:c r="X558" s="12" t="n">
        <x:f>IF(AND(ISNUMBER(F558),F558&gt;0,F558&lt;=Summary!$D$5,H558&gt;0),H558*J558,0)</x:f>
        <x:v>0</x:v>
      </x:c>
    </x:row>
    <x:row r="559" ht="21" customHeight="1">
      <x:c r="A559" s="1" t="str">
        <x:v>60</x:v>
      </x:c>
      <x:c r="B559" s="1" t="str">
        <x:v>800BBLKDSC</x:v>
      </x:c>
      <x:c r="C559" s="1" t="str">
        <x:v>6102389</x:v>
      </x:c>
      <x:c r="D559" s="1" t="str">
        <x:v>0</x:v>
      </x:c>
      <x:c r="E559" s="1"/>
      <x:c r="F559" s="7" t="n">
        <x:v>43739</x:v>
      </x:c>
      <x:c r="G559" s="7" t="n">
        <x:v>43754</x:v>
      </x:c>
      <x:c r="H559" s="8" t="n">
        <x:v>0</x:v>
      </x:c>
      <x:c r="I559" s="8"/>
      <x:c r="J559" s="8" t="n">
        <x:v>1</x:v>
      </x:c>
      <x:c r="K559" s="9" t="n">
        <x:v>16.71</x:v>
      </x:c>
      <x:c r="L559" s="8" t="n">
        <x:v>100</x:v>
      </x:c>
      <x:c r="M559" s="10" t="n">
        <x:v>0</x:v>
      </x:c>
      <x:c r="N559" s="8" t="str">
        <x:v>i</x:v>
      </x:c>
      <x:c r="O559" s="8" t="n">
        <x:v>0</x:v>
      </x:c>
      <x:c r="P559" s="11" t="n">
        <x:f>MIN(X559,MAX(0,SUMIFS('Current inventory'!$D$2:$D$127,'Current inventory'!$A$2:$A$127,A559,'Current inventory'!$B$2:$B$127,B559)-SUMIFS($X$2:X558,$A$2:A558,A559,$B$2:B558,B559)))</x:f>
        <x:v>0</x:v>
      </x:c>
      <x:c r="Q559" s="1" t="str">
        <x:v>Received history</x:v>
      </x:c>
      <x:c r="R559" s="1" t="str">
        <x:v>Receipts data film c400 c800 plastic.csv</x:v>
      </x:c>
      <x:c r="S559" s="12" t="n">
        <x:f>IF(O559=1,I559*J559,0)</x:f>
        <x:v>0</x:v>
      </x:c>
      <x:c r="T559" s="13" t="n">
        <x:f>IF(L559&gt;0,K559/L559,"n.a.")</x:f>
        <x:v>0.1671</x:v>
      </x:c>
      <x:c r="U559" s="12" t="n">
        <x:f>IF(Q559="Old cost",S559,0)</x:f>
        <x:v>0</x:v>
      </x:c>
      <x:c r="V559" s="12" t="n">
        <x:f>IF(Q559="Higher cost",S559,0)</x:f>
        <x:v>0</x:v>
      </x:c>
      <x:c r="W559" s="12" t="n">
        <x:f>IF(Q559="Unclassified",S559,0)</x:f>
        <x:v>0</x:v>
      </x:c>
      <x:c r="X559" s="12" t="n">
        <x:f>IF(AND(ISNUMBER(F559),F559&gt;0,F559&lt;=Summary!$D$5,H559&gt;0),H559*J559,0)</x:f>
        <x:v>0</x:v>
      </x:c>
    </x:row>
    <x:row r="560" ht="21" customHeight="1">
      <x:c r="A560" s="1" t="str">
        <x:v>60</x:v>
      </x:c>
      <x:c r="B560" s="1" t="str">
        <x:v>800BBLKISC</x:v>
      </x:c>
      <x:c r="C560" s="1" t="str">
        <x:v>6102389</x:v>
      </x:c>
      <x:c r="D560" s="1" t="str">
        <x:v>0</x:v>
      </x:c>
      <x:c r="E560" s="1"/>
      <x:c r="F560" s="7" t="n">
        <x:v>43739</x:v>
      </x:c>
      <x:c r="G560" s="7" t="n">
        <x:v>43754</x:v>
      </x:c>
      <x:c r="H560" s="8" t="n">
        <x:v>0</x:v>
      </x:c>
      <x:c r="I560" s="8"/>
      <x:c r="J560" s="8" t="n">
        <x:v>1</x:v>
      </x:c>
      <x:c r="K560" s="9" t="n">
        <x:v>8.72</x:v>
      </x:c>
      <x:c r="L560" s="8" t="n">
        <x:v>100</x:v>
      </x:c>
      <x:c r="M560" s="10" t="n">
        <x:v>0</x:v>
      </x:c>
      <x:c r="N560" s="8" t="str">
        <x:v>i</x:v>
      </x:c>
      <x:c r="O560" s="8" t="n">
        <x:v>0</x:v>
      </x:c>
      <x:c r="P560" s="11" t="n">
        <x:f>MIN(X560,MAX(0,SUMIFS('Current inventory'!$D$2:$D$127,'Current inventory'!$A$2:$A$127,A560,'Current inventory'!$B$2:$B$127,B560)-SUMIFS($X$2:X559,$A$2:A559,A560,$B$2:B559,B560)))</x:f>
        <x:v>0</x:v>
      </x:c>
      <x:c r="Q560" s="1" t="str">
        <x:v>Received history</x:v>
      </x:c>
      <x:c r="R560" s="1" t="str">
        <x:v>Receipts data film c400 c800 plastic.csv</x:v>
      </x:c>
      <x:c r="S560" s="12" t="n">
        <x:f>IF(O560=1,I560*J560,0)</x:f>
        <x:v>0</x:v>
      </x:c>
      <x:c r="T560" s="13" t="n">
        <x:f>IF(L560&gt;0,K560/L560,"n.a.")</x:f>
        <x:v>0.0872</x:v>
      </x:c>
      <x:c r="U560" s="12" t="n">
        <x:f>IF(Q560="Old cost",S560,0)</x:f>
        <x:v>0</x:v>
      </x:c>
      <x:c r="V560" s="12" t="n">
        <x:f>IF(Q560="Higher cost",S560,0)</x:f>
        <x:v>0</x:v>
      </x:c>
      <x:c r="W560" s="12" t="n">
        <x:f>IF(Q560="Unclassified",S560,0)</x:f>
        <x:v>0</x:v>
      </x:c>
      <x:c r="X560" s="12" t="n">
        <x:f>IF(AND(ISNUMBER(F560),F560&gt;0,F560&lt;=Summary!$D$5,H560&gt;0),H560*J560,0)</x:f>
        <x:v>0</x:v>
      </x:c>
    </x:row>
    <x:row r="561" ht="21" customHeight="1">
      <x:c r="A561" s="1" t="str">
        <x:v>60</x:v>
      </x:c>
      <x:c r="B561" s="1" t="str">
        <x:v>800BNAVASC</x:v>
      </x:c>
      <x:c r="C561" s="1" t="str">
        <x:v>6102389</x:v>
      </x:c>
      <x:c r="D561" s="1" t="str">
        <x:v>0</x:v>
      </x:c>
      <x:c r="E561" s="1"/>
      <x:c r="F561" s="7" t="n">
        <x:v>43739</x:v>
      </x:c>
      <x:c r="G561" s="7" t="n">
        <x:v>43754</x:v>
      </x:c>
      <x:c r="H561" s="8" t="n">
        <x:v>30000</x:v>
      </x:c>
      <x:c r="I561" s="8"/>
      <x:c r="J561" s="8" t="n">
        <x:v>1</x:v>
      </x:c>
      <x:c r="K561" s="9" t="n">
        <x:v>7.8</x:v>
      </x:c>
      <x:c r="L561" s="8" t="n">
        <x:v>100</x:v>
      </x:c>
      <x:c r="M561" s="10" t="n">
        <x:v>2376</x:v>
      </x:c>
      <x:c r="N561" s="8" t="str">
        <x:v>i</x:v>
      </x:c>
      <x:c r="O561" s="8" t="n">
        <x:v>0</x:v>
      </x:c>
      <x:c r="P561" s="11" t="n">
        <x:f>MIN(X561,MAX(0,SUMIFS('Current inventory'!$D$2:$D$127,'Current inventory'!$A$2:$A$127,A561,'Current inventory'!$B$2:$B$127,B561)-SUMIFS($X$2:X560,$A$2:A560,A561,$B$2:B560,B561)))</x:f>
        <x:v>0</x:v>
      </x:c>
      <x:c r="Q561" s="1" t="str">
        <x:v>Received history</x:v>
      </x:c>
      <x:c r="R561" s="1" t="str">
        <x:v>Receipts data film c400 c800 plastic.csv</x:v>
      </x:c>
      <x:c r="S561" s="12" t="n">
        <x:f>IF(O561=1,I561*J561,0)</x:f>
        <x:v>0</x:v>
      </x:c>
      <x:c r="T561" s="13" t="n">
        <x:f>IF(L561&gt;0,K561/L561,"n.a.")</x:f>
        <x:v>0.078</x:v>
      </x:c>
      <x:c r="U561" s="12" t="n">
        <x:f>IF(Q561="Old cost",S561,0)</x:f>
        <x:v>0</x:v>
      </x:c>
      <x:c r="V561" s="12" t="n">
        <x:f>IF(Q561="Higher cost",S561,0)</x:f>
        <x:v>0</x:v>
      </x:c>
      <x:c r="W561" s="12" t="n">
        <x:f>IF(Q561="Unclassified",S561,0)</x:f>
        <x:v>0</x:v>
      </x:c>
      <x:c r="X561" s="12" t="n">
        <x:f>IF(AND(ISNUMBER(F561),F561&gt;0,F561&lt;=Summary!$D$5,H561&gt;0),H561*J561,0)</x:f>
        <x:v>30000</x:v>
      </x:c>
    </x:row>
    <x:row r="562" ht="21" customHeight="1">
      <x:c r="A562" s="1" t="str">
        <x:v>60</x:v>
      </x:c>
      <x:c r="B562" s="1" t="str">
        <x:v>800BNAVISC</x:v>
      </x:c>
      <x:c r="C562" s="1" t="str">
        <x:v>6102389</x:v>
      </x:c>
      <x:c r="D562" s="1" t="str">
        <x:v>0</x:v>
      </x:c>
      <x:c r="E562" s="1"/>
      <x:c r="F562" s="7" t="n">
        <x:v>43739</x:v>
      </x:c>
      <x:c r="G562" s="7" t="n">
        <x:v>43754</x:v>
      </x:c>
      <x:c r="H562" s="8" t="n">
        <x:v>10000</x:v>
      </x:c>
      <x:c r="I562" s="8"/>
      <x:c r="J562" s="8" t="n">
        <x:v>1</x:v>
      </x:c>
      <x:c r="K562" s="9" t="n">
        <x:v>8.72</x:v>
      </x:c>
      <x:c r="L562" s="8" t="n">
        <x:v>100</x:v>
      </x:c>
      <x:c r="M562" s="10" t="n">
        <x:v>863</x:v>
      </x:c>
      <x:c r="N562" s="8" t="str">
        <x:v>i</x:v>
      </x:c>
      <x:c r="O562" s="8" t="n">
        <x:v>0</x:v>
      </x:c>
      <x:c r="P562" s="11" t="n">
        <x:f>MIN(X562,MAX(0,SUMIFS('Current inventory'!$D$2:$D$127,'Current inventory'!$A$2:$A$127,A562,'Current inventory'!$B$2:$B$127,B562)-SUMIFS($X$2:X561,$A$2:A561,A562,$B$2:B561,B562)))</x:f>
        <x:v>6300</x:v>
      </x:c>
      <x:c r="Q562" s="1" t="str">
        <x:v>Received history</x:v>
      </x:c>
      <x:c r="R562" s="1" t="str">
        <x:v>Receipts data film c400 c800 plastic.csv</x:v>
      </x:c>
      <x:c r="S562" s="12" t="n">
        <x:f>IF(O562=1,I562*J562,0)</x:f>
        <x:v>0</x:v>
      </x:c>
      <x:c r="T562" s="13" t="n">
        <x:f>IF(L562&gt;0,K562/L562,"n.a.")</x:f>
        <x:v>0.0872</x:v>
      </x:c>
      <x:c r="U562" s="12" t="n">
        <x:f>IF(Q562="Old cost",S562,0)</x:f>
        <x:v>0</x:v>
      </x:c>
      <x:c r="V562" s="12" t="n">
        <x:f>IF(Q562="Higher cost",S562,0)</x:f>
        <x:v>0</x:v>
      </x:c>
      <x:c r="W562" s="12" t="n">
        <x:f>IF(Q562="Unclassified",S562,0)</x:f>
        <x:v>0</x:v>
      </x:c>
      <x:c r="X562" s="12" t="n">
        <x:f>IF(AND(ISNUMBER(F562),F562&gt;0,F562&lt;=Summary!$D$5,H562&gt;0),H562*J562,0)</x:f>
        <x:v>10000</x:v>
      </x:c>
    </x:row>
    <x:row r="563" ht="21" customHeight="1">
      <x:c r="A563" s="1" t="str">
        <x:v>30</x:v>
      </x:c>
      <x:c r="B563" s="1" t="str">
        <x:v>800BBLKDSC</x:v>
      </x:c>
      <x:c r="C563" s="1" t="str">
        <x:v>3002671</x:v>
      </x:c>
      <x:c r="D563" s="1" t="str">
        <x:v>0</x:v>
      </x:c>
      <x:c r="E563" s="1"/>
      <x:c r="F563" s="7" t="n">
        <x:v>40856</x:v>
      </x:c>
      <x:c r="G563" s="7" t="n">
        <x:v>40858</x:v>
      </x:c>
      <x:c r="H563" s="8" t="n">
        <x:v>30000</x:v>
      </x:c>
      <x:c r="I563" s="8"/>
      <x:c r="J563" s="8" t="n">
        <x:v>1</x:v>
      </x:c>
      <x:c r="K563" s="9" t="n">
        <x:v>16.7</x:v>
      </x:c>
      <x:c r="L563" s="8" t="n">
        <x:v>100</x:v>
      </x:c>
      <x:c r="M563" s="10" t="n">
        <x:v>5211</x:v>
      </x:c>
      <x:c r="N563" s="8" t="str">
        <x:v>i</x:v>
      </x:c>
      <x:c r="O563" s="8" t="n">
        <x:v>0</x:v>
      </x:c>
      <x:c r="P563" s="11" t="n">
        <x:f>MIN(X563,MAX(0,SUMIFS('Current inventory'!$D$2:$D$127,'Current inventory'!$A$2:$A$127,A563,'Current inventory'!$B$2:$B$127,B563)-SUMIFS($X$2:X562,$A$2:A562,A563,$B$2:B562,B563)))</x:f>
        <x:v>0</x:v>
      </x:c>
      <x:c r="Q563" s="1" t="str">
        <x:v>Received history</x:v>
      </x:c>
      <x:c r="R563" s="1" t="str">
        <x:v>Receipts data film c400 c800 plastic.csv</x:v>
      </x:c>
      <x:c r="S563" s="12" t="n">
        <x:f>IF(O563=1,I563*J563,0)</x:f>
        <x:v>0</x:v>
      </x:c>
      <x:c r="T563" s="13" t="n">
        <x:f>IF(L563&gt;0,K563/L563,"n.a.")</x:f>
        <x:v>0.16699999999999998</x:v>
      </x:c>
      <x:c r="U563" s="12" t="n">
        <x:f>IF(Q563="Old cost",S563,0)</x:f>
        <x:v>0</x:v>
      </x:c>
      <x:c r="V563" s="12" t="n">
        <x:f>IF(Q563="Higher cost",S563,0)</x:f>
        <x:v>0</x:v>
      </x:c>
      <x:c r="W563" s="12" t="n">
        <x:f>IF(Q563="Unclassified",S563,0)</x:f>
        <x:v>0</x:v>
      </x:c>
      <x:c r="X563" s="12" t="n">
        <x:f>IF(AND(ISNUMBER(F563),F563&gt;0,F563&lt;=Summary!$D$5,H563&gt;0),H563*J563,0)</x:f>
        <x:v>30000</x:v>
      </x:c>
    </x:row>
    <x:row r="564" ht="21" customHeight="1">
      <x:c r="A564" s="1" t="str">
        <x:v>60</x:v>
      </x:c>
      <x:c r="B564" s="1" t="str">
        <x:v>800BBLKASC</x:v>
      </x:c>
      <x:c r="C564" s="1" t="str">
        <x:v>6102957</x:v>
      </x:c>
      <x:c r="D564" s="1" t="str">
        <x:v>0</x:v>
      </x:c>
      <x:c r="E564" s="1" t="str">
        <x:v>1</x:v>
      </x:c>
      <x:c r="F564" s="7"/>
      <x:c r="G564" s="7" t="n">
        <x:v>46409</x:v>
      </x:c>
      <x:c r="H564" s="8" t="n">
        <x:v>360000</x:v>
      </x:c>
      <x:c r="I564" s="8" t="n">
        <x:v>360000</x:v>
      </x:c>
      <x:c r="J564" s="8" t="n">
        <x:v>1</x:v>
      </x:c>
      <x:c r="K564" s="9" t="n">
        <x:v>12.23</x:v>
      </x:c>
      <x:c r="L564" s="8" t="n">
        <x:v>100</x:v>
      </x:c>
      <x:c r="M564" s="10" t="n">
        <x:v>0</x:v>
      </x:c>
      <x:c r="N564" s="8" t="str">
        <x:v>a</x:v>
      </x:c>
      <x:c r="O564" s="8" t="n">
        <x:v>1</x:v>
      </x:c>
      <x:c r="P564" s="11" t="n">
        <x:f>MIN(X564,MAX(0,SUMIFS('Current inventory'!$D$2:$D$127,'Current inventory'!$A$2:$A$127,A564,'Current inventory'!$B$2:$B$127,B564)-SUMIFS($X$2:X563,$A$2:A563,A564,$B$2:B563,B564)))</x:f>
        <x:v>0</x:v>
      </x:c>
      <x:c r="Q564" s="1" t="str">
        <x:v>Higher cost</x:v>
      </x:c>
      <x:c r="R564" s="1" t="str">
        <x:v>updated receipts.csv</x:v>
      </x:c>
      <x:c r="S564" s="12" t="n">
        <x:f>IF(O564=1,I564*J564,0)</x:f>
        <x:v>360000</x:v>
      </x:c>
      <x:c r="T564" s="13" t="n">
        <x:f>IF(L564&gt;0,K564/L564,"n.a.")</x:f>
        <x:v>0.1223</x:v>
      </x:c>
      <x:c r="U564" s="12" t="n">
        <x:f>IF(Q564="Old cost",S564,0)</x:f>
        <x:v>0</x:v>
      </x:c>
      <x:c r="V564" s="12" t="n">
        <x:f>IF(Q564="Higher cost",S564,0)</x:f>
        <x:v>360000</x:v>
      </x:c>
      <x:c r="W564" s="12" t="n">
        <x:f>IF(Q564="Unclassified",S564,0)</x:f>
        <x:v>0</x:v>
      </x:c>
      <x:c r="X564" s="12" t="n">
        <x:f>IF(AND(ISNUMBER(F564),F564&gt;0,F564&lt;=Summary!$D$5,H564&gt;0),H564*J564,0)</x:f>
        <x:v>0</x:v>
      </x:c>
    </x:row>
    <x:row r="565" ht="21" customHeight="1">
      <x:c r="A565" s="1" t="str">
        <x:v>60</x:v>
      </x:c>
      <x:c r="B565" s="1" t="str">
        <x:v>800BBLKDSC</x:v>
      </x:c>
      <x:c r="C565" s="1" t="str">
        <x:v>6102957</x:v>
      </x:c>
      <x:c r="D565" s="1" t="str">
        <x:v>0</x:v>
      </x:c>
      <x:c r="E565" s="1" t="str">
        <x:v>3</x:v>
      </x:c>
      <x:c r="F565" s="7"/>
      <x:c r="G565" s="7" t="n">
        <x:v>46409</x:v>
      </x:c>
      <x:c r="H565" s="8" t="n">
        <x:v>40000</x:v>
      </x:c>
      <x:c r="I565" s="8" t="n">
        <x:v>40000</x:v>
      </x:c>
      <x:c r="J565" s="8" t="n">
        <x:v>1</x:v>
      </x:c>
      <x:c r="K565" s="9" t="n">
        <x:v>33.16</x:v>
      </x:c>
      <x:c r="L565" s="8" t="n">
        <x:v>100</x:v>
      </x:c>
      <x:c r="M565" s="10" t="n">
        <x:v>0</x:v>
      </x:c>
      <x:c r="N565" s="8" t="str">
        <x:v>a</x:v>
      </x:c>
      <x:c r="O565" s="8" t="n">
        <x:v>1</x:v>
      </x:c>
      <x:c r="P565" s="11" t="n">
        <x:f>MIN(X565,MAX(0,SUMIFS('Current inventory'!$D$2:$D$127,'Current inventory'!$A$2:$A$127,A565,'Current inventory'!$B$2:$B$127,B565)-SUMIFS($X$2:X564,$A$2:A564,A565,$B$2:B564,B565)))</x:f>
        <x:v>0</x:v>
      </x:c>
      <x:c r="Q565" s="1" t="str">
        <x:v>Higher cost</x:v>
      </x:c>
      <x:c r="R565" s="1" t="str">
        <x:v>updated receipts.csv</x:v>
      </x:c>
      <x:c r="S565" s="12" t="n">
        <x:f>IF(O565=1,I565*J565,0)</x:f>
        <x:v>40000</x:v>
      </x:c>
      <x:c r="T565" s="13" t="n">
        <x:f>IF(L565&gt;0,K565/L565,"n.a.")</x:f>
        <x:v>0.33159999999999995</x:v>
      </x:c>
      <x:c r="U565" s="12" t="n">
        <x:f>IF(Q565="Old cost",S565,0)</x:f>
        <x:v>0</x:v>
      </x:c>
      <x:c r="V565" s="12" t="n">
        <x:f>IF(Q565="Higher cost",S565,0)</x:f>
        <x:v>40000</x:v>
      </x:c>
      <x:c r="W565" s="12" t="n">
        <x:f>IF(Q565="Unclassified",S565,0)</x:f>
        <x:v>0</x:v>
      </x:c>
      <x:c r="X565" s="12" t="n">
        <x:f>IF(AND(ISNUMBER(F565),F565&gt;0,F565&lt;=Summary!$D$5,H565&gt;0),H565*J565,0)</x:f>
        <x:v>0</x:v>
      </x:c>
    </x:row>
    <x:row r="566" ht="21" customHeight="1">
      <x:c r="A566" s="1" t="str">
        <x:v>60</x:v>
      </x:c>
      <x:c r="B566" s="1" t="str">
        <x:v>800BNAVASC</x:v>
      </x:c>
      <x:c r="C566" s="1" t="str">
        <x:v>6102957</x:v>
      </x:c>
      <x:c r="D566" s="1" t="str">
        <x:v>0</x:v>
      </x:c>
      <x:c r="E566" s="1" t="str">
        <x:v>2</x:v>
      </x:c>
      <x:c r="F566" s="7"/>
      <x:c r="G566" s="7" t="n">
        <x:v>46409</x:v>
      </x:c>
      <x:c r="H566" s="8" t="n">
        <x:v>160000</x:v>
      </x:c>
      <x:c r="I566" s="8" t="n">
        <x:v>160000</x:v>
      </x:c>
      <x:c r="J566" s="8" t="n">
        <x:v>1</x:v>
      </x:c>
      <x:c r="K566" s="9" t="n">
        <x:v>15.08</x:v>
      </x:c>
      <x:c r="L566" s="8" t="n">
        <x:v>100</x:v>
      </x:c>
      <x:c r="M566" s="10" t="n">
        <x:v>0</x:v>
      </x:c>
      <x:c r="N566" s="8" t="str">
        <x:v>a</x:v>
      </x:c>
      <x:c r="O566" s="8" t="n">
        <x:v>1</x:v>
      </x:c>
      <x:c r="P566" s="11" t="n">
        <x:f>MIN(X566,MAX(0,SUMIFS('Current inventory'!$D$2:$D$127,'Current inventory'!$A$2:$A$127,A566,'Current inventory'!$B$2:$B$127,B566)-SUMIFS($X$2:X565,$A$2:A565,A566,$B$2:B565,B566)))</x:f>
        <x:v>0</x:v>
      </x:c>
      <x:c r="Q566" s="1" t="str">
        <x:v>Higher cost</x:v>
      </x:c>
      <x:c r="R566" s="1" t="str">
        <x:v>updated receipts.csv</x:v>
      </x:c>
      <x:c r="S566" s="12" t="n">
        <x:f>IF(O566=1,I566*J566,0)</x:f>
        <x:v>160000</x:v>
      </x:c>
      <x:c r="T566" s="13" t="n">
        <x:f>IF(L566&gt;0,K566/L566,"n.a.")</x:f>
        <x:v>0.1508</x:v>
      </x:c>
      <x:c r="U566" s="12" t="n">
        <x:f>IF(Q566="Old cost",S566,0)</x:f>
        <x:v>0</x:v>
      </x:c>
      <x:c r="V566" s="12" t="n">
        <x:f>IF(Q566="Higher cost",S566,0)</x:f>
        <x:v>160000</x:v>
      </x:c>
      <x:c r="W566" s="12" t="n">
        <x:f>IF(Q566="Unclassified",S566,0)</x:f>
        <x:v>0</x:v>
      </x:c>
      <x:c r="X566" s="12" t="n">
        <x:f>IF(AND(ISNUMBER(F566),F566&gt;0,F566&lt;=Summary!$D$5,H566&gt;0),H566*J566,0)</x:f>
        <x:v>0</x:v>
      </x:c>
    </x:row>
    <x:row r="567" ht="21" customHeight="1">
      <x:c r="A567" s="1" t="str">
        <x:v>60</x:v>
      </x:c>
      <x:c r="B567" s="1" t="str">
        <x:v>800BBLKASC</x:v>
      </x:c>
      <x:c r="C567" s="1" t="str">
        <x:v>6102945</x:v>
      </x:c>
      <x:c r="D567" s="1" t="str">
        <x:v>0</x:v>
      </x:c>
      <x:c r="E567" s="1" t="str">
        <x:v>1</x:v>
      </x:c>
      <x:c r="F567" s="7"/>
      <x:c r="G567" s="7" t="n">
        <x:v>46367</x:v>
      </x:c>
      <x:c r="H567" s="8" t="n">
        <x:v>400000</x:v>
      </x:c>
      <x:c r="I567" s="8" t="n">
        <x:v>400000</x:v>
      </x:c>
      <x:c r="J567" s="8" t="n">
        <x:v>1</x:v>
      </x:c>
      <x:c r="K567" s="9" t="n">
        <x:v>12.23</x:v>
      </x:c>
      <x:c r="L567" s="8" t="n">
        <x:v>100</x:v>
      </x:c>
      <x:c r="M567" s="10" t="n">
        <x:v>0</x:v>
      </x:c>
      <x:c r="N567" s="8" t="str">
        <x:v>a</x:v>
      </x:c>
      <x:c r="O567" s="8" t="n">
        <x:v>1</x:v>
      </x:c>
      <x:c r="P567" s="11" t="n">
        <x:f>MIN(X567,MAX(0,SUMIFS('Current inventory'!$D$2:$D$127,'Current inventory'!$A$2:$A$127,A567,'Current inventory'!$B$2:$B$127,B567)-SUMIFS($X$2:X566,$A$2:A566,A567,$B$2:B566,B567)))</x:f>
        <x:v>0</x:v>
      </x:c>
      <x:c r="Q567" s="1" t="str">
        <x:v>Higher cost</x:v>
      </x:c>
      <x:c r="R567" s="1" t="str">
        <x:v>updated receipts.csv</x:v>
      </x:c>
      <x:c r="S567" s="12" t="n">
        <x:f>IF(O567=1,I567*J567,0)</x:f>
        <x:v>400000</x:v>
      </x:c>
      <x:c r="T567" s="13" t="n">
        <x:f>IF(L567&gt;0,K567/L567,"n.a.")</x:f>
        <x:v>0.1223</x:v>
      </x:c>
      <x:c r="U567" s="12" t="n">
        <x:f>IF(Q567="Old cost",S567,0)</x:f>
        <x:v>0</x:v>
      </x:c>
      <x:c r="V567" s="12" t="n">
        <x:f>IF(Q567="Higher cost",S567,0)</x:f>
        <x:v>400000</x:v>
      </x:c>
      <x:c r="W567" s="12" t="n">
        <x:f>IF(Q567="Unclassified",S567,0)</x:f>
        <x:v>0</x:v>
      </x:c>
      <x:c r="X567" s="12" t="n">
        <x:f>IF(AND(ISNUMBER(F567),F567&gt;0,F567&lt;=Summary!$D$5,H567&gt;0),H567*J567,0)</x:f>
        <x:v>0</x:v>
      </x:c>
    </x:row>
    <x:row r="568" ht="21" customHeight="1">
      <x:c r="A568" s="1" t="str">
        <x:v>60</x:v>
      </x:c>
      <x:c r="B568" s="1" t="str">
        <x:v>800BBLKDSC</x:v>
      </x:c>
      <x:c r="C568" s="1" t="str">
        <x:v>6102945</x:v>
      </x:c>
      <x:c r="D568" s="1" t="str">
        <x:v>0</x:v>
      </x:c>
      <x:c r="E568" s="1" t="str">
        <x:v>4</x:v>
      </x:c>
      <x:c r="F568" s="7"/>
      <x:c r="G568" s="7" t="n">
        <x:v>46367</x:v>
      </x:c>
      <x:c r="H568" s="8" t="n">
        <x:v>40000</x:v>
      </x:c>
      <x:c r="I568" s="8" t="n">
        <x:v>40000</x:v>
      </x:c>
      <x:c r="J568" s="8" t="n">
        <x:v>1</x:v>
      </x:c>
      <x:c r="K568" s="9" t="n">
        <x:v>33.16</x:v>
      </x:c>
      <x:c r="L568" s="8" t="n">
        <x:v>100</x:v>
      </x:c>
      <x:c r="M568" s="10" t="n">
        <x:v>0</x:v>
      </x:c>
      <x:c r="N568" s="8" t="str">
        <x:v>a</x:v>
      </x:c>
      <x:c r="O568" s="8" t="n">
        <x:v>1</x:v>
      </x:c>
      <x:c r="P568" s="11" t="n">
        <x:f>MIN(X568,MAX(0,SUMIFS('Current inventory'!$D$2:$D$127,'Current inventory'!$A$2:$A$127,A568,'Current inventory'!$B$2:$B$127,B568)-SUMIFS($X$2:X567,$A$2:A567,A568,$B$2:B567,B568)))</x:f>
        <x:v>0</x:v>
      </x:c>
      <x:c r="Q568" s="1" t="str">
        <x:v>Higher cost</x:v>
      </x:c>
      <x:c r="R568" s="1" t="str">
        <x:v>updated receipts.csv</x:v>
      </x:c>
      <x:c r="S568" s="12" t="n">
        <x:f>IF(O568=1,I568*J568,0)</x:f>
        <x:v>40000</x:v>
      </x:c>
      <x:c r="T568" s="13" t="n">
        <x:f>IF(L568&gt;0,K568/L568,"n.a.")</x:f>
        <x:v>0.33159999999999995</x:v>
      </x:c>
      <x:c r="U568" s="12" t="n">
        <x:f>IF(Q568="Old cost",S568,0)</x:f>
        <x:v>0</x:v>
      </x:c>
      <x:c r="V568" s="12" t="n">
        <x:f>IF(Q568="Higher cost",S568,0)</x:f>
        <x:v>40000</x:v>
      </x:c>
      <x:c r="W568" s="12" t="n">
        <x:f>IF(Q568="Unclassified",S568,0)</x:f>
        <x:v>0</x:v>
      </x:c>
      <x:c r="X568" s="12" t="n">
        <x:f>IF(AND(ISNUMBER(F568),F568&gt;0,F568&lt;=Summary!$D$5,H568&gt;0),H568*J568,0)</x:f>
        <x:v>0</x:v>
      </x:c>
    </x:row>
    <x:row r="569" ht="21" customHeight="1">
      <x:c r="A569" s="1" t="str">
        <x:v>60</x:v>
      </x:c>
      <x:c r="B569" s="1" t="str">
        <x:v>800BMARASC</x:v>
      </x:c>
      <x:c r="C569" s="1" t="str">
        <x:v>6102945</x:v>
      </x:c>
      <x:c r="D569" s="1" t="str">
        <x:v>0</x:v>
      </x:c>
      <x:c r="E569" s="1" t="str">
        <x:v>2</x:v>
      </x:c>
      <x:c r="F569" s="7"/>
      <x:c r="G569" s="7" t="n">
        <x:v>46367</x:v>
      </x:c>
      <x:c r="H569" s="8" t="n">
        <x:v>60000</x:v>
      </x:c>
      <x:c r="I569" s="8" t="n">
        <x:v>60000</x:v>
      </x:c>
      <x:c r="J569" s="8" t="n">
        <x:v>1</x:v>
      </x:c>
      <x:c r="K569" s="9" t="n">
        <x:v>15.9</x:v>
      </x:c>
      <x:c r="L569" s="8" t="n">
        <x:v>100</x:v>
      </x:c>
      <x:c r="M569" s="10" t="n">
        <x:v>0</x:v>
      </x:c>
      <x:c r="N569" s="8" t="str">
        <x:v>a</x:v>
      </x:c>
      <x:c r="O569" s="8" t="n">
        <x:v>1</x:v>
      </x:c>
      <x:c r="P569" s="11" t="n">
        <x:f>MIN(X569,MAX(0,SUMIFS('Current inventory'!$D$2:$D$127,'Current inventory'!$A$2:$A$127,A569,'Current inventory'!$B$2:$B$127,B569)-SUMIFS($X$2:X568,$A$2:A568,A569,$B$2:B568,B569)))</x:f>
        <x:v>0</x:v>
      </x:c>
      <x:c r="Q569" s="1" t="str">
        <x:v>Higher cost</x:v>
      </x:c>
      <x:c r="R569" s="1" t="str">
        <x:v>updated receipts.csv</x:v>
      </x:c>
      <x:c r="S569" s="12" t="n">
        <x:f>IF(O569=1,I569*J569,0)</x:f>
        <x:v>60000</x:v>
      </x:c>
      <x:c r="T569" s="13" t="n">
        <x:f>IF(L569&gt;0,K569/L569,"n.a.")</x:f>
        <x:v>0.159</x:v>
      </x:c>
      <x:c r="U569" s="12" t="n">
        <x:f>IF(Q569="Old cost",S569,0)</x:f>
        <x:v>0</x:v>
      </x:c>
      <x:c r="V569" s="12" t="n">
        <x:f>IF(Q569="Higher cost",S569,0)</x:f>
        <x:v>60000</x:v>
      </x:c>
      <x:c r="W569" s="12" t="n">
        <x:f>IF(Q569="Unclassified",S569,0)</x:f>
        <x:v>0</x:v>
      </x:c>
      <x:c r="X569" s="12" t="n">
        <x:f>IF(AND(ISNUMBER(F569),F569&gt;0,F569&lt;=Summary!$D$5,H569&gt;0),H569*J569,0)</x:f>
        <x:v>0</x:v>
      </x:c>
    </x:row>
    <x:row r="570" ht="21" customHeight="1">
      <x:c r="A570" s="1" t="str">
        <x:v>60</x:v>
      </x:c>
      <x:c r="B570" s="1" t="str">
        <x:v>800BNAVASC</x:v>
      </x:c>
      <x:c r="C570" s="1" t="str">
        <x:v>6102945</x:v>
      </x:c>
      <x:c r="D570" s="1" t="str">
        <x:v>0</x:v>
      </x:c>
      <x:c r="E570" s="1" t="str">
        <x:v>3</x:v>
      </x:c>
      <x:c r="F570" s="7"/>
      <x:c r="G570" s="7" t="n">
        <x:v>46367</x:v>
      </x:c>
      <x:c r="H570" s="8" t="n">
        <x:v>50000</x:v>
      </x:c>
      <x:c r="I570" s="8" t="n">
        <x:v>50000</x:v>
      </x:c>
      <x:c r="J570" s="8" t="n">
        <x:v>1</x:v>
      </x:c>
      <x:c r="K570" s="9" t="n">
        <x:v>15.08</x:v>
      </x:c>
      <x:c r="L570" s="8" t="n">
        <x:v>100</x:v>
      </x:c>
      <x:c r="M570" s="10" t="n">
        <x:v>0</x:v>
      </x:c>
      <x:c r="N570" s="8" t="str">
        <x:v>a</x:v>
      </x:c>
      <x:c r="O570" s="8" t="n">
        <x:v>1</x:v>
      </x:c>
      <x:c r="P570" s="11" t="n">
        <x:f>MIN(X570,MAX(0,SUMIFS('Current inventory'!$D$2:$D$127,'Current inventory'!$A$2:$A$127,A570,'Current inventory'!$B$2:$B$127,B570)-SUMIFS($X$2:X569,$A$2:A569,A570,$B$2:B569,B570)))</x:f>
        <x:v>0</x:v>
      </x:c>
      <x:c r="Q570" s="1" t="str">
        <x:v>Higher cost</x:v>
      </x:c>
      <x:c r="R570" s="1" t="str">
        <x:v>updated receipts.csv</x:v>
      </x:c>
      <x:c r="S570" s="12" t="n">
        <x:f>IF(O570=1,I570*J570,0)</x:f>
        <x:v>50000</x:v>
      </x:c>
      <x:c r="T570" s="13" t="n">
        <x:f>IF(L570&gt;0,K570/L570,"n.a.")</x:f>
        <x:v>0.1508</x:v>
      </x:c>
      <x:c r="U570" s="12" t="n">
        <x:f>IF(Q570="Old cost",S570,0)</x:f>
        <x:v>0</x:v>
      </x:c>
      <x:c r="V570" s="12" t="n">
        <x:f>IF(Q570="Higher cost",S570,0)</x:f>
        <x:v>50000</x:v>
      </x:c>
      <x:c r="W570" s="12" t="n">
        <x:f>IF(Q570="Unclassified",S570,0)</x:f>
        <x:v>0</x:v>
      </x:c>
      <x:c r="X570" s="12" t="n">
        <x:f>IF(AND(ISNUMBER(F570),F570&gt;0,F570&lt;=Summary!$D$5,H570&gt;0),H570*J570,0)</x:f>
        <x:v>0</x:v>
      </x:c>
    </x:row>
    <x:row r="571" ht="21" customHeight="1">
      <x:c r="A571" s="1" t="str">
        <x:v>60</x:v>
      </x:c>
      <x:c r="B571" s="1" t="str">
        <x:v>800NAVE</x:v>
      </x:c>
      <x:c r="C571" s="1" t="str">
        <x:v>6102945</x:v>
      </x:c>
      <x:c r="D571" s="1" t="str">
        <x:v>0</x:v>
      </x:c>
      <x:c r="E571" s="1" t="str">
        <x:v>5</x:v>
      </x:c>
      <x:c r="F571" s="7"/>
      <x:c r="G571" s="7" t="n">
        <x:v>46367</x:v>
      </x:c>
      <x:c r="H571" s="8" t="n">
        <x:v>10000</x:v>
      </x:c>
      <x:c r="I571" s="8" t="n">
        <x:v>10000</x:v>
      </x:c>
      <x:c r="J571" s="8" t="n">
        <x:v>1</x:v>
      </x:c>
      <x:c r="K571" s="9" t="n">
        <x:v>1038.3</x:v>
      </x:c>
      <x:c r="L571" s="8" t="n">
        <x:v>1000</x:v>
      </x:c>
      <x:c r="M571" s="10" t="n">
        <x:v>0</x:v>
      </x:c>
      <x:c r="N571" s="8" t="str">
        <x:v>a</x:v>
      </x:c>
      <x:c r="O571" s="8" t="n">
        <x:v>1</x:v>
      </x:c>
      <x:c r="P571" s="11" t="n">
        <x:f>MIN(X571,MAX(0,SUMIFS('Current inventory'!$D$2:$D$127,'Current inventory'!$A$2:$A$127,A571,'Current inventory'!$B$2:$B$127,B571)-SUMIFS($X$2:X570,$A$2:A570,A571,$B$2:B570,B571)))</x:f>
        <x:v>0</x:v>
      </x:c>
      <x:c r="Q571" s="1" t="str">
        <x:v>Higher cost</x:v>
      </x:c>
      <x:c r="R571" s="1" t="str">
        <x:v>updated receipts.csv</x:v>
      </x:c>
      <x:c r="S571" s="12" t="n">
        <x:f>IF(O571=1,I571*J571,0)</x:f>
        <x:v>10000</x:v>
      </x:c>
      <x:c r="T571" s="13" t="n">
        <x:f>IF(L571&gt;0,K571/L571,"n.a.")</x:f>
        <x:v>1.0383</x:v>
      </x:c>
      <x:c r="U571" s="12" t="n">
        <x:f>IF(Q571="Old cost",S571,0)</x:f>
        <x:v>0</x:v>
      </x:c>
      <x:c r="V571" s="12" t="n">
        <x:f>IF(Q571="Higher cost",S571,0)</x:f>
        <x:v>10000</x:v>
      </x:c>
      <x:c r="W571" s="12" t="n">
        <x:f>IF(Q571="Unclassified",S571,0)</x:f>
        <x:v>0</x:v>
      </x:c>
      <x:c r="X571" s="12" t="n">
        <x:f>IF(AND(ISNUMBER(F571),F571&gt;0,F571&lt;=Summary!$D$5,H571&gt;0),H571*J571,0)</x:f>
        <x:v>0</x:v>
      </x:c>
    </x:row>
    <x:row r="572" ht="21" customHeight="1">
      <x:c r="A572" s="1" t="str">
        <x:v>60</x:v>
      </x:c>
      <x:c r="B572" s="1" t="str">
        <x:v>800BBLKASC</x:v>
      </x:c>
      <x:c r="C572" s="1" t="str">
        <x:v>6102928</x:v>
      </x:c>
      <x:c r="D572" s="1" t="str">
        <x:v>3</x:v>
      </x:c>
      <x:c r="E572" s="1" t="str">
        <x:v>1</x:v>
      </x:c>
      <x:c r="F572" s="7"/>
      <x:c r="G572" s="7" t="n">
        <x:v>46325</x:v>
      </x:c>
      <x:c r="H572" s="8" t="n">
        <x:v>320000</x:v>
      </x:c>
      <x:c r="I572" s="8" t="n">
        <x:v>320000</x:v>
      </x:c>
      <x:c r="J572" s="8" t="n">
        <x:v>1</x:v>
      </x:c>
      <x:c r="K572" s="9" t="n">
        <x:v>11.7</x:v>
      </x:c>
      <x:c r="L572" s="8" t="n">
        <x:v>100</x:v>
      </x:c>
      <x:c r="M572" s="10" t="n">
        <x:v>0</x:v>
      </x:c>
      <x:c r="N572" s="8" t="str">
        <x:v>a</x:v>
      </x:c>
      <x:c r="O572" s="8" t="n">
        <x:v>1</x:v>
      </x:c>
      <x:c r="P572" s="11" t="n">
        <x:f>MIN(X572,MAX(0,SUMIFS('Current inventory'!$D$2:$D$127,'Current inventory'!$A$2:$A$127,A572,'Current inventory'!$B$2:$B$127,B572)-SUMIFS($X$2:X571,$A$2:A571,A572,$B$2:B571,B572)))</x:f>
        <x:v>0</x:v>
      </x:c>
      <x:c r="Q572" s="1" t="str">
        <x:v>Old cost</x:v>
      </x:c>
      <x:c r="R572" s="1" t="str">
        <x:v>updated receipts.csv</x:v>
      </x:c>
      <x:c r="S572" s="12" t="n">
        <x:f>IF(O572=1,I572*J572,0)</x:f>
        <x:v>320000</x:v>
      </x:c>
      <x:c r="T572" s="13" t="n">
        <x:f>IF(L572&gt;0,K572/L572,"n.a.")</x:f>
        <x:v>0.11699999999999999</x:v>
      </x:c>
      <x:c r="U572" s="12" t="n">
        <x:f>IF(Q572="Old cost",S572,0)</x:f>
        <x:v>320000</x:v>
      </x:c>
      <x:c r="V572" s="12" t="n">
        <x:f>IF(Q572="Higher cost",S572,0)</x:f>
        <x:v>0</x:v>
      </x:c>
      <x:c r="W572" s="12" t="n">
        <x:f>IF(Q572="Unclassified",S572,0)</x:f>
        <x:v>0</x:v>
      </x:c>
      <x:c r="X572" s="12" t="n">
        <x:f>IF(AND(ISNUMBER(F572),F572&gt;0,F572&lt;=Summary!$D$5,H572&gt;0),H572*J572,0)</x:f>
        <x:v>0</x:v>
      </x:c>
    </x:row>
    <x:row r="573" ht="21" customHeight="1">
      <x:c r="A573" s="1" t="str">
        <x:v>60</x:v>
      </x:c>
      <x:c r="B573" s="1" t="str">
        <x:v>800BBLKASC</x:v>
      </x:c>
      <x:c r="C573" s="1" t="str">
        <x:v>6102752</x:v>
      </x:c>
      <x:c r="D573" s="1" t="str">
        <x:v>0</x:v>
      </x:c>
      <x:c r="E573" s="1" t="str">
        <x:v>1</x:v>
      </x:c>
      <x:c r="F573" s="7"/>
      <x:c r="G573" s="7" t="n">
        <x:v>45373</x:v>
      </x:c>
      <x:c r="H573" s="8" t="n">
        <x:v>320000</x:v>
      </x:c>
      <x:c r="I573" s="8" t="n">
        <x:v>320000</x:v>
      </x:c>
      <x:c r="J573" s="8" t="n">
        <x:v>1</x:v>
      </x:c>
      <x:c r="K573" s="9" t="n">
        <x:v>10.5</x:v>
      </x:c>
      <x:c r="L573" s="8" t="n">
        <x:v>100</x:v>
      </x:c>
      <x:c r="M573" s="10" t="n">
        <x:v>0</x:v>
      </x:c>
      <x:c r="N573" s="8" t="str">
        <x:v>c</x:v>
      </x:c>
      <x:c r="O573" s="8" t="n">
        <x:v>0</x:v>
      </x:c>
      <x:c r="P573" s="11" t="n">
        <x:f>MIN(X573,MAX(0,SUMIFS('Current inventory'!$D$2:$D$127,'Current inventory'!$A$2:$A$127,A573,'Current inventory'!$B$2:$B$127,B573)-SUMIFS($X$2:X572,$A$2:A572,A573,$B$2:B572,B573)))</x:f>
        <x:v>0</x:v>
      </x:c>
      <x:c r="Q573" s="1" t="str">
        <x:v>Excluded: not active</x:v>
      </x:c>
      <x:c r="R573" s="1" t="str">
        <x:v>updated receipts.csv</x:v>
      </x:c>
      <x:c r="S573" s="12" t="n">
        <x:f>IF(O573=1,I573*J573,0)</x:f>
        <x:v>0</x:v>
      </x:c>
      <x:c r="T573" s="13" t="n">
        <x:f>IF(L573&gt;0,K573/L573,"n.a.")</x:f>
        <x:v>0.105</x:v>
      </x:c>
      <x:c r="U573" s="12" t="n">
        <x:f>IF(Q573="Old cost",S573,0)</x:f>
        <x:v>0</x:v>
      </x:c>
      <x:c r="V573" s="12" t="n">
        <x:f>IF(Q573="Higher cost",S573,0)</x:f>
        <x:v>0</x:v>
      </x:c>
      <x:c r="W573" s="12" t="n">
        <x:f>IF(Q573="Unclassified",S573,0)</x:f>
        <x:v>0</x:v>
      </x:c>
      <x:c r="X573" s="12" t="n">
        <x:f>IF(AND(ISNUMBER(F573),F573&gt;0,F573&lt;=Summary!$D$5,H573&gt;0),H573*J573,0)</x:f>
        <x:v>0</x:v>
      </x:c>
    </x:row>
    <x:row r="574" ht="21" customHeight="1">
      <x:c r="A574" s="1" t="str">
        <x:v>60</x:v>
      </x:c>
      <x:c r="B574" s="1" t="str">
        <x:v>800BBLKDSC</x:v>
      </x:c>
      <x:c r="C574" s="1" t="str">
        <x:v>6102667</x:v>
      </x:c>
      <x:c r="D574" s="1" t="str">
        <x:v>3</x:v>
      </x:c>
      <x:c r="E574" s="1" t="str">
        <x:v>3</x:v>
      </x:c>
      <x:c r="F574" s="7"/>
      <x:c r="G574" s="7" t="n">
        <x:v>45065</x:v>
      </x:c>
      <x:c r="H574" s="8" t="n">
        <x:v>1200</x:v>
      </x:c>
      <x:c r="I574" s="8" t="n">
        <x:v>1200</x:v>
      </x:c>
      <x:c r="J574" s="8" t="n">
        <x:v>1</x:v>
      </x:c>
      <x:c r="K574" s="9" t="n">
        <x:v>29.14</x:v>
      </x:c>
      <x:c r="L574" s="8" t="n">
        <x:v>100</x:v>
      </x:c>
      <x:c r="M574" s="10" t="n">
        <x:v>0</x:v>
      </x:c>
      <x:c r="N574" s="8" t="str">
        <x:v>c</x:v>
      </x:c>
      <x:c r="O574" s="8" t="n">
        <x:v>0</x:v>
      </x:c>
      <x:c r="P574" s="11" t="n">
        <x:f>MIN(X574,MAX(0,SUMIFS('Current inventory'!$D$2:$D$127,'Current inventory'!$A$2:$A$127,A574,'Current inventory'!$B$2:$B$127,B574)-SUMIFS($X$2:X573,$A$2:A573,A574,$B$2:B573,B574)))</x:f>
        <x:v>0</x:v>
      </x:c>
      <x:c r="Q574" s="1" t="str">
        <x:v>Excluded: not active</x:v>
      </x:c>
      <x:c r="R574" s="1" t="str">
        <x:v>updated receipts.csv</x:v>
      </x:c>
      <x:c r="S574" s="12" t="n">
        <x:f>IF(O574=1,I574*J574,0)</x:f>
        <x:v>0</x:v>
      </x:c>
      <x:c r="T574" s="13" t="n">
        <x:f>IF(L574&gt;0,K574/L574,"n.a.")</x:f>
        <x:v>0.2914</x:v>
      </x:c>
      <x:c r="U574" s="12" t="n">
        <x:f>IF(Q574="Old cost",S574,0)</x:f>
        <x:v>0</x:v>
      </x:c>
      <x:c r="V574" s="12" t="n">
        <x:f>IF(Q574="Higher cost",S574,0)</x:f>
        <x:v>0</x:v>
      </x:c>
      <x:c r="W574" s="12" t="n">
        <x:f>IF(Q574="Unclassified",S574,0)</x:f>
        <x:v>0</x:v>
      </x:c>
      <x:c r="X574" s="12" t="n">
        <x:f>IF(AND(ISNUMBER(F574),F574&gt;0,F574&lt;=Summary!$D$5,H574&gt;0),H574*J574,0)</x:f>
        <x:v>0</x:v>
      </x:c>
    </x:row>
    <x:row r="575" ht="21" customHeight="1">
      <x:c r="A575" s="1" t="str">
        <x:v>60</x:v>
      </x:c>
      <x:c r="B575" s="1" t="str">
        <x:v>800BBLKASC</x:v>
      </x:c>
      <x:c r="C575" s="1" t="str">
        <x:v>6102571</x:v>
      </x:c>
      <x:c r="D575" s="1" t="str">
        <x:v>0</x:v>
      </x:c>
      <x:c r="E575" s="1" t="str">
        <x:v>1</x:v>
      </x:c>
      <x:c r="F575" s="7"/>
      <x:c r="G575" s="7" t="n">
        <x:v>44467</x:v>
      </x:c>
      <x:c r="H575" s="8" t="n">
        <x:v>200000</x:v>
      </x:c>
      <x:c r="I575" s="8" t="n">
        <x:v>200000</x:v>
      </x:c>
      <x:c r="J575" s="8" t="n">
        <x:v>1</x:v>
      </x:c>
      <x:c r="K575" s="9" t="n">
        <x:v>9.25</x:v>
      </x:c>
      <x:c r="L575" s="8" t="n">
        <x:v>100</x:v>
      </x:c>
      <x:c r="M575" s="10" t="n">
        <x:v>0</x:v>
      </x:c>
      <x:c r="N575" s="8" t="str">
        <x:v>c</x:v>
      </x:c>
      <x:c r="O575" s="8" t="n">
        <x:v>0</x:v>
      </x:c>
      <x:c r="P575" s="11" t="n">
        <x:f>MIN(X575,MAX(0,SUMIFS('Current inventory'!$D$2:$D$127,'Current inventory'!$A$2:$A$127,A575,'Current inventory'!$B$2:$B$127,B575)-SUMIFS($X$2:X574,$A$2:A574,A575,$B$2:B574,B575)))</x:f>
        <x:v>0</x:v>
      </x:c>
      <x:c r="Q575" s="1" t="str">
        <x:v>Excluded: not active</x:v>
      </x:c>
      <x:c r="R575" s="1" t="str">
        <x:v>updated receipts.csv</x:v>
      </x:c>
      <x:c r="S575" s="12" t="n">
        <x:f>IF(O575=1,I575*J575,0)</x:f>
        <x:v>0</x:v>
      </x:c>
      <x:c r="T575" s="13" t="n">
        <x:f>IF(L575&gt;0,K575/L575,"n.a.")</x:f>
        <x:v>0.0925</x:v>
      </x:c>
      <x:c r="U575" s="12" t="n">
        <x:f>IF(Q575="Old cost",S575,0)</x:f>
        <x:v>0</x:v>
      </x:c>
      <x:c r="V575" s="12" t="n">
        <x:f>IF(Q575="Higher cost",S575,0)</x:f>
        <x:v>0</x:v>
      </x:c>
      <x:c r="W575" s="12" t="n">
        <x:f>IF(Q575="Unclassified",S575,0)</x:f>
        <x:v>0</x:v>
      </x:c>
      <x:c r="X575" s="12" t="n">
        <x:f>IF(AND(ISNUMBER(F575),F575&gt;0,F575&lt;=Summary!$D$5,H575&gt;0),H575*J575,0)</x:f>
        <x:v>0</x:v>
      </x:c>
    </x:row>
    <x:row r="576" ht="21" customHeight="1">
      <x:c r="A576" s="1" t="str">
        <x:v>60</x:v>
      </x:c>
      <x:c r="B576" s="1" t="str">
        <x:v>800BBLKBRC</x:v>
      </x:c>
      <x:c r="C576" s="1" t="str">
        <x:v>6102571</x:v>
      </x:c>
      <x:c r="D576" s="1" t="str">
        <x:v>0</x:v>
      </x:c>
      <x:c r="E576" s="1" t="str">
        <x:v>5</x:v>
      </x:c>
      <x:c r="F576" s="7"/>
      <x:c r="G576" s="7" t="n">
        <x:v>44467</x:v>
      </x:c>
      <x:c r="H576" s="8" t="n">
        <x:v>10000</x:v>
      </x:c>
      <x:c r="I576" s="8" t="n">
        <x:v>10000</x:v>
      </x:c>
      <x:c r="J576" s="8" t="n">
        <x:v>1</x:v>
      </x:c>
      <x:c r="K576" s="9" t="n">
        <x:v>11.37</x:v>
      </x:c>
      <x:c r="L576" s="8" t="n">
        <x:v>100</x:v>
      </x:c>
      <x:c r="M576" s="10" t="n">
        <x:v>0</x:v>
      </x:c>
      <x:c r="N576" s="8" t="str">
        <x:v>c</x:v>
      </x:c>
      <x:c r="O576" s="8" t="n">
        <x:v>0</x:v>
      </x:c>
      <x:c r="P576" s="11" t="n">
        <x:f>MIN(X576,MAX(0,SUMIFS('Current inventory'!$D$2:$D$127,'Current inventory'!$A$2:$A$127,A576,'Current inventory'!$B$2:$B$127,B576)-SUMIFS($X$2:X575,$A$2:A575,A576,$B$2:B575,B576)))</x:f>
        <x:v>0</x:v>
      </x:c>
      <x:c r="Q576" s="1" t="str">
        <x:v>Excluded: not active</x:v>
      </x:c>
      <x:c r="R576" s="1" t="str">
        <x:v>updated receipts.csv</x:v>
      </x:c>
      <x:c r="S576" s="12" t="n">
        <x:f>IF(O576=1,I576*J576,0)</x:f>
        <x:v>0</x:v>
      </x:c>
      <x:c r="T576" s="13" t="n">
        <x:f>IF(L576&gt;0,K576/L576,"n.a.")</x:f>
        <x:v>0.1137</x:v>
      </x:c>
      <x:c r="U576" s="12" t="n">
        <x:f>IF(Q576="Old cost",S576,0)</x:f>
        <x:v>0</x:v>
      </x:c>
      <x:c r="V576" s="12" t="n">
        <x:f>IF(Q576="Higher cost",S576,0)</x:f>
        <x:v>0</x:v>
      </x:c>
      <x:c r="W576" s="12" t="n">
        <x:f>IF(Q576="Unclassified",S576,0)</x:f>
        <x:v>0</x:v>
      </x:c>
      <x:c r="X576" s="12" t="n">
        <x:f>IF(AND(ISNUMBER(F576),F576&gt;0,F576&lt;=Summary!$D$5,H576&gt;0),H576*J576,0)</x:f>
        <x:v>0</x:v>
      </x:c>
    </x:row>
    <x:row r="577" ht="21" customHeight="1">
      <x:c r="A577" s="1" t="str">
        <x:v>60</x:v>
      </x:c>
      <x:c r="B577" s="1" t="str">
        <x:v>800BBLKDSC</x:v>
      </x:c>
      <x:c r="C577" s="1" t="str">
        <x:v>6102571</x:v>
      </x:c>
      <x:c r="D577" s="1" t="str">
        <x:v>0</x:v>
      </x:c>
      <x:c r="E577" s="1" t="str">
        <x:v>6</x:v>
      </x:c>
      <x:c r="F577" s="7"/>
      <x:c r="G577" s="7" t="n">
        <x:v>44467</x:v>
      </x:c>
      <x:c r="H577" s="8" t="n">
        <x:v>10000</x:v>
      </x:c>
      <x:c r="I577" s="8" t="n">
        <x:v>10000</x:v>
      </x:c>
      <x:c r="J577" s="8" t="n">
        <x:v>1</x:v>
      </x:c>
      <x:c r="K577" s="9" t="n">
        <x:v>18.58</x:v>
      </x:c>
      <x:c r="L577" s="8" t="n">
        <x:v>100</x:v>
      </x:c>
      <x:c r="M577" s="10" t="n">
        <x:v>0</x:v>
      </x:c>
      <x:c r="N577" s="8" t="str">
        <x:v>c</x:v>
      </x:c>
      <x:c r="O577" s="8" t="n">
        <x:v>0</x:v>
      </x:c>
      <x:c r="P577" s="11" t="n">
        <x:f>MIN(X577,MAX(0,SUMIFS('Current inventory'!$D$2:$D$127,'Current inventory'!$A$2:$A$127,A577,'Current inventory'!$B$2:$B$127,B577)-SUMIFS($X$2:X576,$A$2:A576,A577,$B$2:B576,B577)))</x:f>
        <x:v>0</x:v>
      </x:c>
      <x:c r="Q577" s="1" t="str">
        <x:v>Excluded: not active</x:v>
      </x:c>
      <x:c r="R577" s="1" t="str">
        <x:v>updated receipts.csv</x:v>
      </x:c>
      <x:c r="S577" s="12" t="n">
        <x:f>IF(O577=1,I577*J577,0)</x:f>
        <x:v>0</x:v>
      </x:c>
      <x:c r="T577" s="13" t="n">
        <x:f>IF(L577&gt;0,K577/L577,"n.a.")</x:f>
        <x:v>0.1858</x:v>
      </x:c>
      <x:c r="U577" s="12" t="n">
        <x:f>IF(Q577="Old cost",S577,0)</x:f>
        <x:v>0</x:v>
      </x:c>
      <x:c r="V577" s="12" t="n">
        <x:f>IF(Q577="Higher cost",S577,0)</x:f>
        <x:v>0</x:v>
      </x:c>
      <x:c r="W577" s="12" t="n">
        <x:f>IF(Q577="Unclassified",S577,0)</x:f>
        <x:v>0</x:v>
      </x:c>
      <x:c r="X577" s="12" t="n">
        <x:f>IF(AND(ISNUMBER(F577),F577&gt;0,F577&lt;=Summary!$D$5,H577&gt;0),H577*J577,0)</x:f>
        <x:v>0</x:v>
      </x:c>
    </x:row>
    <x:row r="578" ht="21" customHeight="1">
      <x:c r="A578" s="1" t="str">
        <x:v>60</x:v>
      </x:c>
      <x:c r="B578" s="1" t="str">
        <x:v>800BFGASC</x:v>
      </x:c>
      <x:c r="C578" s="1" t="str">
        <x:v>6102571</x:v>
      </x:c>
      <x:c r="D578" s="1" t="str">
        <x:v>0</x:v>
      </x:c>
      <x:c r="E578" s="1" t="str">
        <x:v>2</x:v>
      </x:c>
      <x:c r="F578" s="7"/>
      <x:c r="G578" s="7" t="n">
        <x:v>44467</x:v>
      </x:c>
      <x:c r="H578" s="8" t="n">
        <x:v>10000</x:v>
      </x:c>
      <x:c r="I578" s="8" t="n">
        <x:v>10000</x:v>
      </x:c>
      <x:c r="J578" s="8" t="n">
        <x:v>1</x:v>
      </x:c>
      <x:c r="K578" s="9" t="n">
        <x:v>9.53</x:v>
      </x:c>
      <x:c r="L578" s="8" t="n">
        <x:v>100</x:v>
      </x:c>
      <x:c r="M578" s="10" t="n">
        <x:v>0</x:v>
      </x:c>
      <x:c r="N578" s="8" t="str">
        <x:v>c</x:v>
      </x:c>
      <x:c r="O578" s="8" t="n">
        <x:v>0</x:v>
      </x:c>
      <x:c r="P578" s="11" t="n">
        <x:f>MIN(X578,MAX(0,SUMIFS('Current inventory'!$D$2:$D$127,'Current inventory'!$A$2:$A$127,A578,'Current inventory'!$B$2:$B$127,B578)-SUMIFS($X$2:X577,$A$2:A577,A578,$B$2:B577,B578)))</x:f>
        <x:v>0</x:v>
      </x:c>
      <x:c r="Q578" s="1" t="str">
        <x:v>Excluded: not active</x:v>
      </x:c>
      <x:c r="R578" s="1" t="str">
        <x:v>updated receipts.csv</x:v>
      </x:c>
      <x:c r="S578" s="12" t="n">
        <x:f>IF(O578=1,I578*J578,0)</x:f>
        <x:v>0</x:v>
      </x:c>
      <x:c r="T578" s="13" t="n">
        <x:f>IF(L578&gt;0,K578/L578,"n.a.")</x:f>
        <x:v>0.0953</x:v>
      </x:c>
      <x:c r="U578" s="12" t="n">
        <x:f>IF(Q578="Old cost",S578,0)</x:f>
        <x:v>0</x:v>
      </x:c>
      <x:c r="V578" s="12" t="n">
        <x:f>IF(Q578="Higher cost",S578,0)</x:f>
        <x:v>0</x:v>
      </x:c>
      <x:c r="W578" s="12" t="n">
        <x:f>IF(Q578="Unclassified",S578,0)</x:f>
        <x:v>0</x:v>
      </x:c>
      <x:c r="X578" s="12" t="n">
        <x:f>IF(AND(ISNUMBER(F578),F578&gt;0,F578&lt;=Summary!$D$5,H578&gt;0),H578*J578,0)</x:f>
        <x:v>0</x:v>
      </x:c>
    </x:row>
    <x:row r="579" ht="21" customHeight="1">
      <x:c r="A579" s="1" t="str">
        <x:v>60</x:v>
      </x:c>
      <x:c r="B579" s="1" t="str">
        <x:v>800BLKE</x:v>
      </x:c>
      <x:c r="C579" s="1" t="str">
        <x:v>6102571</x:v>
      </x:c>
      <x:c r="D579" s="1" t="str">
        <x:v>0</x:v>
      </x:c>
      <x:c r="E579" s="1" t="str">
        <x:v>7</x:v>
      </x:c>
      <x:c r="F579" s="7"/>
      <x:c r="G579" s="7" t="n">
        <x:v>44467</x:v>
      </x:c>
      <x:c r="H579" s="8" t="n">
        <x:v>4500</x:v>
      </x:c>
      <x:c r="I579" s="8" t="n">
        <x:v>4500</x:v>
      </x:c>
      <x:c r="J579" s="8" t="n">
        <x:v>1</x:v>
      </x:c>
      <x:c r="K579" s="9" t="n">
        <x:v>640</x:v>
      </x:c>
      <x:c r="L579" s="8" t="n">
        <x:v>1000</x:v>
      </x:c>
      <x:c r="M579" s="10" t="n">
        <x:v>0</x:v>
      </x:c>
      <x:c r="N579" s="8" t="str">
        <x:v>c</x:v>
      </x:c>
      <x:c r="O579" s="8" t="n">
        <x:v>0</x:v>
      </x:c>
      <x:c r="P579" s="11" t="n">
        <x:f>MIN(X579,MAX(0,SUMIFS('Current inventory'!$D$2:$D$127,'Current inventory'!$A$2:$A$127,A579,'Current inventory'!$B$2:$B$127,B579)-SUMIFS($X$2:X578,$A$2:A578,A579,$B$2:B578,B579)))</x:f>
        <x:v>0</x:v>
      </x:c>
      <x:c r="Q579" s="1" t="str">
        <x:v>Excluded: not active</x:v>
      </x:c>
      <x:c r="R579" s="1" t="str">
        <x:v>updated receipts.csv</x:v>
      </x:c>
      <x:c r="S579" s="12" t="n">
        <x:f>IF(O579=1,I579*J579,0)</x:f>
        <x:v>0</x:v>
      </x:c>
      <x:c r="T579" s="13" t="n">
        <x:f>IF(L579&gt;0,K579/L579,"n.a.")</x:f>
        <x:v>0.64</x:v>
      </x:c>
      <x:c r="U579" s="12" t="n">
        <x:f>IF(Q579="Old cost",S579,0)</x:f>
        <x:v>0</x:v>
      </x:c>
      <x:c r="V579" s="12" t="n">
        <x:f>IF(Q579="Higher cost",S579,0)</x:f>
        <x:v>0</x:v>
      </x:c>
      <x:c r="W579" s="12" t="n">
        <x:f>IF(Q579="Unclassified",S579,0)</x:f>
        <x:v>0</x:v>
      </x:c>
      <x:c r="X579" s="12" t="n">
        <x:f>IF(AND(ISNUMBER(F579),F579&gt;0,F579&lt;=Summary!$D$5,H579&gt;0),H579*J579,0)</x:f>
        <x:v>0</x:v>
      </x:c>
    </x:row>
    <x:row r="580" ht="21" customHeight="1">
      <x:c r="A580" s="1" t="str">
        <x:v>60</x:v>
      </x:c>
      <x:c r="B580" s="1" t="str">
        <x:v>800BMARASC</x:v>
      </x:c>
      <x:c r="C580" s="1" t="str">
        <x:v>6102571</x:v>
      </x:c>
      <x:c r="D580" s="1" t="str">
        <x:v>0</x:v>
      </x:c>
      <x:c r="E580" s="1" t="str">
        <x:v>3</x:v>
      </x:c>
      <x:c r="F580" s="7"/>
      <x:c r="G580" s="7" t="n">
        <x:v>44467</x:v>
      </x:c>
      <x:c r="H580" s="8" t="n">
        <x:v>14000</x:v>
      </x:c>
      <x:c r="I580" s="8" t="n">
        <x:v>14000</x:v>
      </x:c>
      <x:c r="J580" s="8" t="n">
        <x:v>1</x:v>
      </x:c>
      <x:c r="K580" s="9" t="n">
        <x:v>9.53</x:v>
      </x:c>
      <x:c r="L580" s="8" t="n">
        <x:v>100</x:v>
      </x:c>
      <x:c r="M580" s="10" t="n">
        <x:v>0</x:v>
      </x:c>
      <x:c r="N580" s="8" t="str">
        <x:v>c</x:v>
      </x:c>
      <x:c r="O580" s="8" t="n">
        <x:v>0</x:v>
      </x:c>
      <x:c r="P580" s="11" t="n">
        <x:f>MIN(X580,MAX(0,SUMIFS('Current inventory'!$D$2:$D$127,'Current inventory'!$A$2:$A$127,A580,'Current inventory'!$B$2:$B$127,B580)-SUMIFS($X$2:X579,$A$2:A579,A580,$B$2:B579,B580)))</x:f>
        <x:v>0</x:v>
      </x:c>
      <x:c r="Q580" s="1" t="str">
        <x:v>Excluded: not active</x:v>
      </x:c>
      <x:c r="R580" s="1" t="str">
        <x:v>updated receipts.csv</x:v>
      </x:c>
      <x:c r="S580" s="12" t="n">
        <x:f>IF(O580=1,I580*J580,0)</x:f>
        <x:v>0</x:v>
      </x:c>
      <x:c r="T580" s="13" t="n">
        <x:f>IF(L580&gt;0,K580/L580,"n.a.")</x:f>
        <x:v>0.0953</x:v>
      </x:c>
      <x:c r="U580" s="12" t="n">
        <x:f>IF(Q580="Old cost",S580,0)</x:f>
        <x:v>0</x:v>
      </x:c>
      <x:c r="V580" s="12" t="n">
        <x:f>IF(Q580="Higher cost",S580,0)</x:f>
        <x:v>0</x:v>
      </x:c>
      <x:c r="W580" s="12" t="n">
        <x:f>IF(Q580="Unclassified",S580,0)</x:f>
        <x:v>0</x:v>
      </x:c>
      <x:c r="X580" s="12" t="n">
        <x:f>IF(AND(ISNUMBER(F580),F580&gt;0,F580&lt;=Summary!$D$5,H580&gt;0),H580*J580,0)</x:f>
        <x:v>0</x:v>
      </x:c>
    </x:row>
    <x:row r="581" ht="21" customHeight="1">
      <x:c r="A581" s="1" t="str">
        <x:v>60</x:v>
      </x:c>
      <x:c r="B581" s="1" t="str">
        <x:v>800BNAVASC</x:v>
      </x:c>
      <x:c r="C581" s="1" t="str">
        <x:v>6102571</x:v>
      </x:c>
      <x:c r="D581" s="1" t="str">
        <x:v>0</x:v>
      </x:c>
      <x:c r="E581" s="1" t="str">
        <x:v>4</x:v>
      </x:c>
      <x:c r="F581" s="7"/>
      <x:c r="G581" s="7" t="n">
        <x:v>44467</x:v>
      </x:c>
      <x:c r="H581" s="8" t="n">
        <x:v>26000</x:v>
      </x:c>
      <x:c r="I581" s="8" t="n">
        <x:v>26000</x:v>
      </x:c>
      <x:c r="J581" s="8" t="n">
        <x:v>1</x:v>
      </x:c>
      <x:c r="K581" s="9" t="n">
        <x:v>9.25</x:v>
      </x:c>
      <x:c r="L581" s="8" t="n">
        <x:v>100</x:v>
      </x:c>
      <x:c r="M581" s="10" t="n">
        <x:v>0</x:v>
      </x:c>
      <x:c r="N581" s="8" t="str">
        <x:v>c</x:v>
      </x:c>
      <x:c r="O581" s="8" t="n">
        <x:v>0</x:v>
      </x:c>
      <x:c r="P581" s="11" t="n">
        <x:f>MIN(X581,MAX(0,SUMIFS('Current inventory'!$D$2:$D$127,'Current inventory'!$A$2:$A$127,A581,'Current inventory'!$B$2:$B$127,B581)-SUMIFS($X$2:X580,$A$2:A580,A581,$B$2:B580,B581)))</x:f>
        <x:v>0</x:v>
      </x:c>
      <x:c r="Q581" s="1" t="str">
        <x:v>Excluded: not active</x:v>
      </x:c>
      <x:c r="R581" s="1" t="str">
        <x:v>updated receipts.csv</x:v>
      </x:c>
      <x:c r="S581" s="12" t="n">
        <x:f>IF(O581=1,I581*J581,0)</x:f>
        <x:v>0</x:v>
      </x:c>
      <x:c r="T581" s="13" t="n">
        <x:f>IF(L581&gt;0,K581/L581,"n.a.")</x:f>
        <x:v>0.0925</x:v>
      </x:c>
      <x:c r="U581" s="12" t="n">
        <x:f>IF(Q581="Old cost",S581,0)</x:f>
        <x:v>0</x:v>
      </x:c>
      <x:c r="V581" s="12" t="n">
        <x:f>IF(Q581="Higher cost",S581,0)</x:f>
        <x:v>0</x:v>
      </x:c>
      <x:c r="W581" s="12" t="n">
        <x:f>IF(Q581="Unclassified",S581,0)</x:f>
        <x:v>0</x:v>
      </x:c>
      <x:c r="X581" s="12" t="n">
        <x:f>IF(AND(ISNUMBER(F581),F581&gt;0,F581&lt;=Summary!$D$5,H581&gt;0),H581*J581,0)</x:f>
        <x:v>0</x:v>
      </x:c>
    </x:row>
    <x:row r="582" ht="21" customHeight="1">
      <x:c r="A582" s="1" t="str">
        <x:v>60</x:v>
      </x:c>
      <x:c r="B582" s="1" t="str">
        <x:v>800BBLKDSC</x:v>
      </x:c>
      <x:c r="C582" s="1" t="str">
        <x:v>6102389</x:v>
      </x:c>
      <x:c r="D582" s="1" t="str">
        <x:v>2</x:v>
      </x:c>
      <x:c r="E582" s="1" t="str">
        <x:v>6</x:v>
      </x:c>
      <x:c r="F582" s="7"/>
      <x:c r="G582" s="7" t="n">
        <x:v>43754</x:v>
      </x:c>
      <x:c r="H582" s="8" t="n">
        <x:v>1000</x:v>
      </x:c>
      <x:c r="I582" s="8" t="n">
        <x:v>1000</x:v>
      </x:c>
      <x:c r="J582" s="8" t="n">
        <x:v>1</x:v>
      </x:c>
      <x:c r="K582" s="9" t="n">
        <x:v>16.71</x:v>
      </x:c>
      <x:c r="L582" s="8" t="n">
        <x:v>100</x:v>
      </x:c>
      <x:c r="M582" s="10" t="n">
        <x:v>0</x:v>
      </x:c>
      <x:c r="N582" s="8" t="str">
        <x:v>c</x:v>
      </x:c>
      <x:c r="O582" s="8" t="n">
        <x:v>0</x:v>
      </x:c>
      <x:c r="P582" s="11" t="n">
        <x:f>MIN(X582,MAX(0,SUMIFS('Current inventory'!$D$2:$D$127,'Current inventory'!$A$2:$A$127,A582,'Current inventory'!$B$2:$B$127,B582)-SUMIFS($X$2:X581,$A$2:A581,A582,$B$2:B581,B582)))</x:f>
        <x:v>0</x:v>
      </x:c>
      <x:c r="Q582" s="1" t="str">
        <x:v>Excluded: not active</x:v>
      </x:c>
      <x:c r="R582" s="1" t="str">
        <x:v>updated receipts.csv</x:v>
      </x:c>
      <x:c r="S582" s="12" t="n">
        <x:f>IF(O582=1,I582*J582,0)</x:f>
        <x:v>0</x:v>
      </x:c>
      <x:c r="T582" s="13" t="n">
        <x:f>IF(L582&gt;0,K582/L582,"n.a.")</x:f>
        <x:v>0.1671</x:v>
      </x:c>
      <x:c r="U582" s="12" t="n">
        <x:f>IF(Q582="Old cost",S582,0)</x:f>
        <x:v>0</x:v>
      </x:c>
      <x:c r="V582" s="12" t="n">
        <x:f>IF(Q582="Higher cost",S582,0)</x:f>
        <x:v>0</x:v>
      </x:c>
      <x:c r="W582" s="12" t="n">
        <x:f>IF(Q582="Unclassified",S582,0)</x:f>
        <x:v>0</x:v>
      </x:c>
      <x:c r="X582" s="12" t="n">
        <x:f>IF(AND(ISNUMBER(F582),F582&gt;0,F582&lt;=Summary!$D$5,H582&gt;0),H582*J582,0)</x:f>
        <x:v>0</x:v>
      </x:c>
    </x:row>
    <x:row r="583" ht="21" customHeight="1">
      <x:c r="A583" s="1" t="str">
        <x:v>30</x:v>
      </x:c>
      <x:c r="B583" s="1" t="str">
        <x:v>800BBLKASC</x:v>
      </x:c>
      <x:c r="C583" s="1" t="str">
        <x:v>3003976</x:v>
      </x:c>
      <x:c r="D583" s="1" t="str">
        <x:v>0</x:v>
      </x:c>
      <x:c r="E583" s="1" t="str">
        <x:v>1</x:v>
      </x:c>
      <x:c r="F583" s="7"/>
      <x:c r="G583" s="7" t="n">
        <x:v>46409</x:v>
      </x:c>
      <x:c r="H583" s="8" t="n">
        <x:v>120000</x:v>
      </x:c>
      <x:c r="I583" s="8" t="n">
        <x:v>120000</x:v>
      </x:c>
      <x:c r="J583" s="8" t="n">
        <x:v>1</x:v>
      </x:c>
      <x:c r="K583" s="9" t="n">
        <x:v>12.23</x:v>
      </x:c>
      <x:c r="L583" s="8" t="n">
        <x:v>100</x:v>
      </x:c>
      <x:c r="M583" s="10" t="n">
        <x:v>0</x:v>
      </x:c>
      <x:c r="N583" s="8" t="str">
        <x:v>a</x:v>
      </x:c>
      <x:c r="O583" s="8" t="n">
        <x:v>1</x:v>
      </x:c>
      <x:c r="P583" s="11" t="n">
        <x:f>MIN(X583,MAX(0,SUMIFS('Current inventory'!$D$2:$D$127,'Current inventory'!$A$2:$A$127,A583,'Current inventory'!$B$2:$B$127,B583)-SUMIFS($X$2:X582,$A$2:A582,A583,$B$2:B582,B583)))</x:f>
        <x:v>0</x:v>
      </x:c>
      <x:c r="Q583" s="1" t="str">
        <x:v>Higher cost</x:v>
      </x:c>
      <x:c r="R583" s="1" t="str">
        <x:v>updated receipts.csv</x:v>
      </x:c>
      <x:c r="S583" s="12" t="n">
        <x:f>IF(O583=1,I583*J583,0)</x:f>
        <x:v>120000</x:v>
      </x:c>
      <x:c r="T583" s="13" t="n">
        <x:f>IF(L583&gt;0,K583/L583,"n.a.")</x:f>
        <x:v>0.1223</x:v>
      </x:c>
      <x:c r="U583" s="12" t="n">
        <x:f>IF(Q583="Old cost",S583,0)</x:f>
        <x:v>0</x:v>
      </x:c>
      <x:c r="V583" s="12" t="n">
        <x:f>IF(Q583="Higher cost",S583,0)</x:f>
        <x:v>120000</x:v>
      </x:c>
      <x:c r="W583" s="12" t="n">
        <x:f>IF(Q583="Unclassified",S583,0)</x:f>
        <x:v>0</x:v>
      </x:c>
      <x:c r="X583" s="12" t="n">
        <x:f>IF(AND(ISNUMBER(F583),F583&gt;0,F583&lt;=Summary!$D$5,H583&gt;0),H583*J583,0)</x:f>
        <x:v>0</x:v>
      </x:c>
    </x:row>
    <x:row r="584" ht="21" customHeight="1">
      <x:c r="A584" s="1" t="str">
        <x:v>30</x:v>
      </x:c>
      <x:c r="B584" s="1" t="str">
        <x:v>800BBLKDSC</x:v>
      </x:c>
      <x:c r="C584" s="1" t="str">
        <x:v>3003976</x:v>
      </x:c>
      <x:c r="D584" s="1" t="str">
        <x:v>0</x:v>
      </x:c>
      <x:c r="E584" s="1" t="str">
        <x:v>3</x:v>
      </x:c>
      <x:c r="F584" s="7"/>
      <x:c r="G584" s="7" t="n">
        <x:v>46409</x:v>
      </x:c>
      <x:c r="H584" s="8" t="n">
        <x:v>40000</x:v>
      </x:c>
      <x:c r="I584" s="8" t="n">
        <x:v>40000</x:v>
      </x:c>
      <x:c r="J584" s="8" t="n">
        <x:v>1</x:v>
      </x:c>
      <x:c r="K584" s="9" t="n">
        <x:v>33.16</x:v>
      </x:c>
      <x:c r="L584" s="8" t="n">
        <x:v>100</x:v>
      </x:c>
      <x:c r="M584" s="10" t="n">
        <x:v>0</x:v>
      </x:c>
      <x:c r="N584" s="8" t="str">
        <x:v>a</x:v>
      </x:c>
      <x:c r="O584" s="8" t="n">
        <x:v>1</x:v>
      </x:c>
      <x:c r="P584" s="11" t="n">
        <x:f>MIN(X584,MAX(0,SUMIFS('Current inventory'!$D$2:$D$127,'Current inventory'!$A$2:$A$127,A584,'Current inventory'!$B$2:$B$127,B584)-SUMIFS($X$2:X583,$A$2:A583,A584,$B$2:B583,B584)))</x:f>
        <x:v>0</x:v>
      </x:c>
      <x:c r="Q584" s="1" t="str">
        <x:v>Higher cost</x:v>
      </x:c>
      <x:c r="R584" s="1" t="str">
        <x:v>updated receipts.csv</x:v>
      </x:c>
      <x:c r="S584" s="12" t="n">
        <x:f>IF(O584=1,I584*J584,0)</x:f>
        <x:v>40000</x:v>
      </x:c>
      <x:c r="T584" s="13" t="n">
        <x:f>IF(L584&gt;0,K584/L584,"n.a.")</x:f>
        <x:v>0.33159999999999995</x:v>
      </x:c>
      <x:c r="U584" s="12" t="n">
        <x:f>IF(Q584="Old cost",S584,0)</x:f>
        <x:v>0</x:v>
      </x:c>
      <x:c r="V584" s="12" t="n">
        <x:f>IF(Q584="Higher cost",S584,0)</x:f>
        <x:v>40000</x:v>
      </x:c>
      <x:c r="W584" s="12" t="n">
        <x:f>IF(Q584="Unclassified",S584,0)</x:f>
        <x:v>0</x:v>
      </x:c>
      <x:c r="X584" s="12" t="n">
        <x:f>IF(AND(ISNUMBER(F584),F584&gt;0,F584&lt;=Summary!$D$5,H584&gt;0),H584*J584,0)</x:f>
        <x:v>0</x:v>
      </x:c>
    </x:row>
    <x:row r="585" ht="21" customHeight="1">
      <x:c r="A585" s="1" t="str">
        <x:v>30</x:v>
      </x:c>
      <x:c r="B585" s="1" t="str">
        <x:v>800BNAVASC</x:v>
      </x:c>
      <x:c r="C585" s="1" t="str">
        <x:v>3003976</x:v>
      </x:c>
      <x:c r="D585" s="1" t="str">
        <x:v>0</x:v>
      </x:c>
      <x:c r="E585" s="1" t="str">
        <x:v>2</x:v>
      </x:c>
      <x:c r="F585" s="7"/>
      <x:c r="G585" s="7" t="n">
        <x:v>46409</x:v>
      </x:c>
      <x:c r="H585" s="8" t="n">
        <x:v>40000</x:v>
      </x:c>
      <x:c r="I585" s="8" t="n">
        <x:v>40000</x:v>
      </x:c>
      <x:c r="J585" s="8" t="n">
        <x:v>1</x:v>
      </x:c>
      <x:c r="K585" s="9" t="n">
        <x:v>15.08</x:v>
      </x:c>
      <x:c r="L585" s="8" t="n">
        <x:v>100</x:v>
      </x:c>
      <x:c r="M585" s="10" t="n">
        <x:v>0</x:v>
      </x:c>
      <x:c r="N585" s="8" t="str">
        <x:v>a</x:v>
      </x:c>
      <x:c r="O585" s="8" t="n">
        <x:v>1</x:v>
      </x:c>
      <x:c r="P585" s="11" t="n">
        <x:f>MIN(X585,MAX(0,SUMIFS('Current inventory'!$D$2:$D$127,'Current inventory'!$A$2:$A$127,A585,'Current inventory'!$B$2:$B$127,B585)-SUMIFS($X$2:X584,$A$2:A584,A585,$B$2:B584,B585)))</x:f>
        <x:v>0</x:v>
      </x:c>
      <x:c r="Q585" s="1" t="str">
        <x:v>Higher cost</x:v>
      </x:c>
      <x:c r="R585" s="1" t="str">
        <x:v>updated receipts.csv</x:v>
      </x:c>
      <x:c r="S585" s="12" t="n">
        <x:f>IF(O585=1,I585*J585,0)</x:f>
        <x:v>40000</x:v>
      </x:c>
      <x:c r="T585" s="13" t="n">
        <x:f>IF(L585&gt;0,K585/L585,"n.a.")</x:f>
        <x:v>0.1508</x:v>
      </x:c>
      <x:c r="U585" s="12" t="n">
        <x:f>IF(Q585="Old cost",S585,0)</x:f>
        <x:v>0</x:v>
      </x:c>
      <x:c r="V585" s="12" t="n">
        <x:f>IF(Q585="Higher cost",S585,0)</x:f>
        <x:v>40000</x:v>
      </x:c>
      <x:c r="W585" s="12" t="n">
        <x:f>IF(Q585="Unclassified",S585,0)</x:f>
        <x:v>0</x:v>
      </x:c>
      <x:c r="X585" s="12" t="n">
        <x:f>IF(AND(ISNUMBER(F585),F585&gt;0,F585&lt;=Summary!$D$5,H585&gt;0),H585*J585,0)</x:f>
        <x:v>0</x:v>
      </x:c>
    </x:row>
    <x:row r="586" ht="21" customHeight="1">
      <x:c r="A586" s="1" t="str">
        <x:v>30</x:v>
      </x:c>
      <x:c r="B586" s="1" t="str">
        <x:v>800BBLKASC</x:v>
      </x:c>
      <x:c r="C586" s="1" t="str">
        <x:v>3003963</x:v>
      </x:c>
      <x:c r="D586" s="1" t="str">
        <x:v>0</x:v>
      </x:c>
      <x:c r="E586" s="1" t="str">
        <x:v>1</x:v>
      </x:c>
      <x:c r="F586" s="7"/>
      <x:c r="G586" s="7" t="n">
        <x:v>46367</x:v>
      </x:c>
      <x:c r="H586" s="8" t="n">
        <x:v>240000</x:v>
      </x:c>
      <x:c r="I586" s="8" t="n">
        <x:v>240000</x:v>
      </x:c>
      <x:c r="J586" s="8" t="n">
        <x:v>1</x:v>
      </x:c>
      <x:c r="K586" s="9" t="n">
        <x:v>12.23</x:v>
      </x:c>
      <x:c r="L586" s="8" t="n">
        <x:v>100</x:v>
      </x:c>
      <x:c r="M586" s="10" t="n">
        <x:v>0</x:v>
      </x:c>
      <x:c r="N586" s="8" t="str">
        <x:v>a</x:v>
      </x:c>
      <x:c r="O586" s="8" t="n">
        <x:v>1</x:v>
      </x:c>
      <x:c r="P586" s="11" t="n">
        <x:f>MIN(X586,MAX(0,SUMIFS('Current inventory'!$D$2:$D$127,'Current inventory'!$A$2:$A$127,A586,'Current inventory'!$B$2:$B$127,B586)-SUMIFS($X$2:X585,$A$2:A585,A586,$B$2:B585,B586)))</x:f>
        <x:v>0</x:v>
      </x:c>
      <x:c r="Q586" s="1" t="str">
        <x:v>Higher cost</x:v>
      </x:c>
      <x:c r="R586" s="1" t="str">
        <x:v>updated receipts.csv</x:v>
      </x:c>
      <x:c r="S586" s="12" t="n">
        <x:f>IF(O586=1,I586*J586,0)</x:f>
        <x:v>240000</x:v>
      </x:c>
      <x:c r="T586" s="13" t="n">
        <x:f>IF(L586&gt;0,K586/L586,"n.a.")</x:f>
        <x:v>0.1223</x:v>
      </x:c>
      <x:c r="U586" s="12" t="n">
        <x:f>IF(Q586="Old cost",S586,0)</x:f>
        <x:v>0</x:v>
      </x:c>
      <x:c r="V586" s="12" t="n">
        <x:f>IF(Q586="Higher cost",S586,0)</x:f>
        <x:v>240000</x:v>
      </x:c>
      <x:c r="W586" s="12" t="n">
        <x:f>IF(Q586="Unclassified",S586,0)</x:f>
        <x:v>0</x:v>
      </x:c>
      <x:c r="X586" s="12" t="n">
        <x:f>IF(AND(ISNUMBER(F586),F586&gt;0,F586&lt;=Summary!$D$5,H586&gt;0),H586*J586,0)</x:f>
        <x:v>0</x:v>
      </x:c>
    </x:row>
    <x:row r="587" ht="21" customHeight="1">
      <x:c r="A587" s="1" t="str">
        <x:v>30</x:v>
      </x:c>
      <x:c r="B587" s="1" t="str">
        <x:v>800BBLKDSC</x:v>
      </x:c>
      <x:c r="C587" s="1" t="str">
        <x:v>3003963</x:v>
      </x:c>
      <x:c r="D587" s="1" t="str">
        <x:v>0</x:v>
      </x:c>
      <x:c r="E587" s="1" t="str">
        <x:v>3</x:v>
      </x:c>
      <x:c r="F587" s="7"/>
      <x:c r="G587" s="7" t="n">
        <x:v>46367</x:v>
      </x:c>
      <x:c r="H587" s="8" t="n">
        <x:v>40000</x:v>
      </x:c>
      <x:c r="I587" s="8" t="n">
        <x:v>40000</x:v>
      </x:c>
      <x:c r="J587" s="8" t="n">
        <x:v>1</x:v>
      </x:c>
      <x:c r="K587" s="9" t="n">
        <x:v>33.16</x:v>
      </x:c>
      <x:c r="L587" s="8" t="n">
        <x:v>100</x:v>
      </x:c>
      <x:c r="M587" s="10" t="n">
        <x:v>0</x:v>
      </x:c>
      <x:c r="N587" s="8" t="str">
        <x:v>a</x:v>
      </x:c>
      <x:c r="O587" s="8" t="n">
        <x:v>1</x:v>
      </x:c>
      <x:c r="P587" s="11" t="n">
        <x:f>MIN(X587,MAX(0,SUMIFS('Current inventory'!$D$2:$D$127,'Current inventory'!$A$2:$A$127,A587,'Current inventory'!$B$2:$B$127,B587)-SUMIFS($X$2:X586,$A$2:A586,A587,$B$2:B586,B587)))</x:f>
        <x:v>0</x:v>
      </x:c>
      <x:c r="Q587" s="1" t="str">
        <x:v>Higher cost</x:v>
      </x:c>
      <x:c r="R587" s="1" t="str">
        <x:v>updated receipts.csv</x:v>
      </x:c>
      <x:c r="S587" s="12" t="n">
        <x:f>IF(O587=1,I587*J587,0)</x:f>
        <x:v>40000</x:v>
      </x:c>
      <x:c r="T587" s="13" t="n">
        <x:f>IF(L587&gt;0,K587/L587,"n.a.")</x:f>
        <x:v>0.33159999999999995</x:v>
      </x:c>
      <x:c r="U587" s="12" t="n">
        <x:f>IF(Q587="Old cost",S587,0)</x:f>
        <x:v>0</x:v>
      </x:c>
      <x:c r="V587" s="12" t="n">
        <x:f>IF(Q587="Higher cost",S587,0)</x:f>
        <x:v>40000</x:v>
      </x:c>
      <x:c r="W587" s="12" t="n">
        <x:f>IF(Q587="Unclassified",S587,0)</x:f>
        <x:v>0</x:v>
      </x:c>
      <x:c r="X587" s="12" t="n">
        <x:f>IF(AND(ISNUMBER(F587),F587&gt;0,F587&lt;=Summary!$D$5,H587&gt;0),H587*J587,0)</x:f>
        <x:v>0</x:v>
      </x:c>
    </x:row>
    <x:row r="588" ht="21" customHeight="1">
      <x:c r="A588" s="1" t="str">
        <x:v>30</x:v>
      </x:c>
      <x:c r="B588" s="1" t="str">
        <x:v>800BNAVASC</x:v>
      </x:c>
      <x:c r="C588" s="1" t="str">
        <x:v>3003963</x:v>
      </x:c>
      <x:c r="D588" s="1" t="str">
        <x:v>0</x:v>
      </x:c>
      <x:c r="E588" s="1" t="str">
        <x:v>2</x:v>
      </x:c>
      <x:c r="F588" s="7"/>
      <x:c r="G588" s="7" t="n">
        <x:v>46367</x:v>
      </x:c>
      <x:c r="H588" s="8" t="n">
        <x:v>20000</x:v>
      </x:c>
      <x:c r="I588" s="8" t="n">
        <x:v>20000</x:v>
      </x:c>
      <x:c r="J588" s="8" t="n">
        <x:v>1</x:v>
      </x:c>
      <x:c r="K588" s="9" t="n">
        <x:v>15.08</x:v>
      </x:c>
      <x:c r="L588" s="8" t="n">
        <x:v>100</x:v>
      </x:c>
      <x:c r="M588" s="10" t="n">
        <x:v>0</x:v>
      </x:c>
      <x:c r="N588" s="8" t="str">
        <x:v>a</x:v>
      </x:c>
      <x:c r="O588" s="8" t="n">
        <x:v>1</x:v>
      </x:c>
      <x:c r="P588" s="11" t="n">
        <x:f>MIN(X588,MAX(0,SUMIFS('Current inventory'!$D$2:$D$127,'Current inventory'!$A$2:$A$127,A588,'Current inventory'!$B$2:$B$127,B588)-SUMIFS($X$2:X587,$A$2:A587,A588,$B$2:B587,B588)))</x:f>
        <x:v>0</x:v>
      </x:c>
      <x:c r="Q588" s="1" t="str">
        <x:v>Higher cost</x:v>
      </x:c>
      <x:c r="R588" s="1" t="str">
        <x:v>updated receipts.csv</x:v>
      </x:c>
      <x:c r="S588" s="12" t="n">
        <x:f>IF(O588=1,I588*J588,0)</x:f>
        <x:v>20000</x:v>
      </x:c>
      <x:c r="T588" s="13" t="n">
        <x:f>IF(L588&gt;0,K588/L588,"n.a.")</x:f>
        <x:v>0.1508</x:v>
      </x:c>
      <x:c r="U588" s="12" t="n">
        <x:f>IF(Q588="Old cost",S588,0)</x:f>
        <x:v>0</x:v>
      </x:c>
      <x:c r="V588" s="12" t="n">
        <x:f>IF(Q588="Higher cost",S588,0)</x:f>
        <x:v>20000</x:v>
      </x:c>
      <x:c r="W588" s="12" t="n">
        <x:f>IF(Q588="Unclassified",S588,0)</x:f>
        <x:v>0</x:v>
      </x:c>
      <x:c r="X588" s="12" t="n">
        <x:f>IF(AND(ISNUMBER(F588),F588&gt;0,F588&lt;=Summary!$D$5,H588&gt;0),H588*J588,0)</x:f>
        <x:v>0</x:v>
      </x:c>
    </x:row>
    <x:row r="589" ht="21" customHeight="1">
      <x:c r="A589" s="1" t="str">
        <x:v>30</x:v>
      </x:c>
      <x:c r="B589" s="1" t="str">
        <x:v>800BNAVASC</x:v>
      </x:c>
      <x:c r="C589" s="1" t="str">
        <x:v>3003939</x:v>
      </x:c>
      <x:c r="D589" s="1" t="str">
        <x:v>1</x:v>
      </x:c>
      <x:c r="E589" s="1" t="str">
        <x:v>2</x:v>
      </x:c>
      <x:c r="F589" s="7"/>
      <x:c r="G589" s="7" t="n">
        <x:v>46309</x:v>
      </x:c>
      <x:c r="H589" s="8" t="n">
        <x:v>20000</x:v>
      </x:c>
      <x:c r="I589" s="8" t="n">
        <x:v>20000</x:v>
      </x:c>
      <x:c r="J589" s="8" t="n">
        <x:v>1</x:v>
      </x:c>
      <x:c r="K589" s="9" t="n">
        <x:v>14.43</x:v>
      </x:c>
      <x:c r="L589" s="8" t="n">
        <x:v>100</x:v>
      </x:c>
      <x:c r="M589" s="10" t="n">
        <x:v>0</x:v>
      </x:c>
      <x:c r="N589" s="8" t="str">
        <x:v>a</x:v>
      </x:c>
      <x:c r="O589" s="8" t="n">
        <x:v>1</x:v>
      </x:c>
      <x:c r="P589" s="11" t="n">
        <x:f>MIN(X589,MAX(0,SUMIFS('Current inventory'!$D$2:$D$127,'Current inventory'!$A$2:$A$127,A589,'Current inventory'!$B$2:$B$127,B589)-SUMIFS($X$2:X588,$A$2:A588,A589,$B$2:B588,B589)))</x:f>
        <x:v>0</x:v>
      </x:c>
      <x:c r="Q589" s="1" t="str">
        <x:v>Old cost</x:v>
      </x:c>
      <x:c r="R589" s="1" t="str">
        <x:v>updated receipts.csv</x:v>
      </x:c>
      <x:c r="S589" s="12" t="n">
        <x:f>IF(O589=1,I589*J589,0)</x:f>
        <x:v>20000</x:v>
      </x:c>
      <x:c r="T589" s="13" t="n">
        <x:f>IF(L589&gt;0,K589/L589,"n.a.")</x:f>
        <x:v>0.14429999999999998</x:v>
      </x:c>
      <x:c r="U589" s="12" t="n">
        <x:f>IF(Q589="Old cost",S589,0)</x:f>
        <x:v>20000</x:v>
      </x:c>
      <x:c r="V589" s="12" t="n">
        <x:f>IF(Q589="Higher cost",S589,0)</x:f>
        <x:v>0</x:v>
      </x:c>
      <x:c r="W589" s="12" t="n">
        <x:f>IF(Q589="Unclassified",S589,0)</x:f>
        <x:v>0</x:v>
      </x:c>
      <x:c r="X589" s="12" t="n">
        <x:f>IF(AND(ISNUMBER(F589),F589&gt;0,F589&lt;=Summary!$D$5,H589&gt;0),H589*J589,0)</x:f>
        <x:v>0</x:v>
      </x:c>
    </x:row>
    <x:row r="590" ht="21" customHeight="1">
      <x:c r="A590" s="1" t="str">
        <x:v>10</x:v>
      </x:c>
      <x:c r="B590" s="1" t="str">
        <x:v>800BBLKASC</x:v>
      </x:c>
      <x:c r="C590" s="1" t="str">
        <x:v>1061432</x:v>
      </x:c>
      <x:c r="D590" s="1" t="str">
        <x:v>0</x:v>
      </x:c>
      <x:c r="E590" s="1" t="str">
        <x:v>1</x:v>
      </x:c>
      <x:c r="F590" s="7"/>
      <x:c r="G590" s="7" t="n">
        <x:v>46409</x:v>
      </x:c>
      <x:c r="H590" s="8" t="n">
        <x:v>360000</x:v>
      </x:c>
      <x:c r="I590" s="8" t="n">
        <x:v>360000</x:v>
      </x:c>
      <x:c r="J590" s="8" t="n">
        <x:v>1</x:v>
      </x:c>
      <x:c r="K590" s="9" t="n">
        <x:v>12.23</x:v>
      </x:c>
      <x:c r="L590" s="8" t="n">
        <x:v>100</x:v>
      </x:c>
      <x:c r="M590" s="10" t="n">
        <x:v>0</x:v>
      </x:c>
      <x:c r="N590" s="8" t="str">
        <x:v>a</x:v>
      </x:c>
      <x:c r="O590" s="8" t="n">
        <x:v>1</x:v>
      </x:c>
      <x:c r="P590" s="11" t="n">
        <x:f>MIN(X590,MAX(0,SUMIFS('Current inventory'!$D$2:$D$127,'Current inventory'!$A$2:$A$127,A590,'Current inventory'!$B$2:$B$127,B590)-SUMIFS($X$2:X589,$A$2:A589,A590,$B$2:B589,B590)))</x:f>
        <x:v>0</x:v>
      </x:c>
      <x:c r="Q590" s="1" t="str">
        <x:v>Higher cost</x:v>
      </x:c>
      <x:c r="R590" s="1" t="str">
        <x:v>updated receipts.csv</x:v>
      </x:c>
      <x:c r="S590" s="12" t="n">
        <x:f>IF(O590=1,I590*J590,0)</x:f>
        <x:v>360000</x:v>
      </x:c>
      <x:c r="T590" s="13" t="n">
        <x:f>IF(L590&gt;0,K590/L590,"n.a.")</x:f>
        <x:v>0.1223</x:v>
      </x:c>
      <x:c r="U590" s="12" t="n">
        <x:f>IF(Q590="Old cost",S590,0)</x:f>
        <x:v>0</x:v>
      </x:c>
      <x:c r="V590" s="12" t="n">
        <x:f>IF(Q590="Higher cost",S590,0)</x:f>
        <x:v>360000</x:v>
      </x:c>
      <x:c r="W590" s="12" t="n">
        <x:f>IF(Q590="Unclassified",S590,0)</x:f>
        <x:v>0</x:v>
      </x:c>
      <x:c r="X590" s="12" t="n">
        <x:f>IF(AND(ISNUMBER(F590),F590&gt;0,F590&lt;=Summary!$D$5,H590&gt;0),H590*J590,0)</x:f>
        <x:v>0</x:v>
      </x:c>
    </x:row>
    <x:row r="591" ht="21" customHeight="1">
      <x:c r="A591" s="1" t="str">
        <x:v>10</x:v>
      </x:c>
      <x:c r="B591" s="1" t="str">
        <x:v>800BBLKDSC</x:v>
      </x:c>
      <x:c r="C591" s="1" t="str">
        <x:v>1061432</x:v>
      </x:c>
      <x:c r="D591" s="1" t="str">
        <x:v>0</x:v>
      </x:c>
      <x:c r="E591" s="1" t="str">
        <x:v>3</x:v>
      </x:c>
      <x:c r="F591" s="7"/>
      <x:c r="G591" s="7" t="n">
        <x:v>46409</x:v>
      </x:c>
      <x:c r="H591" s="8" t="n">
        <x:v>40000</x:v>
      </x:c>
      <x:c r="I591" s="8" t="n">
        <x:v>40000</x:v>
      </x:c>
      <x:c r="J591" s="8" t="n">
        <x:v>1</x:v>
      </x:c>
      <x:c r="K591" s="9" t="n">
        <x:v>33.16</x:v>
      </x:c>
      <x:c r="L591" s="8" t="n">
        <x:v>100</x:v>
      </x:c>
      <x:c r="M591" s="10" t="n">
        <x:v>0</x:v>
      </x:c>
      <x:c r="N591" s="8" t="str">
        <x:v>a</x:v>
      </x:c>
      <x:c r="O591" s="8" t="n">
        <x:v>1</x:v>
      </x:c>
      <x:c r="P591" s="11" t="n">
        <x:f>MIN(X591,MAX(0,SUMIFS('Current inventory'!$D$2:$D$127,'Current inventory'!$A$2:$A$127,A591,'Current inventory'!$B$2:$B$127,B591)-SUMIFS($X$2:X590,$A$2:A590,A591,$B$2:B590,B591)))</x:f>
        <x:v>0</x:v>
      </x:c>
      <x:c r="Q591" s="1" t="str">
        <x:v>Higher cost</x:v>
      </x:c>
      <x:c r="R591" s="1" t="str">
        <x:v>updated receipts.csv</x:v>
      </x:c>
      <x:c r="S591" s="12" t="n">
        <x:f>IF(O591=1,I591*J591,0)</x:f>
        <x:v>40000</x:v>
      </x:c>
      <x:c r="T591" s="13" t="n">
        <x:f>IF(L591&gt;0,K591/L591,"n.a.")</x:f>
        <x:v>0.33159999999999995</x:v>
      </x:c>
      <x:c r="U591" s="12" t="n">
        <x:f>IF(Q591="Old cost",S591,0)</x:f>
        <x:v>0</x:v>
      </x:c>
      <x:c r="V591" s="12" t="n">
        <x:f>IF(Q591="Higher cost",S591,0)</x:f>
        <x:v>40000</x:v>
      </x:c>
      <x:c r="W591" s="12" t="n">
        <x:f>IF(Q591="Unclassified",S591,0)</x:f>
        <x:v>0</x:v>
      </x:c>
      <x:c r="X591" s="12" t="n">
        <x:f>IF(AND(ISNUMBER(F591),F591&gt;0,F591&lt;=Summary!$D$5,H591&gt;0),H591*J591,0)</x:f>
        <x:v>0</x:v>
      </x:c>
    </x:row>
    <x:row r="592" ht="21" customHeight="1">
      <x:c r="A592" s="1" t="str">
        <x:v>10</x:v>
      </x:c>
      <x:c r="B592" s="1" t="str">
        <x:v>800BNAVASC</x:v>
      </x:c>
      <x:c r="C592" s="1" t="str">
        <x:v>1061432</x:v>
      </x:c>
      <x:c r="D592" s="1" t="str">
        <x:v>0</x:v>
      </x:c>
      <x:c r="E592" s="1" t="str">
        <x:v>2</x:v>
      </x:c>
      <x:c r="F592" s="7"/>
      <x:c r="G592" s="7" t="n">
        <x:v>46409</x:v>
      </x:c>
      <x:c r="H592" s="8" t="n">
        <x:v>80000</x:v>
      </x:c>
      <x:c r="I592" s="8" t="n">
        <x:v>80000</x:v>
      </x:c>
      <x:c r="J592" s="8" t="n">
        <x:v>1</x:v>
      </x:c>
      <x:c r="K592" s="9" t="n">
        <x:v>15.08</x:v>
      </x:c>
      <x:c r="L592" s="8" t="n">
        <x:v>100</x:v>
      </x:c>
      <x:c r="M592" s="10" t="n">
        <x:v>0</x:v>
      </x:c>
      <x:c r="N592" s="8" t="str">
        <x:v>a</x:v>
      </x:c>
      <x:c r="O592" s="8" t="n">
        <x:v>1</x:v>
      </x:c>
      <x:c r="P592" s="11" t="n">
        <x:f>MIN(X592,MAX(0,SUMIFS('Current inventory'!$D$2:$D$127,'Current inventory'!$A$2:$A$127,A592,'Current inventory'!$B$2:$B$127,B592)-SUMIFS($X$2:X591,$A$2:A591,A592,$B$2:B591,B592)))</x:f>
        <x:v>0</x:v>
      </x:c>
      <x:c r="Q592" s="1" t="str">
        <x:v>Higher cost</x:v>
      </x:c>
      <x:c r="R592" s="1" t="str">
        <x:v>updated receipts.csv</x:v>
      </x:c>
      <x:c r="S592" s="12" t="n">
        <x:f>IF(O592=1,I592*J592,0)</x:f>
        <x:v>80000</x:v>
      </x:c>
      <x:c r="T592" s="13" t="n">
        <x:f>IF(L592&gt;0,K592/L592,"n.a.")</x:f>
        <x:v>0.1508</x:v>
      </x:c>
      <x:c r="U592" s="12" t="n">
        <x:f>IF(Q592="Old cost",S592,0)</x:f>
        <x:v>0</x:v>
      </x:c>
      <x:c r="V592" s="12" t="n">
        <x:f>IF(Q592="Higher cost",S592,0)</x:f>
        <x:v>80000</x:v>
      </x:c>
      <x:c r="W592" s="12" t="n">
        <x:f>IF(Q592="Unclassified",S592,0)</x:f>
        <x:v>0</x:v>
      </x:c>
      <x:c r="X592" s="12" t="n">
        <x:f>IF(AND(ISNUMBER(F592),F592&gt;0,F592&lt;=Summary!$D$5,H592&gt;0),H592*J592,0)</x:f>
        <x:v>0</x:v>
      </x:c>
    </x:row>
    <x:row r="593" ht="21" customHeight="1">
      <x:c r="A593" s="1" t="str">
        <x:v>10</x:v>
      </x:c>
      <x:c r="B593" s="1" t="str">
        <x:v>800BBLKASC</x:v>
      </x:c>
      <x:c r="C593" s="1" t="str">
        <x:v>1061146</x:v>
      </x:c>
      <x:c r="D593" s="1" t="str">
        <x:v>0</x:v>
      </x:c>
      <x:c r="E593" s="1" t="str">
        <x:v>1</x:v>
      </x:c>
      <x:c r="F593" s="7"/>
      <x:c r="G593" s="7" t="n">
        <x:v>46367</x:v>
      </x:c>
      <x:c r="H593" s="8" t="n">
        <x:v>360000</x:v>
      </x:c>
      <x:c r="I593" s="8" t="n">
        <x:v>360000</x:v>
      </x:c>
      <x:c r="J593" s="8" t="n">
        <x:v>1</x:v>
      </x:c>
      <x:c r="K593" s="9" t="n">
        <x:v>12.23</x:v>
      </x:c>
      <x:c r="L593" s="8" t="n">
        <x:v>100</x:v>
      </x:c>
      <x:c r="M593" s="10" t="n">
        <x:v>0</x:v>
      </x:c>
      <x:c r="N593" s="8" t="str">
        <x:v>a</x:v>
      </x:c>
      <x:c r="O593" s="8" t="n">
        <x:v>1</x:v>
      </x:c>
      <x:c r="P593" s="11" t="n">
        <x:f>MIN(X593,MAX(0,SUMIFS('Current inventory'!$D$2:$D$127,'Current inventory'!$A$2:$A$127,A593,'Current inventory'!$B$2:$B$127,B593)-SUMIFS($X$2:X592,$A$2:A592,A593,$B$2:B592,B593)))</x:f>
        <x:v>0</x:v>
      </x:c>
      <x:c r="Q593" s="1" t="str">
        <x:v>Higher cost</x:v>
      </x:c>
      <x:c r="R593" s="1" t="str">
        <x:v>updated receipts.csv</x:v>
      </x:c>
      <x:c r="S593" s="12" t="n">
        <x:f>IF(O593=1,I593*J593,0)</x:f>
        <x:v>360000</x:v>
      </x:c>
      <x:c r="T593" s="13" t="n">
        <x:f>IF(L593&gt;0,K593/L593,"n.a.")</x:f>
        <x:v>0.1223</x:v>
      </x:c>
      <x:c r="U593" s="12" t="n">
        <x:f>IF(Q593="Old cost",S593,0)</x:f>
        <x:v>0</x:v>
      </x:c>
      <x:c r="V593" s="12" t="n">
        <x:f>IF(Q593="Higher cost",S593,0)</x:f>
        <x:v>360000</x:v>
      </x:c>
      <x:c r="W593" s="12" t="n">
        <x:f>IF(Q593="Unclassified",S593,0)</x:f>
        <x:v>0</x:v>
      </x:c>
      <x:c r="X593" s="12" t="n">
        <x:f>IF(AND(ISNUMBER(F593),F593&gt;0,F593&lt;=Summary!$D$5,H593&gt;0),H593*J593,0)</x:f>
        <x:v>0</x:v>
      </x:c>
    </x:row>
    <x:row r="594" ht="21" customHeight="1">
      <x:c r="A594" s="1" t="str">
        <x:v>10</x:v>
      </x:c>
      <x:c r="B594" s="1" t="str">
        <x:v>800BBLKDSC</x:v>
      </x:c>
      <x:c r="C594" s="1" t="str">
        <x:v>1061146</x:v>
      </x:c>
      <x:c r="D594" s="1" t="str">
        <x:v>0</x:v>
      </x:c>
      <x:c r="E594" s="1" t="str">
        <x:v>4</x:v>
      </x:c>
      <x:c r="F594" s="7"/>
      <x:c r="G594" s="7" t="n">
        <x:v>46367</x:v>
      </x:c>
      <x:c r="H594" s="8" t="n">
        <x:v>40000</x:v>
      </x:c>
      <x:c r="I594" s="8" t="n">
        <x:v>40000</x:v>
      </x:c>
      <x:c r="J594" s="8" t="n">
        <x:v>1</x:v>
      </x:c>
      <x:c r="K594" s="9" t="n">
        <x:v>33.16</x:v>
      </x:c>
      <x:c r="L594" s="8" t="n">
        <x:v>100</x:v>
      </x:c>
      <x:c r="M594" s="10" t="n">
        <x:v>0</x:v>
      </x:c>
      <x:c r="N594" s="8" t="str">
        <x:v>a</x:v>
      </x:c>
      <x:c r="O594" s="8" t="n">
        <x:v>1</x:v>
      </x:c>
      <x:c r="P594" s="11" t="n">
        <x:f>MIN(X594,MAX(0,SUMIFS('Current inventory'!$D$2:$D$127,'Current inventory'!$A$2:$A$127,A594,'Current inventory'!$B$2:$B$127,B594)-SUMIFS($X$2:X593,$A$2:A593,A594,$B$2:B593,B594)))</x:f>
        <x:v>0</x:v>
      </x:c>
      <x:c r="Q594" s="1" t="str">
        <x:v>Higher cost</x:v>
      </x:c>
      <x:c r="R594" s="1" t="str">
        <x:v>updated receipts.csv</x:v>
      </x:c>
      <x:c r="S594" s="12" t="n">
        <x:f>IF(O594=1,I594*J594,0)</x:f>
        <x:v>40000</x:v>
      </x:c>
      <x:c r="T594" s="13" t="n">
        <x:f>IF(L594&gt;0,K594/L594,"n.a.")</x:f>
        <x:v>0.33159999999999995</x:v>
      </x:c>
      <x:c r="U594" s="12" t="n">
        <x:f>IF(Q594="Old cost",S594,0)</x:f>
        <x:v>0</x:v>
      </x:c>
      <x:c r="V594" s="12" t="n">
        <x:f>IF(Q594="Higher cost",S594,0)</x:f>
        <x:v>40000</x:v>
      </x:c>
      <x:c r="W594" s="12" t="n">
        <x:f>IF(Q594="Unclassified",S594,0)</x:f>
        <x:v>0</x:v>
      </x:c>
      <x:c r="X594" s="12" t="n">
        <x:f>IF(AND(ISNUMBER(F594),F594&gt;0,F594&lt;=Summary!$D$5,H594&gt;0),H594*J594,0)</x:f>
        <x:v>0</x:v>
      </x:c>
    </x:row>
    <x:row r="595" ht="21" customHeight="1">
      <x:c r="A595" s="1" t="str">
        <x:v>10</x:v>
      </x:c>
      <x:c r="B595" s="1" t="str">
        <x:v>800BMARASC</x:v>
      </x:c>
      <x:c r="C595" s="1" t="str">
        <x:v>1061146</x:v>
      </x:c>
      <x:c r="D595" s="1" t="str">
        <x:v>0</x:v>
      </x:c>
      <x:c r="E595" s="1" t="str">
        <x:v>2</x:v>
      </x:c>
      <x:c r="F595" s="7"/>
      <x:c r="G595" s="7" t="n">
        <x:v>46367</x:v>
      </x:c>
      <x:c r="H595" s="8" t="n">
        <x:v>20000</x:v>
      </x:c>
      <x:c r="I595" s="8" t="n">
        <x:v>20000</x:v>
      </x:c>
      <x:c r="J595" s="8" t="n">
        <x:v>1</x:v>
      </x:c>
      <x:c r="K595" s="9" t="n">
        <x:v>15.9</x:v>
      </x:c>
      <x:c r="L595" s="8" t="n">
        <x:v>100</x:v>
      </x:c>
      <x:c r="M595" s="10" t="n">
        <x:v>0</x:v>
      </x:c>
      <x:c r="N595" s="8" t="str">
        <x:v>a</x:v>
      </x:c>
      <x:c r="O595" s="8" t="n">
        <x:v>1</x:v>
      </x:c>
      <x:c r="P595" s="11" t="n">
        <x:f>MIN(X595,MAX(0,SUMIFS('Current inventory'!$D$2:$D$127,'Current inventory'!$A$2:$A$127,A595,'Current inventory'!$B$2:$B$127,B595)-SUMIFS($X$2:X594,$A$2:A594,A595,$B$2:B594,B595)))</x:f>
        <x:v>0</x:v>
      </x:c>
      <x:c r="Q595" s="1" t="str">
        <x:v>Higher cost</x:v>
      </x:c>
      <x:c r="R595" s="1" t="str">
        <x:v>updated receipts.csv</x:v>
      </x:c>
      <x:c r="S595" s="12" t="n">
        <x:f>IF(O595=1,I595*J595,0)</x:f>
        <x:v>20000</x:v>
      </x:c>
      <x:c r="T595" s="13" t="n">
        <x:f>IF(L595&gt;0,K595/L595,"n.a.")</x:f>
        <x:v>0.159</x:v>
      </x:c>
      <x:c r="U595" s="12" t="n">
        <x:f>IF(Q595="Old cost",S595,0)</x:f>
        <x:v>0</x:v>
      </x:c>
      <x:c r="V595" s="12" t="n">
        <x:f>IF(Q595="Higher cost",S595,0)</x:f>
        <x:v>20000</x:v>
      </x:c>
      <x:c r="W595" s="12" t="n">
        <x:f>IF(Q595="Unclassified",S595,0)</x:f>
        <x:v>0</x:v>
      </x:c>
      <x:c r="X595" s="12" t="n">
        <x:f>IF(AND(ISNUMBER(F595),F595&gt;0,F595&lt;=Summary!$D$5,H595&gt;0),H595*J595,0)</x:f>
        <x:v>0</x:v>
      </x:c>
    </x:row>
    <x:row r="596" ht="21" customHeight="1">
      <x:c r="A596" s="1" t="str">
        <x:v>10</x:v>
      </x:c>
      <x:c r="B596" s="1" t="str">
        <x:v>800BNAVASC</x:v>
      </x:c>
      <x:c r="C596" s="1" t="str">
        <x:v>1061146</x:v>
      </x:c>
      <x:c r="D596" s="1" t="str">
        <x:v>0</x:v>
      </x:c>
      <x:c r="E596" s="1" t="str">
        <x:v>3</x:v>
      </x:c>
      <x:c r="F596" s="7"/>
      <x:c r="G596" s="7" t="n">
        <x:v>46367</x:v>
      </x:c>
      <x:c r="H596" s="8" t="n">
        <x:v>50000</x:v>
      </x:c>
      <x:c r="I596" s="8" t="n">
        <x:v>50000</x:v>
      </x:c>
      <x:c r="J596" s="8" t="n">
        <x:v>1</x:v>
      </x:c>
      <x:c r="K596" s="9" t="n">
        <x:v>15.08</x:v>
      </x:c>
      <x:c r="L596" s="8" t="n">
        <x:v>100</x:v>
      </x:c>
      <x:c r="M596" s="10" t="n">
        <x:v>0</x:v>
      </x:c>
      <x:c r="N596" s="8" t="str">
        <x:v>a</x:v>
      </x:c>
      <x:c r="O596" s="8" t="n">
        <x:v>1</x:v>
      </x:c>
      <x:c r="P596" s="11" t="n">
        <x:f>MIN(X596,MAX(0,SUMIFS('Current inventory'!$D$2:$D$127,'Current inventory'!$A$2:$A$127,A596,'Current inventory'!$B$2:$B$127,B596)-SUMIFS($X$2:X595,$A$2:A595,A596,$B$2:B595,B596)))</x:f>
        <x:v>0</x:v>
      </x:c>
      <x:c r="Q596" s="1" t="str">
        <x:v>Higher cost</x:v>
      </x:c>
      <x:c r="R596" s="1" t="str">
        <x:v>updated receipts.csv</x:v>
      </x:c>
      <x:c r="S596" s="12" t="n">
        <x:f>IF(O596=1,I596*J596,0)</x:f>
        <x:v>50000</x:v>
      </x:c>
      <x:c r="T596" s="13" t="n">
        <x:f>IF(L596&gt;0,K596/L596,"n.a.")</x:f>
        <x:v>0.1508</x:v>
      </x:c>
      <x:c r="U596" s="12" t="n">
        <x:f>IF(Q596="Old cost",S596,0)</x:f>
        <x:v>0</x:v>
      </x:c>
      <x:c r="V596" s="12" t="n">
        <x:f>IF(Q596="Higher cost",S596,0)</x:f>
        <x:v>50000</x:v>
      </x:c>
      <x:c r="W596" s="12" t="n">
        <x:f>IF(Q596="Unclassified",S596,0)</x:f>
        <x:v>0</x:v>
      </x:c>
      <x:c r="X596" s="12" t="n">
        <x:f>IF(AND(ISNUMBER(F596),F596&gt;0,F596&lt;=Summary!$D$5,H596&gt;0),H596*J596,0)</x:f>
        <x:v>0</x:v>
      </x:c>
    </x:row>
    <x:row r="597" ht="21" customHeight="1">
      <x:c r="A597" s="1" t="str">
        <x:v>10</x:v>
      </x:c>
      <x:c r="B597" s="1" t="str">
        <x:v>800MARE</x:v>
      </x:c>
      <x:c r="C597" s="1" t="str">
        <x:v>1061146</x:v>
      </x:c>
      <x:c r="D597" s="1" t="str">
        <x:v>0</x:v>
      </x:c>
      <x:c r="E597" s="1" t="str">
        <x:v>5</x:v>
      </x:c>
      <x:c r="F597" s="7"/>
      <x:c r="G597" s="7" t="n">
        <x:v>46367</x:v>
      </x:c>
      <x:c r="H597" s="8" t="n">
        <x:v>2500</x:v>
      </x:c>
      <x:c r="I597" s="8" t="n">
        <x:v>2500</x:v>
      </x:c>
      <x:c r="J597" s="8" t="n">
        <x:v>1</x:v>
      </x:c>
      <x:c r="K597" s="9" t="n">
        <x:v>1285.1</x:v>
      </x:c>
      <x:c r="L597" s="8" t="n">
        <x:v>1000</x:v>
      </x:c>
      <x:c r="M597" s="10" t="n">
        <x:v>0</x:v>
      </x:c>
      <x:c r="N597" s="8" t="str">
        <x:v>a</x:v>
      </x:c>
      <x:c r="O597" s="8" t="n">
        <x:v>1</x:v>
      </x:c>
      <x:c r="P597" s="11" t="n">
        <x:f>MIN(X597,MAX(0,SUMIFS('Current inventory'!$D$2:$D$127,'Current inventory'!$A$2:$A$127,A597,'Current inventory'!$B$2:$B$127,B597)-SUMIFS($X$2:X596,$A$2:A596,A597,$B$2:B596,B597)))</x:f>
        <x:v>0</x:v>
      </x:c>
      <x:c r="Q597" s="1" t="str">
        <x:v>Higher cost</x:v>
      </x:c>
      <x:c r="R597" s="1" t="str">
        <x:v>updated receipts.csv</x:v>
      </x:c>
      <x:c r="S597" s="12" t="n">
        <x:f>IF(O597=1,I597*J597,0)</x:f>
        <x:v>2500</x:v>
      </x:c>
      <x:c r="T597" s="13" t="n">
        <x:f>IF(L597&gt;0,K597/L597,"n.a.")</x:f>
        <x:v>1.2851</x:v>
      </x:c>
      <x:c r="U597" s="12" t="n">
        <x:f>IF(Q597="Old cost",S597,0)</x:f>
        <x:v>0</x:v>
      </x:c>
      <x:c r="V597" s="12" t="n">
        <x:f>IF(Q597="Higher cost",S597,0)</x:f>
        <x:v>2500</x:v>
      </x:c>
      <x:c r="W597" s="12" t="n">
        <x:f>IF(Q597="Unclassified",S597,0)</x:f>
        <x:v>0</x:v>
      </x:c>
      <x:c r="X597" s="12" t="n">
        <x:f>IF(AND(ISNUMBER(F597),F597&gt;0,F597&lt;=Summary!$D$5,H597&gt;0),H597*J597,0)</x:f>
        <x:v>0</x:v>
      </x:c>
    </x:row>
    <x:row r="598" ht="21" customHeight="1">
      <x:c r="A598" s="1" t="str">
        <x:v>10</x:v>
      </x:c>
      <x:c r="B598" s="1" t="str">
        <x:v>800NAVE</x:v>
      </x:c>
      <x:c r="C598" s="1" t="str">
        <x:v>1061146</x:v>
      </x:c>
      <x:c r="D598" s="1" t="str">
        <x:v>0</x:v>
      </x:c>
      <x:c r="E598" s="1" t="str">
        <x:v>6</x:v>
      </x:c>
      <x:c r="F598" s="7"/>
      <x:c r="G598" s="7" t="n">
        <x:v>46367</x:v>
      </x:c>
      <x:c r="H598" s="8" t="n">
        <x:v>10000</x:v>
      </x:c>
      <x:c r="I598" s="8" t="n">
        <x:v>10000</x:v>
      </x:c>
      <x:c r="J598" s="8" t="n">
        <x:v>1</x:v>
      </x:c>
      <x:c r="K598" s="9" t="n">
        <x:v>1038.3</x:v>
      </x:c>
      <x:c r="L598" s="8" t="n">
        <x:v>1000</x:v>
      </x:c>
      <x:c r="M598" s="10" t="n">
        <x:v>0</x:v>
      </x:c>
      <x:c r="N598" s="8" t="str">
        <x:v>a</x:v>
      </x:c>
      <x:c r="O598" s="8" t="n">
        <x:v>1</x:v>
      </x:c>
      <x:c r="P598" s="11" t="n">
        <x:f>MIN(X598,MAX(0,SUMIFS('Current inventory'!$D$2:$D$127,'Current inventory'!$A$2:$A$127,A598,'Current inventory'!$B$2:$B$127,B598)-SUMIFS($X$2:X597,$A$2:A597,A598,$B$2:B597,B598)))</x:f>
        <x:v>0</x:v>
      </x:c>
      <x:c r="Q598" s="1" t="str">
        <x:v>Higher cost</x:v>
      </x:c>
      <x:c r="R598" s="1" t="str">
        <x:v>updated receipts.csv</x:v>
      </x:c>
      <x:c r="S598" s="12" t="n">
        <x:f>IF(O598=1,I598*J598,0)</x:f>
        <x:v>10000</x:v>
      </x:c>
      <x:c r="T598" s="13" t="n">
        <x:f>IF(L598&gt;0,K598/L598,"n.a.")</x:f>
        <x:v>1.0383</x:v>
      </x:c>
      <x:c r="U598" s="12" t="n">
        <x:f>IF(Q598="Old cost",S598,0)</x:f>
        <x:v>0</x:v>
      </x:c>
      <x:c r="V598" s="12" t="n">
        <x:f>IF(Q598="Higher cost",S598,0)</x:f>
        <x:v>10000</x:v>
      </x:c>
      <x:c r="W598" s="12" t="n">
        <x:f>IF(Q598="Unclassified",S598,0)</x:f>
        <x:v>0</x:v>
      </x:c>
      <x:c r="X598" s="12" t="n">
        <x:f>IF(AND(ISNUMBER(F598),F598&gt;0,F598&lt;=Summary!$D$5,H598&gt;0),H598*J598,0)</x:f>
        <x:v>0</x:v>
      </x:c>
    </x:row>
    <x:row r="599" ht="21" customHeight="1">
      <x:c r="A599" s="1" t="str">
        <x:v>10</x:v>
      </x:c>
      <x:c r="B599" s="1" t="str">
        <x:v>800BNAVASC</x:v>
      </x:c>
      <x:c r="C599" s="1" t="str">
        <x:v>1060702</x:v>
      </x:c>
      <x:c r="D599" s="1" t="str">
        <x:v>2</x:v>
      </x:c>
      <x:c r="E599" s="1" t="str">
        <x:v>2</x:v>
      </x:c>
      <x:c r="F599" s="7"/>
      <x:c r="G599" s="7" t="n">
        <x:v>46325</x:v>
      </x:c>
      <x:c r="H599" s="8" t="n">
        <x:v>60000</x:v>
      </x:c>
      <x:c r="I599" s="8" t="n">
        <x:v>60000</x:v>
      </x:c>
      <x:c r="J599" s="8" t="n">
        <x:v>1</x:v>
      </x:c>
      <x:c r="K599" s="9" t="n">
        <x:v>14.43</x:v>
      </x:c>
      <x:c r="L599" s="8" t="n">
        <x:v>100</x:v>
      </x:c>
      <x:c r="M599" s="10" t="n">
        <x:v>0</x:v>
      </x:c>
      <x:c r="N599" s="8" t="str">
        <x:v>a</x:v>
      </x:c>
      <x:c r="O599" s="8" t="n">
        <x:v>1</x:v>
      </x:c>
      <x:c r="P599" s="11" t="n">
        <x:f>MIN(X599,MAX(0,SUMIFS('Current inventory'!$D$2:$D$127,'Current inventory'!$A$2:$A$127,A599,'Current inventory'!$B$2:$B$127,B599)-SUMIFS($X$2:X598,$A$2:A598,A599,$B$2:B598,B599)))</x:f>
        <x:v>0</x:v>
      </x:c>
      <x:c r="Q599" s="1" t="str">
        <x:v>Old cost</x:v>
      </x:c>
      <x:c r="R599" s="1" t="str">
        <x:v>updated receipts.csv</x:v>
      </x:c>
      <x:c r="S599" s="12" t="n">
        <x:f>IF(O599=1,I599*J599,0)</x:f>
        <x:v>60000</x:v>
      </x:c>
      <x:c r="T599" s="13" t="n">
        <x:f>IF(L599&gt;0,K599/L599,"n.a.")</x:f>
        <x:v>0.14429999999999998</x:v>
      </x:c>
      <x:c r="U599" s="12" t="n">
        <x:f>IF(Q599="Old cost",S599,0)</x:f>
        <x:v>60000</x:v>
      </x:c>
      <x:c r="V599" s="12" t="n">
        <x:f>IF(Q599="Higher cost",S599,0)</x:f>
        <x:v>0</x:v>
      </x:c>
      <x:c r="W599" s="12" t="n">
        <x:f>IF(Q599="Unclassified",S599,0)</x:f>
        <x:v>0</x:v>
      </x:c>
      <x:c r="X599" s="12" t="n">
        <x:f>IF(AND(ISNUMBER(F599),F599&gt;0,F599&lt;=Summary!$D$5,H599&gt;0),H599*J599,0)</x:f>
        <x:v>0</x:v>
      </x:c>
    </x:row>
    <x:row r="600" ht="21" customHeight="1">
      <x:c r="A600" s="1" t="str">
        <x:v>10</x:v>
      </x:c>
      <x:c r="B600" s="1" t="str">
        <x:v>800NAVE</x:v>
      </x:c>
      <x:c r="C600" s="1" t="str">
        <x:v>1060702</x:v>
      </x:c>
      <x:c r="D600" s="1" t="str">
        <x:v>2</x:v>
      </x:c>
      <x:c r="E600" s="1" t="str">
        <x:v>4</x:v>
      </x:c>
      <x:c r="F600" s="7"/>
      <x:c r="G600" s="7" t="n">
        <x:v>46325</x:v>
      </x:c>
      <x:c r="H600" s="8" t="n">
        <x:v>150</x:v>
      </x:c>
      <x:c r="I600" s="8" t="n">
        <x:v>150</x:v>
      </x:c>
      <x:c r="J600" s="8" t="n">
        <x:v>1</x:v>
      </x:c>
      <x:c r="K600" s="9" t="n">
        <x:v>993.6</x:v>
      </x:c>
      <x:c r="L600" s="8" t="n">
        <x:v>1000</x:v>
      </x:c>
      <x:c r="M600" s="10" t="n">
        <x:v>0</x:v>
      </x:c>
      <x:c r="N600" s="8" t="str">
        <x:v>a</x:v>
      </x:c>
      <x:c r="O600" s="8" t="n">
        <x:v>1</x:v>
      </x:c>
      <x:c r="P600" s="11" t="n">
        <x:f>MIN(X600,MAX(0,SUMIFS('Current inventory'!$D$2:$D$127,'Current inventory'!$A$2:$A$127,A600,'Current inventory'!$B$2:$B$127,B600)-SUMIFS($X$2:X599,$A$2:A599,A600,$B$2:B599,B600)))</x:f>
        <x:v>0</x:v>
      </x:c>
      <x:c r="Q600" s="1" t="str">
        <x:v>Old cost</x:v>
      </x:c>
      <x:c r="R600" s="1" t="str">
        <x:v>updated receipts.csv</x:v>
      </x:c>
      <x:c r="S600" s="12" t="n">
        <x:f>IF(O600=1,I600*J600,0)</x:f>
        <x:v>150</x:v>
      </x:c>
      <x:c r="T600" s="13" t="n">
        <x:f>IF(L600&gt;0,K600/L600,"n.a.")</x:f>
        <x:v>0.9936</x:v>
      </x:c>
      <x:c r="U600" s="12" t="n">
        <x:f>IF(Q600="Old cost",S600,0)</x:f>
        <x:v>150</x:v>
      </x:c>
      <x:c r="V600" s="12" t="n">
        <x:f>IF(Q600="Higher cost",S600,0)</x:f>
        <x:v>0</x:v>
      </x:c>
      <x:c r="W600" s="12" t="n">
        <x:f>IF(Q600="Unclassified",S600,0)</x:f>
        <x:v>0</x:v>
      </x:c>
      <x:c r="X600" s="12" t="n">
        <x:f>IF(AND(ISNUMBER(F600),F600&gt;0,F600&lt;=Summary!$D$5,H600&gt;0),H600*J600,0)</x:f>
        <x:v>0</x:v>
      </x:c>
    </x:row>
    <x:row r="601" ht="21" customHeight="1">
      <x:c r="A601" s="1" t="str">
        <x:v>10</x:v>
      </x:c>
      <x:c r="B601" s="1" t="str">
        <x:v>800BNAVASC</x:v>
      </x:c>
      <x:c r="C601" s="1" t="str">
        <x:v>1060416</x:v>
      </x:c>
      <x:c r="D601" s="1" t="str">
        <x:v>3</x:v>
      </x:c>
      <x:c r="E601" s="1" t="str">
        <x:v>2</x:v>
      </x:c>
      <x:c r="F601" s="7"/>
      <x:c r="G601" s="7" t="n">
        <x:v>46325</x:v>
      </x:c>
      <x:c r="H601" s="8" t="n">
        <x:v>60000</x:v>
      </x:c>
      <x:c r="I601" s="8" t="n">
        <x:v>60000</x:v>
      </x:c>
      <x:c r="J601" s="8" t="n">
        <x:v>1</x:v>
      </x:c>
      <x:c r="K601" s="9" t="n">
        <x:v>14.43</x:v>
      </x:c>
      <x:c r="L601" s="8" t="n">
        <x:v>100</x:v>
      </x:c>
      <x:c r="M601" s="10" t="n">
        <x:v>0</x:v>
      </x:c>
      <x:c r="N601" s="8" t="str">
        <x:v>a</x:v>
      </x:c>
      <x:c r="O601" s="8" t="n">
        <x:v>1</x:v>
      </x:c>
      <x:c r="P601" s="11" t="n">
        <x:f>MIN(X601,MAX(0,SUMIFS('Current inventory'!$D$2:$D$127,'Current inventory'!$A$2:$A$127,A601,'Current inventory'!$B$2:$B$127,B601)-SUMIFS($X$2:X600,$A$2:A600,A601,$B$2:B600,B601)))</x:f>
        <x:v>0</x:v>
      </x:c>
      <x:c r="Q601" s="1" t="str">
        <x:v>Old cost</x:v>
      </x:c>
      <x:c r="R601" s="1" t="str">
        <x:v>updated receipts.csv</x:v>
      </x:c>
      <x:c r="S601" s="12" t="n">
        <x:f>IF(O601=1,I601*J601,0)</x:f>
        <x:v>60000</x:v>
      </x:c>
      <x:c r="T601" s="13" t="n">
        <x:f>IF(L601&gt;0,K601/L601,"n.a.")</x:f>
        <x:v>0.14429999999999998</x:v>
      </x:c>
      <x:c r="U601" s="12" t="n">
        <x:f>IF(Q601="Old cost",S601,0)</x:f>
        <x:v>60000</x:v>
      </x:c>
      <x:c r="V601" s="12" t="n">
        <x:f>IF(Q601="Higher cost",S601,0)</x:f>
        <x:v>0</x:v>
      </x:c>
      <x:c r="W601" s="12" t="n">
        <x:f>IF(Q601="Unclassified",S601,0)</x:f>
        <x:v>0</x:v>
      </x:c>
      <x:c r="X601" s="12" t="n">
        <x:f>IF(AND(ISNUMBER(F601),F601&gt;0,F601&lt;=Summary!$D$5,H601&gt;0),H601*J601,0)</x:f>
        <x:v>0</x:v>
      </x:c>
    </x:row>
    <x:row r="602" ht="21" customHeight="1">
      <x:c r="A602" s="1" t="str">
        <x:v>10</x:v>
      </x:c>
      <x:c r="B602" s="1" t="str">
        <x:v>800BBLKASC</x:v>
      </x:c>
      <x:c r="C602" s="1" t="str">
        <x:v>1057171</x:v>
      </x:c>
      <x:c r="D602" s="1" t="str">
        <x:v>0</x:v>
      </x:c>
      <x:c r="E602" s="1" t="str">
        <x:v>1</x:v>
      </x:c>
      <x:c r="F602" s="7"/>
      <x:c r="G602" s="7" t="n">
        <x:v>45373</x:v>
      </x:c>
      <x:c r="H602" s="8" t="n">
        <x:v>320000</x:v>
      </x:c>
      <x:c r="I602" s="8" t="n">
        <x:v>320000</x:v>
      </x:c>
      <x:c r="J602" s="8" t="n">
        <x:v>1</x:v>
      </x:c>
      <x:c r="K602" s="9" t="n">
        <x:v>10.5</x:v>
      </x:c>
      <x:c r="L602" s="8" t="n">
        <x:v>100</x:v>
      </x:c>
      <x:c r="M602" s="10" t="n">
        <x:v>0</x:v>
      </x:c>
      <x:c r="N602" s="8" t="str">
        <x:v>c</x:v>
      </x:c>
      <x:c r="O602" s="8" t="n">
        <x:v>0</x:v>
      </x:c>
      <x:c r="P602" s="11" t="n">
        <x:f>MIN(X602,MAX(0,SUMIFS('Current inventory'!$D$2:$D$127,'Current inventory'!$A$2:$A$127,A602,'Current inventory'!$B$2:$B$127,B602)-SUMIFS($X$2:X601,$A$2:A601,A602,$B$2:B601,B602)))</x:f>
        <x:v>0</x:v>
      </x:c>
      <x:c r="Q602" s="1" t="str">
        <x:v>Excluded: not active</x:v>
      </x:c>
      <x:c r="R602" s="1" t="str">
        <x:v>updated receipts.csv</x:v>
      </x:c>
      <x:c r="S602" s="12" t="n">
        <x:f>IF(O602=1,I602*J602,0)</x:f>
        <x:v>0</x:v>
      </x:c>
      <x:c r="T602" s="13" t="n">
        <x:f>IF(L602&gt;0,K602/L602,"n.a.")</x:f>
        <x:v>0.105</x:v>
      </x:c>
      <x:c r="U602" s="12" t="n">
        <x:f>IF(Q602="Old cost",S602,0)</x:f>
        <x:v>0</x:v>
      </x:c>
      <x:c r="V602" s="12" t="n">
        <x:f>IF(Q602="Higher cost",S602,0)</x:f>
        <x:v>0</x:v>
      </x:c>
      <x:c r="W602" s="12" t="n">
        <x:f>IF(Q602="Unclassified",S602,0)</x:f>
        <x:v>0</x:v>
      </x:c>
      <x:c r="X602" s="12" t="n">
        <x:f>IF(AND(ISNUMBER(F602),F602&gt;0,F602&lt;=Summary!$D$5,H602&gt;0),H602*J602,0)</x:f>
        <x:v>0</x:v>
      </x:c>
    </x:row>
    <x:row r="603" ht="21" customHeight="1">
      <x:c r="A603" s="1" t="str">
        <x:v>10</x:v>
      </x:c>
      <x:c r="B603" s="1" t="str">
        <x:v>800BLKE</x:v>
      </x:c>
      <x:c r="C603" s="1" t="str">
        <x:v>1057171</x:v>
      </x:c>
      <x:c r="D603" s="1" t="str">
        <x:v>0</x:v>
      </x:c>
      <x:c r="E603" s="1" t="str">
        <x:v>3</x:v>
      </x:c>
      <x:c r="F603" s="7"/>
      <x:c r="G603" s="7" t="n">
        <x:v>45373</x:v>
      </x:c>
      <x:c r="H603" s="8" t="n">
        <x:v>10500</x:v>
      </x:c>
      <x:c r="I603" s="8" t="n">
        <x:v>10500</x:v>
      </x:c>
      <x:c r="J603" s="8" t="n">
        <x:v>1</x:v>
      </x:c>
      <x:c r="K603" s="9" t="n">
        <x:v>773</x:v>
      </x:c>
      <x:c r="L603" s="8" t="n">
        <x:v>1000</x:v>
      </x:c>
      <x:c r="M603" s="10" t="n">
        <x:v>0</x:v>
      </x:c>
      <x:c r="N603" s="8" t="str">
        <x:v>c</x:v>
      </x:c>
      <x:c r="O603" s="8" t="n">
        <x:v>0</x:v>
      </x:c>
      <x:c r="P603" s="11" t="n">
        <x:f>MIN(X603,MAX(0,SUMIFS('Current inventory'!$D$2:$D$127,'Current inventory'!$A$2:$A$127,A603,'Current inventory'!$B$2:$B$127,B603)-SUMIFS($X$2:X602,$A$2:A602,A603,$B$2:B602,B603)))</x:f>
        <x:v>0</x:v>
      </x:c>
      <x:c r="Q603" s="1" t="str">
        <x:v>Excluded: not active</x:v>
      </x:c>
      <x:c r="R603" s="1" t="str">
        <x:v>updated receipts.csv</x:v>
      </x:c>
      <x:c r="S603" s="12" t="n">
        <x:f>IF(O603=1,I603*J603,0)</x:f>
        <x:v>0</x:v>
      </x:c>
      <x:c r="T603" s="13" t="n">
        <x:f>IF(L603&gt;0,K603/L603,"n.a.")</x:f>
        <x:v>0.773</x:v>
      </x:c>
      <x:c r="U603" s="12" t="n">
        <x:f>IF(Q603="Old cost",S603,0)</x:f>
        <x:v>0</x:v>
      </x:c>
      <x:c r="V603" s="12" t="n">
        <x:f>IF(Q603="Higher cost",S603,0)</x:f>
        <x:v>0</x:v>
      </x:c>
      <x:c r="W603" s="12" t="n">
        <x:f>IF(Q603="Unclassified",S603,0)</x:f>
        <x:v>0</x:v>
      </x:c>
      <x:c r="X603" s="12" t="n">
        <x:f>IF(AND(ISNUMBER(F603),F603&gt;0,F603&lt;=Summary!$D$5,H603&gt;0),H603*J603,0)</x:f>
        <x:v>0</x:v>
      </x:c>
    </x:row>
    <x:row r="604" ht="21" customHeight="1">
      <x:c r="A604" s="1" t="str">
        <x:v>10</x:v>
      </x:c>
      <x:c r="B604" s="1" t="str">
        <x:v>800BNAVASC</x:v>
      </x:c>
      <x:c r="C604" s="1" t="str">
        <x:v>1057171</x:v>
      </x:c>
      <x:c r="D604" s="1" t="str">
        <x:v>0</x:v>
      </x:c>
      <x:c r="E604" s="1" t="str">
        <x:v>2</x:v>
      </x:c>
      <x:c r="F604" s="7"/>
      <x:c r="G604" s="7" t="n">
        <x:v>45373</x:v>
      </x:c>
      <x:c r="H604" s="8" t="n">
        <x:v>120000</x:v>
      </x:c>
      <x:c r="I604" s="8" t="n">
        <x:v>120000</x:v>
      </x:c>
      <x:c r="J604" s="8" t="n">
        <x:v>1</x:v>
      </x:c>
      <x:c r="K604" s="9" t="n">
        <x:v>12.95</x:v>
      </x:c>
      <x:c r="L604" s="8" t="n">
        <x:v>100</x:v>
      </x:c>
      <x:c r="M604" s="10" t="n">
        <x:v>0</x:v>
      </x:c>
      <x:c r="N604" s="8" t="str">
        <x:v>c</x:v>
      </x:c>
      <x:c r="O604" s="8" t="n">
        <x:v>0</x:v>
      </x:c>
      <x:c r="P604" s="11" t="n">
        <x:f>MIN(X604,MAX(0,SUMIFS('Current inventory'!$D$2:$D$127,'Current inventory'!$A$2:$A$127,A604,'Current inventory'!$B$2:$B$127,B604)-SUMIFS($X$2:X603,$A$2:A603,A604,$B$2:B603,B604)))</x:f>
        <x:v>0</x:v>
      </x:c>
      <x:c r="Q604" s="1" t="str">
        <x:v>Excluded: not active</x:v>
      </x:c>
      <x:c r="R604" s="1" t="str">
        <x:v>updated receipts.csv</x:v>
      </x:c>
      <x:c r="S604" s="12" t="n">
        <x:f>IF(O604=1,I604*J604,0)</x:f>
        <x:v>0</x:v>
      </x:c>
      <x:c r="T604" s="13" t="n">
        <x:f>IF(L604&gt;0,K604/L604,"n.a.")</x:f>
        <x:v>0.1295</x:v>
      </x:c>
      <x:c r="U604" s="12" t="n">
        <x:f>IF(Q604="Old cost",S604,0)</x:f>
        <x:v>0</x:v>
      </x:c>
      <x:c r="V604" s="12" t="n">
        <x:f>IF(Q604="Higher cost",S604,0)</x:f>
        <x:v>0</x:v>
      </x:c>
      <x:c r="W604" s="12" t="n">
        <x:f>IF(Q604="Unclassified",S604,0)</x:f>
        <x:v>0</x:v>
      </x:c>
      <x:c r="X604" s="12" t="n">
        <x:f>IF(AND(ISNUMBER(F604),F604&gt;0,F604&lt;=Summary!$D$5,H604&gt;0),H604*J604,0)</x:f>
        <x:v>0</x:v>
      </x:c>
    </x:row>
    <x:row r="605" ht="21" customHeight="1">
      <x:c r="A605" s="1" t="str">
        <x:v>10</x:v>
      </x:c>
      <x:c r="B605" s="1" t="str">
        <x:v>800NAVE</x:v>
      </x:c>
      <x:c r="C605" s="1" t="str">
        <x:v>1057171</x:v>
      </x:c>
      <x:c r="D605" s="1" t="str">
        <x:v>0</x:v>
      </x:c>
      <x:c r="E605" s="1" t="str">
        <x:v>4</x:v>
      </x:c>
      <x:c r="F605" s="7"/>
      <x:c r="G605" s="7" t="n">
        <x:v>45373</x:v>
      </x:c>
      <x:c r="H605" s="8" t="n">
        <x:v>10500</x:v>
      </x:c>
      <x:c r="I605" s="8" t="n">
        <x:v>10500</x:v>
      </x:c>
      <x:c r="J605" s="8" t="n">
        <x:v>1</x:v>
      </x:c>
      <x:c r="K605" s="9" t="n">
        <x:v>892</x:v>
      </x:c>
      <x:c r="L605" s="8" t="n">
        <x:v>1000</x:v>
      </x:c>
      <x:c r="M605" s="10" t="n">
        <x:v>0</x:v>
      </x:c>
      <x:c r="N605" s="8" t="str">
        <x:v>c</x:v>
      </x:c>
      <x:c r="O605" s="8" t="n">
        <x:v>0</x:v>
      </x:c>
      <x:c r="P605" s="11" t="n">
        <x:f>MIN(X605,MAX(0,SUMIFS('Current inventory'!$D$2:$D$127,'Current inventory'!$A$2:$A$127,A605,'Current inventory'!$B$2:$B$127,B605)-SUMIFS($X$2:X604,$A$2:A604,A605,$B$2:B604,B605)))</x:f>
        <x:v>0</x:v>
      </x:c>
      <x:c r="Q605" s="1" t="str">
        <x:v>Excluded: not active</x:v>
      </x:c>
      <x:c r="R605" s="1" t="str">
        <x:v>updated receipts.csv</x:v>
      </x:c>
      <x:c r="S605" s="12" t="n">
        <x:f>IF(O605=1,I605*J605,0)</x:f>
        <x:v>0</x:v>
      </x:c>
      <x:c r="T605" s="13" t="n">
        <x:f>IF(L605&gt;0,K605/L605,"n.a.")</x:f>
        <x:v>0.892</x:v>
      </x:c>
      <x:c r="U605" s="12" t="n">
        <x:f>IF(Q605="Old cost",S605,0)</x:f>
        <x:v>0</x:v>
      </x:c>
      <x:c r="V605" s="12" t="n">
        <x:f>IF(Q605="Higher cost",S605,0)</x:f>
        <x:v>0</x:v>
      </x:c>
      <x:c r="W605" s="12" t="n">
        <x:f>IF(Q605="Unclassified",S605,0)</x:f>
        <x:v>0</x:v>
      </x:c>
      <x:c r="X605" s="12" t="n">
        <x:f>IF(AND(ISNUMBER(F605),F605&gt;0,F605&lt;=Summary!$D$5,H605&gt;0),H605*J605,0)</x:f>
        <x:v>0</x:v>
      </x:c>
    </x:row>
    <x:row r="606" ht="21" customHeight="1">
      <x:c r="A606" s="1" t="str">
        <x:v>10</x:v>
      </x:c>
      <x:c r="B606" s="1" t="str">
        <x:v>880BLKE</x:v>
      </x:c>
      <x:c r="C606" s="1" t="str">
        <x:v>1057171</x:v>
      </x:c>
      <x:c r="D606" s="1" t="str">
        <x:v>0</x:v>
      </x:c>
      <x:c r="E606" s="1" t="str">
        <x:v>5</x:v>
      </x:c>
      <x:c r="F606" s="7"/>
      <x:c r="G606" s="7" t="n">
        <x:v>45373</x:v>
      </x:c>
      <x:c r="H606" s="8" t="n">
        <x:v>2500</x:v>
      </x:c>
      <x:c r="I606" s="8" t="n">
        <x:v>2500</x:v>
      </x:c>
      <x:c r="J606" s="8" t="n">
        <x:v>1</x:v>
      </x:c>
      <x:c r="K606" s="9" t="n">
        <x:v>1940</x:v>
      </x:c>
      <x:c r="L606" s="8" t="n">
        <x:v>100</x:v>
      </x:c>
      <x:c r="M606" s="10" t="n">
        <x:v>0</x:v>
      </x:c>
      <x:c r="N606" s="8" t="str">
        <x:v>c</x:v>
      </x:c>
      <x:c r="O606" s="8" t="n">
        <x:v>0</x:v>
      </x:c>
      <x:c r="P606" s="11" t="n">
        <x:f>MIN(X606,MAX(0,SUMIFS('Current inventory'!$D$2:$D$127,'Current inventory'!$A$2:$A$127,A606,'Current inventory'!$B$2:$B$127,B606)-SUMIFS($X$2:X605,$A$2:A605,A606,$B$2:B605,B606)))</x:f>
        <x:v>0</x:v>
      </x:c>
      <x:c r="Q606" s="1" t="str">
        <x:v>Excluded: not active</x:v>
      </x:c>
      <x:c r="R606" s="1" t="str">
        <x:v>updated receipts.csv</x:v>
      </x:c>
      <x:c r="S606" s="12" t="n">
        <x:f>IF(O606=1,I606*J606,0)</x:f>
        <x:v>0</x:v>
      </x:c>
      <x:c r="T606" s="13" t="n">
        <x:f>IF(L606&gt;0,K606/L606,"n.a.")</x:f>
        <x:v>19.4</x:v>
      </x:c>
      <x:c r="U606" s="12" t="n">
        <x:f>IF(Q606="Old cost",S606,0)</x:f>
        <x:v>0</x:v>
      </x:c>
      <x:c r="V606" s="12" t="n">
        <x:f>IF(Q606="Higher cost",S606,0)</x:f>
        <x:v>0</x:v>
      </x:c>
      <x:c r="W606" s="12" t="n">
        <x:f>IF(Q606="Unclassified",S606,0)</x:f>
        <x:v>0</x:v>
      </x:c>
      <x:c r="X606" s="12" t="n">
        <x:f>IF(AND(ISNUMBER(F606),F606&gt;0,F606&lt;=Summary!$D$5,H606&gt;0),H606*J606,0)</x:f>
        <x:v>0</x:v>
      </x:c>
    </x:row>
    <x:row r="607" ht="21" customHeight="1">
      <x:c r="A607" s="1" t="str">
        <x:v>10</x:v>
      </x:c>
      <x:c r="B607" s="1" t="str">
        <x:v>880NAVE</x:v>
      </x:c>
      <x:c r="C607" s="1" t="str">
        <x:v>1057171</x:v>
      </x:c>
      <x:c r="D607" s="1" t="str">
        <x:v>0</x:v>
      </x:c>
      <x:c r="E607" s="1" t="str">
        <x:v>6</x:v>
      </x:c>
      <x:c r="F607" s="7"/>
      <x:c r="G607" s="7" t="n">
        <x:v>45373</x:v>
      </x:c>
      <x:c r="H607" s="8" t="n">
        <x:v>2500</x:v>
      </x:c>
      <x:c r="I607" s="8" t="n">
        <x:v>2500</x:v>
      </x:c>
      <x:c r="J607" s="8" t="n">
        <x:v>1</x:v>
      </x:c>
      <x:c r="K607" s="9" t="n">
        <x:v>1940</x:v>
      </x:c>
      <x:c r="L607" s="8" t="n">
        <x:v>100</x:v>
      </x:c>
      <x:c r="M607" s="10" t="n">
        <x:v>0</x:v>
      </x:c>
      <x:c r="N607" s="8" t="str">
        <x:v>c</x:v>
      </x:c>
      <x:c r="O607" s="8" t="n">
        <x:v>0</x:v>
      </x:c>
      <x:c r="P607" s="11" t="n">
        <x:f>MIN(X607,MAX(0,SUMIFS('Current inventory'!$D$2:$D$127,'Current inventory'!$A$2:$A$127,A607,'Current inventory'!$B$2:$B$127,B607)-SUMIFS($X$2:X606,$A$2:A606,A607,$B$2:B606,B607)))</x:f>
        <x:v>0</x:v>
      </x:c>
      <x:c r="Q607" s="1" t="str">
        <x:v>Excluded: not active</x:v>
      </x:c>
      <x:c r="R607" s="1" t="str">
        <x:v>updated receipts.csv</x:v>
      </x:c>
      <x:c r="S607" s="12" t="n">
        <x:f>IF(O607=1,I607*J607,0)</x:f>
        <x:v>0</x:v>
      </x:c>
      <x:c r="T607" s="13" t="n">
        <x:f>IF(L607&gt;0,K607/L607,"n.a.")</x:f>
        <x:v>19.4</x:v>
      </x:c>
      <x:c r="U607" s="12" t="n">
        <x:f>IF(Q607="Old cost",S607,0)</x:f>
        <x:v>0</x:v>
      </x:c>
      <x:c r="V607" s="12" t="n">
        <x:f>IF(Q607="Higher cost",S607,0)</x:f>
        <x:v>0</x:v>
      </x:c>
      <x:c r="W607" s="12" t="n">
        <x:f>IF(Q607="Unclassified",S607,0)</x:f>
        <x:v>0</x:v>
      </x:c>
      <x:c r="X607" s="12" t="n">
        <x:f>IF(AND(ISNUMBER(F607),F607&gt;0,F607&lt;=Summary!$D$5,H607&gt;0),H607*J607,0)</x:f>
        <x:v>0</x:v>
      </x:c>
    </x:row>
    <x:row r="608" ht="21" customHeight="1">
      <x:c r="A608" s="1" t="str">
        <x:v>10</x:v>
      </x:c>
      <x:c r="B608" s="1" t="str">
        <x:v>800BBLKASC</x:v>
      </x:c>
      <x:c r="C608" s="1" t="str">
        <x:v>1057170</x:v>
      </x:c>
      <x:c r="D608" s="1" t="str">
        <x:v>0</x:v>
      </x:c>
      <x:c r="E608" s="1" t="str">
        <x:v>1</x:v>
      </x:c>
      <x:c r="F608" s="7"/>
      <x:c r="G608" s="7" t="n">
        <x:v>45468</x:v>
      </x:c>
      <x:c r="H608" s="8" t="n">
        <x:v>320000</x:v>
      </x:c>
      <x:c r="I608" s="8" t="n">
        <x:v>320000</x:v>
      </x:c>
      <x:c r="J608" s="8" t="n">
        <x:v>1</x:v>
      </x:c>
      <x:c r="K608" s="9" t="n">
        <x:v>10.5</x:v>
      </x:c>
      <x:c r="L608" s="8" t="n">
        <x:v>100</x:v>
      </x:c>
      <x:c r="M608" s="10" t="n">
        <x:v>0</x:v>
      </x:c>
      <x:c r="N608" s="8" t="str">
        <x:v>c</x:v>
      </x:c>
      <x:c r="O608" s="8" t="n">
        <x:v>0</x:v>
      </x:c>
      <x:c r="P608" s="11" t="n">
        <x:f>MIN(X608,MAX(0,SUMIFS('Current inventory'!$D$2:$D$127,'Current inventory'!$A$2:$A$127,A608,'Current inventory'!$B$2:$B$127,B608)-SUMIFS($X$2:X607,$A$2:A607,A608,$B$2:B607,B608)))</x:f>
        <x:v>0</x:v>
      </x:c>
      <x:c r="Q608" s="1" t="str">
        <x:v>Excluded: not active</x:v>
      </x:c>
      <x:c r="R608" s="1" t="str">
        <x:v>updated receipts.csv</x:v>
      </x:c>
      <x:c r="S608" s="12" t="n">
        <x:f>IF(O608=1,I608*J608,0)</x:f>
        <x:v>0</x:v>
      </x:c>
      <x:c r="T608" s="13" t="n">
        <x:f>IF(L608&gt;0,K608/L608,"n.a.")</x:f>
        <x:v>0.105</x:v>
      </x:c>
      <x:c r="U608" s="12" t="n">
        <x:f>IF(Q608="Old cost",S608,0)</x:f>
        <x:v>0</x:v>
      </x:c>
      <x:c r="V608" s="12" t="n">
        <x:f>IF(Q608="Higher cost",S608,0)</x:f>
        <x:v>0</x:v>
      </x:c>
      <x:c r="W608" s="12" t="n">
        <x:f>IF(Q608="Unclassified",S608,0)</x:f>
        <x:v>0</x:v>
      </x:c>
      <x:c r="X608" s="12" t="n">
        <x:f>IF(AND(ISNUMBER(F608),F608&gt;0,F608&lt;=Summary!$D$5,H608&gt;0),H608*J608,0)</x:f>
        <x:v>0</x:v>
      </x:c>
    </x:row>
    <x:row r="609" ht="21" customHeight="1">
      <x:c r="A609" s="1" t="str">
        <x:v>10</x:v>
      </x:c>
      <x:c r="B609" s="1" t="str">
        <x:v>800BLKE</x:v>
      </x:c>
      <x:c r="C609" s="1" t="str">
        <x:v>1057170</x:v>
      </x:c>
      <x:c r="D609" s="1" t="str">
        <x:v>0</x:v>
      </x:c>
      <x:c r="E609" s="1" t="str">
        <x:v>3</x:v>
      </x:c>
      <x:c r="F609" s="7"/>
      <x:c r="G609" s="7" t="n">
        <x:v>45468</x:v>
      </x:c>
      <x:c r="H609" s="8" t="n">
        <x:v>10500</x:v>
      </x:c>
      <x:c r="I609" s="8" t="n">
        <x:v>10500</x:v>
      </x:c>
      <x:c r="J609" s="8" t="n">
        <x:v>1</x:v>
      </x:c>
      <x:c r="K609" s="9" t="n">
        <x:v>773</x:v>
      </x:c>
      <x:c r="L609" s="8" t="n">
        <x:v>1000</x:v>
      </x:c>
      <x:c r="M609" s="10" t="n">
        <x:v>0</x:v>
      </x:c>
      <x:c r="N609" s="8" t="str">
        <x:v>c</x:v>
      </x:c>
      <x:c r="O609" s="8" t="n">
        <x:v>0</x:v>
      </x:c>
      <x:c r="P609" s="11" t="n">
        <x:f>MIN(X609,MAX(0,SUMIFS('Current inventory'!$D$2:$D$127,'Current inventory'!$A$2:$A$127,A609,'Current inventory'!$B$2:$B$127,B609)-SUMIFS($X$2:X608,$A$2:A608,A609,$B$2:B608,B609)))</x:f>
        <x:v>0</x:v>
      </x:c>
      <x:c r="Q609" s="1" t="str">
        <x:v>Excluded: not active</x:v>
      </x:c>
      <x:c r="R609" s="1" t="str">
        <x:v>updated receipts.csv</x:v>
      </x:c>
      <x:c r="S609" s="12" t="n">
        <x:f>IF(O609=1,I609*J609,0)</x:f>
        <x:v>0</x:v>
      </x:c>
      <x:c r="T609" s="13" t="n">
        <x:f>IF(L609&gt;0,K609/L609,"n.a.")</x:f>
        <x:v>0.773</x:v>
      </x:c>
      <x:c r="U609" s="12" t="n">
        <x:f>IF(Q609="Old cost",S609,0)</x:f>
        <x:v>0</x:v>
      </x:c>
      <x:c r="V609" s="12" t="n">
        <x:f>IF(Q609="Higher cost",S609,0)</x:f>
        <x:v>0</x:v>
      </x:c>
      <x:c r="W609" s="12" t="n">
        <x:f>IF(Q609="Unclassified",S609,0)</x:f>
        <x:v>0</x:v>
      </x:c>
      <x:c r="X609" s="12" t="n">
        <x:f>IF(AND(ISNUMBER(F609),F609&gt;0,F609&lt;=Summary!$D$5,H609&gt;0),H609*J609,0)</x:f>
        <x:v>0</x:v>
      </x:c>
    </x:row>
    <x:row r="610" ht="21" customHeight="1">
      <x:c r="A610" s="1" t="str">
        <x:v>10</x:v>
      </x:c>
      <x:c r="B610" s="1" t="str">
        <x:v>800BNAVASC</x:v>
      </x:c>
      <x:c r="C610" s="1" t="str">
        <x:v>1057170</x:v>
      </x:c>
      <x:c r="D610" s="1" t="str">
        <x:v>0</x:v>
      </x:c>
      <x:c r="E610" s="1" t="str">
        <x:v>2</x:v>
      </x:c>
      <x:c r="F610" s="7"/>
      <x:c r="G610" s="7" t="n">
        <x:v>45468</x:v>
      </x:c>
      <x:c r="H610" s="8" t="n">
        <x:v>120000</x:v>
      </x:c>
      <x:c r="I610" s="8" t="n">
        <x:v>120000</x:v>
      </x:c>
      <x:c r="J610" s="8" t="n">
        <x:v>1</x:v>
      </x:c>
      <x:c r="K610" s="9" t="n">
        <x:v>12.95</x:v>
      </x:c>
      <x:c r="L610" s="8" t="n">
        <x:v>100</x:v>
      </x:c>
      <x:c r="M610" s="10" t="n">
        <x:v>0</x:v>
      </x:c>
      <x:c r="N610" s="8" t="str">
        <x:v>c</x:v>
      </x:c>
      <x:c r="O610" s="8" t="n">
        <x:v>0</x:v>
      </x:c>
      <x:c r="P610" s="11" t="n">
        <x:f>MIN(X610,MAX(0,SUMIFS('Current inventory'!$D$2:$D$127,'Current inventory'!$A$2:$A$127,A610,'Current inventory'!$B$2:$B$127,B610)-SUMIFS($X$2:X609,$A$2:A609,A610,$B$2:B609,B610)))</x:f>
        <x:v>0</x:v>
      </x:c>
      <x:c r="Q610" s="1" t="str">
        <x:v>Excluded: not active</x:v>
      </x:c>
      <x:c r="R610" s="1" t="str">
        <x:v>updated receipts.csv</x:v>
      </x:c>
      <x:c r="S610" s="12" t="n">
        <x:f>IF(O610=1,I610*J610,0)</x:f>
        <x:v>0</x:v>
      </x:c>
      <x:c r="T610" s="13" t="n">
        <x:f>IF(L610&gt;0,K610/L610,"n.a.")</x:f>
        <x:v>0.1295</x:v>
      </x:c>
      <x:c r="U610" s="12" t="n">
        <x:f>IF(Q610="Old cost",S610,0)</x:f>
        <x:v>0</x:v>
      </x:c>
      <x:c r="V610" s="12" t="n">
        <x:f>IF(Q610="Higher cost",S610,0)</x:f>
        <x:v>0</x:v>
      </x:c>
      <x:c r="W610" s="12" t="n">
        <x:f>IF(Q610="Unclassified",S610,0)</x:f>
        <x:v>0</x:v>
      </x:c>
      <x:c r="X610" s="12" t="n">
        <x:f>IF(AND(ISNUMBER(F610),F610&gt;0,F610&lt;=Summary!$D$5,H610&gt;0),H610*J610,0)</x:f>
        <x:v>0</x:v>
      </x:c>
    </x:row>
    <x:row r="611" ht="21" customHeight="1">
      <x:c r="A611" s="1" t="str">
        <x:v>10</x:v>
      </x:c>
      <x:c r="B611" s="1" t="str">
        <x:v>800NAVE</x:v>
      </x:c>
      <x:c r="C611" s="1" t="str">
        <x:v>1057170</x:v>
      </x:c>
      <x:c r="D611" s="1" t="str">
        <x:v>0</x:v>
      </x:c>
      <x:c r="E611" s="1" t="str">
        <x:v>4</x:v>
      </x:c>
      <x:c r="F611" s="7"/>
      <x:c r="G611" s="7" t="n">
        <x:v>45468</x:v>
      </x:c>
      <x:c r="H611" s="8" t="n">
        <x:v>10500</x:v>
      </x:c>
      <x:c r="I611" s="8" t="n">
        <x:v>10500</x:v>
      </x:c>
      <x:c r="J611" s="8" t="n">
        <x:v>1</x:v>
      </x:c>
      <x:c r="K611" s="9" t="n">
        <x:v>892</x:v>
      </x:c>
      <x:c r="L611" s="8" t="n">
        <x:v>1000</x:v>
      </x:c>
      <x:c r="M611" s="10" t="n">
        <x:v>0</x:v>
      </x:c>
      <x:c r="N611" s="8" t="str">
        <x:v>c</x:v>
      </x:c>
      <x:c r="O611" s="8" t="n">
        <x:v>0</x:v>
      </x:c>
      <x:c r="P611" s="11" t="n">
        <x:f>MIN(X611,MAX(0,SUMIFS('Current inventory'!$D$2:$D$127,'Current inventory'!$A$2:$A$127,A611,'Current inventory'!$B$2:$B$127,B611)-SUMIFS($X$2:X610,$A$2:A610,A611,$B$2:B610,B611)))</x:f>
        <x:v>0</x:v>
      </x:c>
      <x:c r="Q611" s="1" t="str">
        <x:v>Excluded: not active</x:v>
      </x:c>
      <x:c r="R611" s="1" t="str">
        <x:v>updated receipts.csv</x:v>
      </x:c>
      <x:c r="S611" s="12" t="n">
        <x:f>IF(O611=1,I611*J611,0)</x:f>
        <x:v>0</x:v>
      </x:c>
      <x:c r="T611" s="13" t="n">
        <x:f>IF(L611&gt;0,K611/L611,"n.a.")</x:f>
        <x:v>0.892</x:v>
      </x:c>
      <x:c r="U611" s="12" t="n">
        <x:f>IF(Q611="Old cost",S611,0)</x:f>
        <x:v>0</x:v>
      </x:c>
      <x:c r="V611" s="12" t="n">
        <x:f>IF(Q611="Higher cost",S611,0)</x:f>
        <x:v>0</x:v>
      </x:c>
      <x:c r="W611" s="12" t="n">
        <x:f>IF(Q611="Unclassified",S611,0)</x:f>
        <x:v>0</x:v>
      </x:c>
      <x:c r="X611" s="12" t="n">
        <x:f>IF(AND(ISNUMBER(F611),F611&gt;0,F611&lt;=Summary!$D$5,H611&gt;0),H611*J611,0)</x:f>
        <x:v>0</x:v>
      </x:c>
    </x:row>
    <x:row r="612" ht="21" customHeight="1">
      <x:c r="A612" s="1" t="str">
        <x:v>10</x:v>
      </x:c>
      <x:c r="B612" s="1" t="str">
        <x:v>880BLKE</x:v>
      </x:c>
      <x:c r="C612" s="1" t="str">
        <x:v>1057170</x:v>
      </x:c>
      <x:c r="D612" s="1" t="str">
        <x:v>0</x:v>
      </x:c>
      <x:c r="E612" s="1" t="str">
        <x:v>7</x:v>
      </x:c>
      <x:c r="F612" s="7"/>
      <x:c r="G612" s="7" t="n">
        <x:v>45348</x:v>
      </x:c>
      <x:c r="H612" s="8" t="n">
        <x:v>2500</x:v>
      </x:c>
      <x:c r="I612" s="8" t="n">
        <x:v>2500</x:v>
      </x:c>
      <x:c r="J612" s="8" t="n">
        <x:v>1</x:v>
      </x:c>
      <x:c r="K612" s="9" t="n">
        <x:v>1940</x:v>
      </x:c>
      <x:c r="L612" s="8" t="n">
        <x:v>100</x:v>
      </x:c>
      <x:c r="M612" s="10" t="n">
        <x:v>0</x:v>
      </x:c>
      <x:c r="N612" s="8" t="str">
        <x:v>c</x:v>
      </x:c>
      <x:c r="O612" s="8" t="n">
        <x:v>0</x:v>
      </x:c>
      <x:c r="P612" s="11" t="n">
        <x:f>MIN(X612,MAX(0,SUMIFS('Current inventory'!$D$2:$D$127,'Current inventory'!$A$2:$A$127,A612,'Current inventory'!$B$2:$B$127,B612)-SUMIFS($X$2:X611,$A$2:A611,A612,$B$2:B611,B612)))</x:f>
        <x:v>0</x:v>
      </x:c>
      <x:c r="Q612" s="1" t="str">
        <x:v>Excluded: not active</x:v>
      </x:c>
      <x:c r="R612" s="1" t="str">
        <x:v>updated receipts.csv</x:v>
      </x:c>
      <x:c r="S612" s="12" t="n">
        <x:f>IF(O612=1,I612*J612,0)</x:f>
        <x:v>0</x:v>
      </x:c>
      <x:c r="T612" s="13" t="n">
        <x:f>IF(L612&gt;0,K612/L612,"n.a.")</x:f>
        <x:v>19.4</x:v>
      </x:c>
      <x:c r="U612" s="12" t="n">
        <x:f>IF(Q612="Old cost",S612,0)</x:f>
        <x:v>0</x:v>
      </x:c>
      <x:c r="V612" s="12" t="n">
        <x:f>IF(Q612="Higher cost",S612,0)</x:f>
        <x:v>0</x:v>
      </x:c>
      <x:c r="W612" s="12" t="n">
        <x:f>IF(Q612="Unclassified",S612,0)</x:f>
        <x:v>0</x:v>
      </x:c>
      <x:c r="X612" s="12" t="n">
        <x:f>IF(AND(ISNUMBER(F612),F612&gt;0,F612&lt;=Summary!$D$5,H612&gt;0),H612*J612,0)</x:f>
        <x:v>0</x:v>
      </x:c>
    </x:row>
    <x:row r="613" ht="21" customHeight="1">
      <x:c r="A613" s="1" t="str">
        <x:v>10</x:v>
      </x:c>
      <x:c r="B613" s="1" t="str">
        <x:v>880NAVE</x:v>
      </x:c>
      <x:c r="C613" s="1" t="str">
        <x:v>1057170</x:v>
      </x:c>
      <x:c r="D613" s="1" t="str">
        <x:v>0</x:v>
      </x:c>
      <x:c r="E613" s="1" t="str">
        <x:v>8</x:v>
      </x:c>
      <x:c r="F613" s="7"/>
      <x:c r="G613" s="7" t="n">
        <x:v>45348</x:v>
      </x:c>
      <x:c r="H613" s="8" t="n">
        <x:v>2500</x:v>
      </x:c>
      <x:c r="I613" s="8" t="n">
        <x:v>2500</x:v>
      </x:c>
      <x:c r="J613" s="8" t="n">
        <x:v>1</x:v>
      </x:c>
      <x:c r="K613" s="9" t="n">
        <x:v>1940</x:v>
      </x:c>
      <x:c r="L613" s="8" t="n">
        <x:v>100</x:v>
      </x:c>
      <x:c r="M613" s="10" t="n">
        <x:v>0</x:v>
      </x:c>
      <x:c r="N613" s="8" t="str">
        <x:v>c</x:v>
      </x:c>
      <x:c r="O613" s="8" t="n">
        <x:v>0</x:v>
      </x:c>
      <x:c r="P613" s="11" t="n">
        <x:f>MIN(X613,MAX(0,SUMIFS('Current inventory'!$D$2:$D$127,'Current inventory'!$A$2:$A$127,A613,'Current inventory'!$B$2:$B$127,B613)-SUMIFS($X$2:X612,$A$2:A612,A613,$B$2:B612,B613)))</x:f>
        <x:v>0</x:v>
      </x:c>
      <x:c r="Q613" s="1" t="str">
        <x:v>Excluded: not active</x:v>
      </x:c>
      <x:c r="R613" s="1" t="str">
        <x:v>updated receipts.csv</x:v>
      </x:c>
      <x:c r="S613" s="12" t="n">
        <x:f>IF(O613=1,I613*J613,0)</x:f>
        <x:v>0</x:v>
      </x:c>
      <x:c r="T613" s="13" t="n">
        <x:f>IF(L613&gt;0,K613/L613,"n.a.")</x:f>
        <x:v>19.4</x:v>
      </x:c>
      <x:c r="U613" s="12" t="n">
        <x:f>IF(Q613="Old cost",S613,0)</x:f>
        <x:v>0</x:v>
      </x:c>
      <x:c r="V613" s="12" t="n">
        <x:f>IF(Q613="Higher cost",S613,0)</x:f>
        <x:v>0</x:v>
      </x:c>
      <x:c r="W613" s="12" t="n">
        <x:f>IF(Q613="Unclassified",S613,0)</x:f>
        <x:v>0</x:v>
      </x:c>
      <x:c r="X613" s="12" t="n">
        <x:f>IF(AND(ISNUMBER(F613),F613&gt;0,F613&lt;=Summary!$D$5,H613&gt;0),H613*J613,0)</x:f>
        <x:v>0</x:v>
      </x:c>
    </x:row>
    <x:row r="614" ht="21" customHeight="1">
      <x:c r="A614" s="1" t="str">
        <x:v>10</x:v>
      </x:c>
      <x:c r="B614" s="1" t="str">
        <x:v>800BBLKDSC</x:v>
      </x:c>
      <x:c r="C614" s="1" t="str">
        <x:v>1054355</x:v>
      </x:c>
      <x:c r="D614" s="1" t="str">
        <x:v>9</x:v>
      </x:c>
      <x:c r="E614" s="1" t="str">
        <x:v>3</x:v>
      </x:c>
      <x:c r="F614" s="7"/>
      <x:c r="G614" s="7" t="n">
        <x:v>44894</x:v>
      </x:c>
      <x:c r="H614" s="8" t="n">
        <x:v>4000</x:v>
      </x:c>
      <x:c r="I614" s="8" t="n">
        <x:v>4000</x:v>
      </x:c>
      <x:c r="J614" s="8" t="n">
        <x:v>1</x:v>
      </x:c>
      <x:c r="K614" s="9" t="n">
        <x:v>26.15</x:v>
      </x:c>
      <x:c r="L614" s="8" t="n">
        <x:v>100</x:v>
      </x:c>
      <x:c r="M614" s="10" t="n">
        <x:v>0</x:v>
      </x:c>
      <x:c r="N614" s="8" t="str">
        <x:v>c</x:v>
      </x:c>
      <x:c r="O614" s="8" t="n">
        <x:v>0</x:v>
      </x:c>
      <x:c r="P614" s="11" t="n">
        <x:f>MIN(X614,MAX(0,SUMIFS('Current inventory'!$D$2:$D$127,'Current inventory'!$A$2:$A$127,A614,'Current inventory'!$B$2:$B$127,B614)-SUMIFS($X$2:X613,$A$2:A613,A614,$B$2:B613,B614)))</x:f>
        <x:v>0</x:v>
      </x:c>
      <x:c r="Q614" s="1" t="str">
        <x:v>Excluded: not active</x:v>
      </x:c>
      <x:c r="R614" s="1" t="str">
        <x:v>updated receipts.csv</x:v>
      </x:c>
      <x:c r="S614" s="12" t="n">
        <x:f>IF(O614=1,I614*J614,0)</x:f>
        <x:v>0</x:v>
      </x:c>
      <x:c r="T614" s="13" t="n">
        <x:f>IF(L614&gt;0,K614/L614,"n.a.")</x:f>
        <x:v>0.2615</x:v>
      </x:c>
      <x:c r="U614" s="12" t="n">
        <x:f>IF(Q614="Old cost",S614,0)</x:f>
        <x:v>0</x:v>
      </x:c>
      <x:c r="V614" s="12" t="n">
        <x:f>IF(Q614="Higher cost",S614,0)</x:f>
        <x:v>0</x:v>
      </x:c>
      <x:c r="W614" s="12" t="n">
        <x:f>IF(Q614="Unclassified",S614,0)</x:f>
        <x:v>0</x:v>
      </x:c>
      <x:c r="X614" s="12" t="n">
        <x:f>IF(AND(ISNUMBER(F614),F614&gt;0,F614&lt;=Summary!$D$5,H614&gt;0),H614*J614,0)</x:f>
        <x:v>0</x:v>
      </x:c>
    </x:row>
    <x:row r="615" ht="21" customHeight="1">
      <x:c r="A615" s="1" t="str">
        <x:v>10</x:v>
      </x:c>
      <x:c r="B615" s="1" t="str">
        <x:v>800BBLKASC</x:v>
      </x:c>
      <x:c r="C615" s="1" t="str">
        <x:v>1054137</x:v>
      </x:c>
      <x:c r="D615" s="1" t="str">
        <x:v>0</x:v>
      </x:c>
      <x:c r="E615" s="1" t="str">
        <x:v>1</x:v>
      </x:c>
      <x:c r="F615" s="7"/>
      <x:c r="G615" s="7" t="n">
        <x:v>44541</x:v>
      </x:c>
      <x:c r="H615" s="8" t="n">
        <x:v>840000</x:v>
      </x:c>
      <x:c r="I615" s="8" t="n">
        <x:v>840000</x:v>
      </x:c>
      <x:c r="J615" s="8" t="n">
        <x:v>1</x:v>
      </x:c>
      <x:c r="K615" s="9" t="n">
        <x:v>9.83</x:v>
      </x:c>
      <x:c r="L615" s="8" t="n">
        <x:v>100</x:v>
      </x:c>
      <x:c r="M615" s="10" t="n">
        <x:v>0</x:v>
      </x:c>
      <x:c r="N615" s="8" t="str">
        <x:v>c</x:v>
      </x:c>
      <x:c r="O615" s="8" t="n">
        <x:v>0</x:v>
      </x:c>
      <x:c r="P615" s="11" t="n">
        <x:f>MIN(X615,MAX(0,SUMIFS('Current inventory'!$D$2:$D$127,'Current inventory'!$A$2:$A$127,A615,'Current inventory'!$B$2:$B$127,B615)-SUMIFS($X$2:X614,$A$2:A614,A615,$B$2:B614,B615)))</x:f>
        <x:v>0</x:v>
      </x:c>
      <x:c r="Q615" s="1" t="str">
        <x:v>Excluded: not active</x:v>
      </x:c>
      <x:c r="R615" s="1" t="str">
        <x:v>updated receipts.csv</x:v>
      </x:c>
      <x:c r="S615" s="12" t="n">
        <x:f>IF(O615=1,I615*J615,0)</x:f>
        <x:v>0</x:v>
      </x:c>
      <x:c r="T615" s="13" t="n">
        <x:f>IF(L615&gt;0,K615/L615,"n.a.")</x:f>
        <x:v>0.0983</x:v>
      </x:c>
      <x:c r="U615" s="12" t="n">
        <x:f>IF(Q615="Old cost",S615,0)</x:f>
        <x:v>0</x:v>
      </x:c>
      <x:c r="V615" s="12" t="n">
        <x:f>IF(Q615="Higher cost",S615,0)</x:f>
        <x:v>0</x:v>
      </x:c>
      <x:c r="W615" s="12" t="n">
        <x:f>IF(Q615="Unclassified",S615,0)</x:f>
        <x:v>0</x:v>
      </x:c>
      <x:c r="X615" s="12" t="n">
        <x:f>IF(AND(ISNUMBER(F615),F615&gt;0,F615&lt;=Summary!$D$5,H615&gt;0),H615*J615,0)</x:f>
        <x:v>0</x:v>
      </x:c>
    </x:row>
    <x:row r="616" ht="21" customHeight="1">
      <x:c r="A616" s="1" t="str">
        <x:v>10</x:v>
      </x:c>
      <x:c r="B616" s="1" t="str">
        <x:v>800BBLKDSC</x:v>
      </x:c>
      <x:c r="C616" s="1" t="str">
        <x:v>1054137</x:v>
      </x:c>
      <x:c r="D616" s="1" t="str">
        <x:v>0</x:v>
      </x:c>
      <x:c r="E616" s="1" t="str">
        <x:v>3</x:v>
      </x:c>
      <x:c r="F616" s="7"/>
      <x:c r="G616" s="7" t="n">
        <x:v>44574</x:v>
      </x:c>
      <x:c r="H616" s="8" t="n">
        <x:v>120000</x:v>
      </x:c>
      <x:c r="I616" s="8" t="n">
        <x:v>120000</x:v>
      </x:c>
      <x:c r="J616" s="8" t="n">
        <x:v>1</x:v>
      </x:c>
      <x:c r="K616" s="9" t="n">
        <x:v>26.15</x:v>
      </x:c>
      <x:c r="L616" s="8" t="n">
        <x:v>100</x:v>
      </x:c>
      <x:c r="M616" s="10" t="n">
        <x:v>0</x:v>
      </x:c>
      <x:c r="N616" s="8" t="str">
        <x:v>c</x:v>
      </x:c>
      <x:c r="O616" s="8" t="n">
        <x:v>0</x:v>
      </x:c>
      <x:c r="P616" s="11" t="n">
        <x:f>MIN(X616,MAX(0,SUMIFS('Current inventory'!$D$2:$D$127,'Current inventory'!$A$2:$A$127,A616,'Current inventory'!$B$2:$B$127,B616)-SUMIFS($X$2:X615,$A$2:A615,A616,$B$2:B615,B616)))</x:f>
        <x:v>0</x:v>
      </x:c>
      <x:c r="Q616" s="1" t="str">
        <x:v>Excluded: not active</x:v>
      </x:c>
      <x:c r="R616" s="1" t="str">
        <x:v>updated receipts.csv</x:v>
      </x:c>
      <x:c r="S616" s="12" t="n">
        <x:f>IF(O616=1,I616*J616,0)</x:f>
        <x:v>0</x:v>
      </x:c>
      <x:c r="T616" s="13" t="n">
        <x:f>IF(L616&gt;0,K616/L616,"n.a.")</x:f>
        <x:v>0.2615</x:v>
      </x:c>
      <x:c r="U616" s="12" t="n">
        <x:f>IF(Q616="Old cost",S616,0)</x:f>
        <x:v>0</x:v>
      </x:c>
      <x:c r="V616" s="12" t="n">
        <x:f>IF(Q616="Higher cost",S616,0)</x:f>
        <x:v>0</x:v>
      </x:c>
      <x:c r="W616" s="12" t="n">
        <x:f>IF(Q616="Unclassified",S616,0)</x:f>
        <x:v>0</x:v>
      </x:c>
      <x:c r="X616" s="12" t="n">
        <x:f>IF(AND(ISNUMBER(F616),F616&gt;0,F616&lt;=Summary!$D$5,H616&gt;0),H616*J616,0)</x:f>
        <x:v>0</x:v>
      </x:c>
    </x:row>
    <x:row r="617" ht="21" customHeight="1">
      <x:c r="A617" s="1" t="str">
        <x:v>10</x:v>
      </x:c>
      <x:c r="B617" s="1" t="str">
        <x:v>800BBLKISC</x:v>
      </x:c>
      <x:c r="C617" s="1" t="str">
        <x:v>1054137</x:v>
      </x:c>
      <x:c r="D617" s="1" t="str">
        <x:v>0</x:v>
      </x:c>
      <x:c r="E617" s="1" t="str">
        <x:v>2</x:v>
      </x:c>
      <x:c r="F617" s="7"/>
      <x:c r="G617" s="7" t="n">
        <x:v>44574</x:v>
      </x:c>
      <x:c r="H617" s="8" t="n">
        <x:v>80000</x:v>
      </x:c>
      <x:c r="I617" s="8" t="n">
        <x:v>80000</x:v>
      </x:c>
      <x:c r="J617" s="8" t="n">
        <x:v>1</x:v>
      </x:c>
      <x:c r="K617" s="9" t="n">
        <x:v>13.42</x:v>
      </x:c>
      <x:c r="L617" s="8" t="n">
        <x:v>100</x:v>
      </x:c>
      <x:c r="M617" s="10" t="n">
        <x:v>0</x:v>
      </x:c>
      <x:c r="N617" s="8" t="str">
        <x:v>c</x:v>
      </x:c>
      <x:c r="O617" s="8" t="n">
        <x:v>0</x:v>
      </x:c>
      <x:c r="P617" s="11" t="n">
        <x:f>MIN(X617,MAX(0,SUMIFS('Current inventory'!$D$2:$D$127,'Current inventory'!$A$2:$A$127,A617,'Current inventory'!$B$2:$B$127,B617)-SUMIFS($X$2:X616,$A$2:A616,A617,$B$2:B616,B617)))</x:f>
        <x:v>0</x:v>
      </x:c>
      <x:c r="Q617" s="1" t="str">
        <x:v>Excluded: not active</x:v>
      </x:c>
      <x:c r="R617" s="1" t="str">
        <x:v>updated receipts.csv</x:v>
      </x:c>
      <x:c r="S617" s="12" t="n">
        <x:f>IF(O617=1,I617*J617,0)</x:f>
        <x:v>0</x:v>
      </x:c>
      <x:c r="T617" s="13" t="n">
        <x:f>IF(L617&gt;0,K617/L617,"n.a.")</x:f>
        <x:v>0.13419999999999999</x:v>
      </x:c>
      <x:c r="U617" s="12" t="n">
        <x:f>IF(Q617="Old cost",S617,0)</x:f>
        <x:v>0</x:v>
      </x:c>
      <x:c r="V617" s="12" t="n">
        <x:f>IF(Q617="Higher cost",S617,0)</x:f>
        <x:v>0</x:v>
      </x:c>
      <x:c r="W617" s="12" t="n">
        <x:f>IF(Q617="Unclassified",S617,0)</x:f>
        <x:v>0</x:v>
      </x:c>
      <x:c r="X617" s="12" t="n">
        <x:f>IF(AND(ISNUMBER(F617),F617&gt;0,F617&lt;=Summary!$D$5,H617&gt;0),H617*J617,0)</x:f>
        <x:v>0</x:v>
      </x:c>
    </x:row>
    <x:row r="618" ht="21" customHeight="1">
      <x:c r="A618" s="1" t="str">
        <x:v>10</x:v>
      </x:c>
      <x:c r="B618" s="1" t="str">
        <x:v>800BFGASC</x:v>
      </x:c>
      <x:c r="C618" s="1" t="str">
        <x:v>1054137</x:v>
      </x:c>
      <x:c r="D618" s="1" t="str">
        <x:v>0</x:v>
      </x:c>
      <x:c r="E618" s="1" t="str">
        <x:v>7</x:v>
      </x:c>
      <x:c r="F618" s="7"/>
      <x:c r="G618" s="7" t="n">
        <x:v>44584</x:v>
      </x:c>
      <x:c r="H618" s="8" t="n">
        <x:v>40000</x:v>
      </x:c>
      <x:c r="I618" s="8" t="n">
        <x:v>40000</x:v>
      </x:c>
      <x:c r="J618" s="8" t="n">
        <x:v>1</x:v>
      </x:c>
      <x:c r="K618" s="9" t="n">
        <x:v>13.54</x:v>
      </x:c>
      <x:c r="L618" s="8" t="n">
        <x:v>100</x:v>
      </x:c>
      <x:c r="M618" s="10" t="n">
        <x:v>0</x:v>
      </x:c>
      <x:c r="N618" s="8" t="str">
        <x:v>c</x:v>
      </x:c>
      <x:c r="O618" s="8" t="n">
        <x:v>0</x:v>
      </x:c>
      <x:c r="P618" s="11" t="n">
        <x:f>MIN(X618,MAX(0,SUMIFS('Current inventory'!$D$2:$D$127,'Current inventory'!$A$2:$A$127,A618,'Current inventory'!$B$2:$B$127,B618)-SUMIFS($X$2:X617,$A$2:A617,A618,$B$2:B617,B618)))</x:f>
        <x:v>0</x:v>
      </x:c>
      <x:c r="Q618" s="1" t="str">
        <x:v>Excluded: not active</x:v>
      </x:c>
      <x:c r="R618" s="1" t="str">
        <x:v>updated receipts.csv</x:v>
      </x:c>
      <x:c r="S618" s="12" t="n">
        <x:f>IF(O618=1,I618*J618,0)</x:f>
        <x:v>0</x:v>
      </x:c>
      <x:c r="T618" s="13" t="n">
        <x:f>IF(L618&gt;0,K618/L618,"n.a.")</x:f>
        <x:v>0.1354</x:v>
      </x:c>
      <x:c r="U618" s="12" t="n">
        <x:f>IF(Q618="Old cost",S618,0)</x:f>
        <x:v>0</x:v>
      </x:c>
      <x:c r="V618" s="12" t="n">
        <x:f>IF(Q618="Higher cost",S618,0)</x:f>
        <x:v>0</x:v>
      </x:c>
      <x:c r="W618" s="12" t="n">
        <x:f>IF(Q618="Unclassified",S618,0)</x:f>
        <x:v>0</x:v>
      </x:c>
      <x:c r="X618" s="12" t="n">
        <x:f>IF(AND(ISNUMBER(F618),F618&gt;0,F618&lt;=Summary!$D$5,H618&gt;0),H618*J618,0)</x:f>
        <x:v>0</x:v>
      </x:c>
    </x:row>
    <x:row r="619" ht="21" customHeight="1">
      <x:c r="A619" s="1" t="str">
        <x:v>10</x:v>
      </x:c>
      <x:c r="B619" s="1" t="str">
        <x:v>800BLKE</x:v>
      </x:c>
      <x:c r="C619" s="1" t="str">
        <x:v>1054137</x:v>
      </x:c>
      <x:c r="D619" s="1" t="str">
        <x:v>0</x:v>
      </x:c>
      <x:c r="E619" s="1" t="str">
        <x:v>4</x:v>
      </x:c>
      <x:c r="F619" s="7"/>
      <x:c r="G619" s="7" t="n">
        <x:v>44574</x:v>
      </x:c>
      <x:c r="H619" s="8" t="n">
        <x:v>13500</x:v>
      </x:c>
      <x:c r="I619" s="8" t="n">
        <x:v>13500</x:v>
      </x:c>
      <x:c r="J619" s="8" t="n">
        <x:v>1</x:v>
      </x:c>
      <x:c r="K619" s="9" t="n">
        <x:v>719</x:v>
      </x:c>
      <x:c r="L619" s="8" t="n">
        <x:v>1000</x:v>
      </x:c>
      <x:c r="M619" s="10" t="n">
        <x:v>0</x:v>
      </x:c>
      <x:c r="N619" s="8" t="str">
        <x:v>c</x:v>
      </x:c>
      <x:c r="O619" s="8" t="n">
        <x:v>0</x:v>
      </x:c>
      <x:c r="P619" s="11" t="n">
        <x:f>MIN(X619,MAX(0,SUMIFS('Current inventory'!$D$2:$D$127,'Current inventory'!$A$2:$A$127,A619,'Current inventory'!$B$2:$B$127,B619)-SUMIFS($X$2:X618,$A$2:A618,A619,$B$2:B618,B619)))</x:f>
        <x:v>0</x:v>
      </x:c>
      <x:c r="Q619" s="1" t="str">
        <x:v>Excluded: not active</x:v>
      </x:c>
      <x:c r="R619" s="1" t="str">
        <x:v>updated receipts.csv</x:v>
      </x:c>
      <x:c r="S619" s="12" t="n">
        <x:f>IF(O619=1,I619*J619,0)</x:f>
        <x:v>0</x:v>
      </x:c>
      <x:c r="T619" s="13" t="n">
        <x:f>IF(L619&gt;0,K619/L619,"n.a.")</x:f>
        <x:v>0.719</x:v>
      </x:c>
      <x:c r="U619" s="12" t="n">
        <x:f>IF(Q619="Old cost",S619,0)</x:f>
        <x:v>0</x:v>
      </x:c>
      <x:c r="V619" s="12" t="n">
        <x:f>IF(Q619="Higher cost",S619,0)</x:f>
        <x:v>0</x:v>
      </x:c>
      <x:c r="W619" s="12" t="n">
        <x:f>IF(Q619="Unclassified",S619,0)</x:f>
        <x:v>0</x:v>
      </x:c>
      <x:c r="X619" s="12" t="n">
        <x:f>IF(AND(ISNUMBER(F619),F619&gt;0,F619&lt;=Summary!$D$5,H619&gt;0),H619*J619,0)</x:f>
        <x:v>0</x:v>
      </x:c>
    </x:row>
    <x:row r="620" ht="21" customHeight="1">
      <x:c r="A620" s="1" t="str">
        <x:v>10</x:v>
      </x:c>
      <x:c r="B620" s="1" t="str">
        <x:v>800BMARASC</x:v>
      </x:c>
      <x:c r="C620" s="1" t="str">
        <x:v>1054137</x:v>
      </x:c>
      <x:c r="D620" s="1" t="str">
        <x:v>0</x:v>
      </x:c>
      <x:c r="E620" s="1" t="str">
        <x:v>8</x:v>
      </x:c>
      <x:c r="F620" s="7"/>
      <x:c r="G620" s="7" t="n">
        <x:v>44574</x:v>
      </x:c>
      <x:c r="H620" s="8" t="n">
        <x:v>80000</x:v>
      </x:c>
      <x:c r="I620" s="8" t="n">
        <x:v>80000</x:v>
      </x:c>
      <x:c r="J620" s="8" t="n">
        <x:v>1</x:v>
      </x:c>
      <x:c r="K620" s="9" t="n">
        <x:v>12.45</x:v>
      </x:c>
      <x:c r="L620" s="8" t="n">
        <x:v>100</x:v>
      </x:c>
      <x:c r="M620" s="10" t="n">
        <x:v>0</x:v>
      </x:c>
      <x:c r="N620" s="8" t="str">
        <x:v>c</x:v>
      </x:c>
      <x:c r="O620" s="8" t="n">
        <x:v>0</x:v>
      </x:c>
      <x:c r="P620" s="11" t="n">
        <x:f>MIN(X620,MAX(0,SUMIFS('Current inventory'!$D$2:$D$127,'Current inventory'!$A$2:$A$127,A620,'Current inventory'!$B$2:$B$127,B620)-SUMIFS($X$2:X619,$A$2:A619,A620,$B$2:B619,B620)))</x:f>
        <x:v>0</x:v>
      </x:c>
      <x:c r="Q620" s="1" t="str">
        <x:v>Excluded: not active</x:v>
      </x:c>
      <x:c r="R620" s="1" t="str">
        <x:v>updated receipts.csv</x:v>
      </x:c>
      <x:c r="S620" s="12" t="n">
        <x:f>IF(O620=1,I620*J620,0)</x:f>
        <x:v>0</x:v>
      </x:c>
      <x:c r="T620" s="13" t="n">
        <x:f>IF(L620&gt;0,K620/L620,"n.a.")</x:f>
        <x:v>0.1245</x:v>
      </x:c>
      <x:c r="U620" s="12" t="n">
        <x:f>IF(Q620="Old cost",S620,0)</x:f>
        <x:v>0</x:v>
      </x:c>
      <x:c r="V620" s="12" t="n">
        <x:f>IF(Q620="Higher cost",S620,0)</x:f>
        <x:v>0</x:v>
      </x:c>
      <x:c r="W620" s="12" t="n">
        <x:f>IF(Q620="Unclassified",S620,0)</x:f>
        <x:v>0</x:v>
      </x:c>
      <x:c r="X620" s="12" t="n">
        <x:f>IF(AND(ISNUMBER(F620),F620&gt;0,F620&lt;=Summary!$D$5,H620&gt;0),H620*J620,0)</x:f>
        <x:v>0</x:v>
      </x:c>
    </x:row>
    <x:row r="621" ht="21" customHeight="1">
      <x:c r="A621" s="1" t="str">
        <x:v>10</x:v>
      </x:c>
      <x:c r="B621" s="1" t="str">
        <x:v>800BNAVASC</x:v>
      </x:c>
      <x:c r="C621" s="1" t="str">
        <x:v>1054137</x:v>
      </x:c>
      <x:c r="D621" s="1" t="str">
        <x:v>0</x:v>
      </x:c>
      <x:c r="E621" s="1" t="str">
        <x:v>5</x:v>
      </x:c>
      <x:c r="F621" s="7"/>
      <x:c r="G621" s="7" t="n">
        <x:v>44574</x:v>
      </x:c>
      <x:c r="H621" s="8" t="n">
        <x:v>120000</x:v>
      </x:c>
      <x:c r="I621" s="8" t="n">
        <x:v>120000</x:v>
      </x:c>
      <x:c r="J621" s="8" t="n">
        <x:v>1</x:v>
      </x:c>
      <x:c r="K621" s="9" t="n">
        <x:v>11.79</x:v>
      </x:c>
      <x:c r="L621" s="8" t="n">
        <x:v>100</x:v>
      </x:c>
      <x:c r="M621" s="10" t="n">
        <x:v>0</x:v>
      </x:c>
      <x:c r="N621" s="8" t="str">
        <x:v>c</x:v>
      </x:c>
      <x:c r="O621" s="8" t="n">
        <x:v>0</x:v>
      </x:c>
      <x:c r="P621" s="11" t="n">
        <x:f>MIN(X621,MAX(0,SUMIFS('Current inventory'!$D$2:$D$127,'Current inventory'!$A$2:$A$127,A621,'Current inventory'!$B$2:$B$127,B621)-SUMIFS($X$2:X620,$A$2:A620,A621,$B$2:B620,B621)))</x:f>
        <x:v>0</x:v>
      </x:c>
      <x:c r="Q621" s="1" t="str">
        <x:v>Excluded: not active</x:v>
      </x:c>
      <x:c r="R621" s="1" t="str">
        <x:v>updated receipts.csv</x:v>
      </x:c>
      <x:c r="S621" s="12" t="n">
        <x:f>IF(O621=1,I621*J621,0)</x:f>
        <x:v>0</x:v>
      </x:c>
      <x:c r="T621" s="13" t="n">
        <x:f>IF(L621&gt;0,K621/L621,"n.a.")</x:f>
        <x:v>0.11789999999999999</x:v>
      </x:c>
      <x:c r="U621" s="12" t="n">
        <x:f>IF(Q621="Old cost",S621,0)</x:f>
        <x:v>0</x:v>
      </x:c>
      <x:c r="V621" s="12" t="n">
        <x:f>IF(Q621="Higher cost",S621,0)</x:f>
        <x:v>0</x:v>
      </x:c>
      <x:c r="W621" s="12" t="n">
        <x:f>IF(Q621="Unclassified",S621,0)</x:f>
        <x:v>0</x:v>
      </x:c>
      <x:c r="X621" s="12" t="n">
        <x:f>IF(AND(ISNUMBER(F621),F621&gt;0,F621&lt;=Summary!$D$5,H621&gt;0),H621*J621,0)</x:f>
        <x:v>0</x:v>
      </x:c>
    </x:row>
    <x:row r="622" ht="21" customHeight="1">
      <x:c r="A622" s="1" t="str">
        <x:v>10</x:v>
      </x:c>
      <x:c r="B622" s="1" t="str">
        <x:v>800BWHTASC</x:v>
      </x:c>
      <x:c r="C622" s="1" t="str">
        <x:v>1054137</x:v>
      </x:c>
      <x:c r="D622" s="1" t="str">
        <x:v>0</x:v>
      </x:c>
      <x:c r="E622" s="1" t="str">
        <x:v>9</x:v>
      </x:c>
      <x:c r="F622" s="7"/>
      <x:c r="G622" s="7" t="n">
        <x:v>44549</x:v>
      </x:c>
      <x:c r="H622" s="8" t="n">
        <x:v>40000</x:v>
      </x:c>
      <x:c r="I622" s="8" t="n">
        <x:v>40000</x:v>
      </x:c>
      <x:c r="J622" s="8" t="n">
        <x:v>1</x:v>
      </x:c>
      <x:c r="K622" s="9" t="n">
        <x:v>13.54</x:v>
      </x:c>
      <x:c r="L622" s="8" t="n">
        <x:v>100</x:v>
      </x:c>
      <x:c r="M622" s="10" t="n">
        <x:v>0</x:v>
      </x:c>
      <x:c r="N622" s="8" t="str">
        <x:v>c</x:v>
      </x:c>
      <x:c r="O622" s="8" t="n">
        <x:v>0</x:v>
      </x:c>
      <x:c r="P622" s="11" t="n">
        <x:f>MIN(X622,MAX(0,SUMIFS('Current inventory'!$D$2:$D$127,'Current inventory'!$A$2:$A$127,A622,'Current inventory'!$B$2:$B$127,B622)-SUMIFS($X$2:X621,$A$2:A621,A622,$B$2:B621,B622)))</x:f>
        <x:v>0</x:v>
      </x:c>
      <x:c r="Q622" s="1" t="str">
        <x:v>Excluded: not active</x:v>
      </x:c>
      <x:c r="R622" s="1" t="str">
        <x:v>updated receipts.csv</x:v>
      </x:c>
      <x:c r="S622" s="12" t="n">
        <x:f>IF(O622=1,I622*J622,0)</x:f>
        <x:v>0</x:v>
      </x:c>
      <x:c r="T622" s="13" t="n">
        <x:f>IF(L622&gt;0,K622/L622,"n.a.")</x:f>
        <x:v>0.1354</x:v>
      </x:c>
      <x:c r="U622" s="12" t="n">
        <x:f>IF(Q622="Old cost",S622,0)</x:f>
        <x:v>0</x:v>
      </x:c>
      <x:c r="V622" s="12" t="n">
        <x:f>IF(Q622="Higher cost",S622,0)</x:f>
        <x:v>0</x:v>
      </x:c>
      <x:c r="W622" s="12" t="n">
        <x:f>IF(Q622="Unclassified",S622,0)</x:f>
        <x:v>0</x:v>
      </x:c>
      <x:c r="X622" s="12" t="n">
        <x:f>IF(AND(ISNUMBER(F622),F622&gt;0,F622&lt;=Summary!$D$5,H622&gt;0),H622*J622,0)</x:f>
        <x:v>0</x:v>
      </x:c>
    </x:row>
    <x:row r="623" ht="21" customHeight="1">
      <x:c r="A623" s="1" t="str">
        <x:v>10</x:v>
      </x:c>
      <x:c r="B623" s="1" t="str">
        <x:v>800NAVE</x:v>
      </x:c>
      <x:c r="C623" s="1" t="str">
        <x:v>1054137</x:v>
      </x:c>
      <x:c r="D623" s="1" t="str">
        <x:v>0</x:v>
      </x:c>
      <x:c r="E623" s="1" t="str">
        <x:v>6</x:v>
      </x:c>
      <x:c r="F623" s="7"/>
      <x:c r="G623" s="7" t="n">
        <x:v>44547</x:v>
      </x:c>
      <x:c r="H623" s="8" t="n">
        <x:v>6000</x:v>
      </x:c>
      <x:c r="I623" s="8" t="n">
        <x:v>6000</x:v>
      </x:c>
      <x:c r="J623" s="8" t="n">
        <x:v>1</x:v>
      </x:c>
      <x:c r="K623" s="9" t="n">
        <x:v>931</x:v>
      </x:c>
      <x:c r="L623" s="8" t="n">
        <x:v>1000</x:v>
      </x:c>
      <x:c r="M623" s="10" t="n">
        <x:v>0</x:v>
      </x:c>
      <x:c r="N623" s="8" t="str">
        <x:v>c</x:v>
      </x:c>
      <x:c r="O623" s="8" t="n">
        <x:v>0</x:v>
      </x:c>
      <x:c r="P623" s="11" t="n">
        <x:f>MIN(X623,MAX(0,SUMIFS('Current inventory'!$D$2:$D$127,'Current inventory'!$A$2:$A$127,A623,'Current inventory'!$B$2:$B$127,B623)-SUMIFS($X$2:X622,$A$2:A622,A623,$B$2:B622,B623)))</x:f>
        <x:v>0</x:v>
      </x:c>
      <x:c r="Q623" s="1" t="str">
        <x:v>Excluded: not active</x:v>
      </x:c>
      <x:c r="R623" s="1" t="str">
        <x:v>updated receipts.csv</x:v>
      </x:c>
      <x:c r="S623" s="12" t="n">
        <x:f>IF(O623=1,I623*J623,0)</x:f>
        <x:v>0</x:v>
      </x:c>
      <x:c r="T623" s="13" t="n">
        <x:f>IF(L623&gt;0,K623/L623,"n.a.")</x:f>
        <x:v>0.931</x:v>
      </x:c>
      <x:c r="U623" s="12" t="n">
        <x:f>IF(Q623="Old cost",S623,0)</x:f>
        <x:v>0</x:v>
      </x:c>
      <x:c r="V623" s="12" t="n">
        <x:f>IF(Q623="Higher cost",S623,0)</x:f>
        <x:v>0</x:v>
      </x:c>
      <x:c r="W623" s="12" t="n">
        <x:f>IF(Q623="Unclassified",S623,0)</x:f>
        <x:v>0</x:v>
      </x:c>
      <x:c r="X623" s="12" t="n">
        <x:f>IF(AND(ISNUMBER(F623),F623&gt;0,F623&lt;=Summary!$D$5,H623&gt;0),H623*J623,0)</x:f>
        <x:v>0</x:v>
      </x:c>
    </x:row>
    <x:row r="624" ht="21" customHeight="1">
      <x:c r="A624" s="1" t="str">
        <x:v>10</x:v>
      </x:c>
      <x:c r="B624" s="1" t="str">
        <x:v>800BBLKASC</x:v>
      </x:c>
      <x:c r="C624" s="1" t="str">
        <x:v>1053958</x:v>
      </x:c>
      <x:c r="D624" s="1" t="str">
        <x:v>0</x:v>
      </x:c>
      <x:c r="E624" s="1" t="str">
        <x:v>1</x:v>
      </x:c>
      <x:c r="F624" s="7"/>
      <x:c r="G624" s="7" t="n">
        <x:v>44521</x:v>
      </x:c>
      <x:c r="H624" s="8" t="n">
        <x:v>287000</x:v>
      </x:c>
      <x:c r="I624" s="8" t="n">
        <x:v>287000</x:v>
      </x:c>
      <x:c r="J624" s="8" t="n">
        <x:v>1</x:v>
      </x:c>
      <x:c r="K624" s="9" t="n">
        <x:v>8.09</x:v>
      </x:c>
      <x:c r="L624" s="8" t="n">
        <x:v>100</x:v>
      </x:c>
      <x:c r="M624" s="10" t="n">
        <x:v>0</x:v>
      </x:c>
      <x:c r="N624" s="8" t="str">
        <x:v>c</x:v>
      </x:c>
      <x:c r="O624" s="8" t="n">
        <x:v>0</x:v>
      </x:c>
      <x:c r="P624" s="11" t="n">
        <x:f>MIN(X624,MAX(0,SUMIFS('Current inventory'!$D$2:$D$127,'Current inventory'!$A$2:$A$127,A624,'Current inventory'!$B$2:$B$127,B624)-SUMIFS($X$2:X623,$A$2:A623,A624,$B$2:B623,B624)))</x:f>
        <x:v>0</x:v>
      </x:c>
      <x:c r="Q624" s="1" t="str">
        <x:v>Excluded: not active</x:v>
      </x:c>
      <x:c r="R624" s="1" t="str">
        <x:v>updated receipts.csv</x:v>
      </x:c>
      <x:c r="S624" s="12" t="n">
        <x:f>IF(O624=1,I624*J624,0)</x:f>
        <x:v>0</x:v>
      </x:c>
      <x:c r="T624" s="13" t="n">
        <x:f>IF(L624&gt;0,K624/L624,"n.a.")</x:f>
        <x:v>0.0809</x:v>
      </x:c>
      <x:c r="U624" s="12" t="n">
        <x:f>IF(Q624="Old cost",S624,0)</x:f>
        <x:v>0</x:v>
      </x:c>
      <x:c r="V624" s="12" t="n">
        <x:f>IF(Q624="Higher cost",S624,0)</x:f>
        <x:v>0</x:v>
      </x:c>
      <x:c r="W624" s="12" t="n">
        <x:f>IF(Q624="Unclassified",S624,0)</x:f>
        <x:v>0</x:v>
      </x:c>
      <x:c r="X624" s="12" t="n">
        <x:f>IF(AND(ISNUMBER(F624),F624&gt;0,F624&lt;=Summary!$D$5,H624&gt;0),H624*J624,0)</x:f>
        <x:v>0</x:v>
      </x:c>
    </x:row>
    <x:row r="625" ht="21" customHeight="1">
      <x:c r="A625" s="1" t="str">
        <x:v>10</x:v>
      </x:c>
      <x:c r="B625" s="1" t="str">
        <x:v>800BBLKDSC</x:v>
      </x:c>
      <x:c r="C625" s="1" t="str">
        <x:v>1053958</x:v>
      </x:c>
      <x:c r="D625" s="1" t="str">
        <x:v>0</x:v>
      </x:c>
      <x:c r="E625" s="1" t="str">
        <x:v>2</x:v>
      </x:c>
      <x:c r="F625" s="7"/>
      <x:c r="G625" s="7" t="n">
        <x:v>44536</x:v>
      </x:c>
      <x:c r="H625" s="8" t="n">
        <x:v>19000</x:v>
      </x:c>
      <x:c r="I625" s="8" t="n">
        <x:v>19000</x:v>
      </x:c>
      <x:c r="J625" s="8" t="n">
        <x:v>1</x:v>
      </x:c>
      <x:c r="K625" s="9" t="n">
        <x:v>17.37</x:v>
      </x:c>
      <x:c r="L625" s="8" t="n">
        <x:v>100</x:v>
      </x:c>
      <x:c r="M625" s="10" t="n">
        <x:v>0</x:v>
      </x:c>
      <x:c r="N625" s="8" t="str">
        <x:v>c</x:v>
      </x:c>
      <x:c r="O625" s="8" t="n">
        <x:v>0</x:v>
      </x:c>
      <x:c r="P625" s="11" t="n">
        <x:f>MIN(X625,MAX(0,SUMIFS('Current inventory'!$D$2:$D$127,'Current inventory'!$A$2:$A$127,A625,'Current inventory'!$B$2:$B$127,B625)-SUMIFS($X$2:X624,$A$2:A624,A625,$B$2:B624,B625)))</x:f>
        <x:v>0</x:v>
      </x:c>
      <x:c r="Q625" s="1" t="str">
        <x:v>Excluded: not active</x:v>
      </x:c>
      <x:c r="R625" s="1" t="str">
        <x:v>updated receipts.csv</x:v>
      </x:c>
      <x:c r="S625" s="12" t="n">
        <x:f>IF(O625=1,I625*J625,0)</x:f>
        <x:v>0</x:v>
      </x:c>
      <x:c r="T625" s="13" t="n">
        <x:f>IF(L625&gt;0,K625/L625,"n.a.")</x:f>
        <x:v>0.17370000000000002</x:v>
      </x:c>
      <x:c r="U625" s="12" t="n">
        <x:f>IF(Q625="Old cost",S625,0)</x:f>
        <x:v>0</x:v>
      </x:c>
      <x:c r="V625" s="12" t="n">
        <x:f>IF(Q625="Higher cost",S625,0)</x:f>
        <x:v>0</x:v>
      </x:c>
      <x:c r="W625" s="12" t="n">
        <x:f>IF(Q625="Unclassified",S625,0)</x:f>
        <x:v>0</x:v>
      </x:c>
      <x:c r="X625" s="12" t="n">
        <x:f>IF(AND(ISNUMBER(F625),F625&gt;0,F625&lt;=Summary!$D$5,H625&gt;0),H625*J625,0)</x:f>
        <x:v>0</x:v>
      </x:c>
    </x:row>
    <x:row r="626" ht="21" customHeight="1">
      <x:c r="A626" s="1" t="str">
        <x:v>10</x:v>
      </x:c>
      <x:c r="B626" s="1" t="str">
        <x:v>800BBLKISC</x:v>
      </x:c>
      <x:c r="C626" s="1" t="str">
        <x:v>1053958</x:v>
      </x:c>
      <x:c r="D626" s="1" t="str">
        <x:v>0</x:v>
      </x:c>
      <x:c r="E626" s="1" t="str">
        <x:v>3</x:v>
      </x:c>
      <x:c r="F626" s="7"/>
      <x:c r="G626" s="7" t="n">
        <x:v>44536</x:v>
      </x:c>
      <x:c r="H626" s="8" t="n">
        <x:v>28000</x:v>
      </x:c>
      <x:c r="I626" s="8" t="n">
        <x:v>28000</x:v>
      </x:c>
      <x:c r="J626" s="8" t="n">
        <x:v>1</x:v>
      </x:c>
      <x:c r="K626" s="9" t="n">
        <x:v>9.06</x:v>
      </x:c>
      <x:c r="L626" s="8" t="n">
        <x:v>100</x:v>
      </x:c>
      <x:c r="M626" s="10" t="n">
        <x:v>0</x:v>
      </x:c>
      <x:c r="N626" s="8" t="str">
        <x:v>c</x:v>
      </x:c>
      <x:c r="O626" s="8" t="n">
        <x:v>0</x:v>
      </x:c>
      <x:c r="P626" s="11" t="n">
        <x:f>MIN(X626,MAX(0,SUMIFS('Current inventory'!$D$2:$D$127,'Current inventory'!$A$2:$A$127,A626,'Current inventory'!$B$2:$B$127,B626)-SUMIFS($X$2:X625,$A$2:A625,A626,$B$2:B625,B626)))</x:f>
        <x:v>0</x:v>
      </x:c>
      <x:c r="Q626" s="1" t="str">
        <x:v>Excluded: not active</x:v>
      </x:c>
      <x:c r="R626" s="1" t="str">
        <x:v>updated receipts.csv</x:v>
      </x:c>
      <x:c r="S626" s="12" t="n">
        <x:f>IF(O626=1,I626*J626,0)</x:f>
        <x:v>0</x:v>
      </x:c>
      <x:c r="T626" s="13" t="n">
        <x:f>IF(L626&gt;0,K626/L626,"n.a.")</x:f>
        <x:v>0.0906</x:v>
      </x:c>
      <x:c r="U626" s="12" t="n">
        <x:f>IF(Q626="Old cost",S626,0)</x:f>
        <x:v>0</x:v>
      </x:c>
      <x:c r="V626" s="12" t="n">
        <x:f>IF(Q626="Higher cost",S626,0)</x:f>
        <x:v>0</x:v>
      </x:c>
      <x:c r="W626" s="12" t="n">
        <x:f>IF(Q626="Unclassified",S626,0)</x:f>
        <x:v>0</x:v>
      </x:c>
      <x:c r="X626" s="12" t="n">
        <x:f>IF(AND(ISNUMBER(F626),F626&gt;0,F626&lt;=Summary!$D$5,H626&gt;0),H626*J626,0)</x:f>
        <x:v>0</x:v>
      </x:c>
    </x:row>
    <x:row r="627" ht="21" customHeight="1">
      <x:c r="A627" s="1" t="str">
        <x:v>10</x:v>
      </x:c>
      <x:c r="B627" s="1" t="str">
        <x:v>800BFGASC</x:v>
      </x:c>
      <x:c r="C627" s="1" t="str">
        <x:v>1053958</x:v>
      </x:c>
      <x:c r="D627" s="1" t="str">
        <x:v>0</x:v>
      </x:c>
      <x:c r="E627" s="1" t="str">
        <x:v>4</x:v>
      </x:c>
      <x:c r="F627" s="7"/>
      <x:c r="G627" s="7" t="n">
        <x:v>44546</x:v>
      </x:c>
      <x:c r="H627" s="8" t="n">
        <x:v>10000</x:v>
      </x:c>
      <x:c r="I627" s="8" t="n">
        <x:v>10000</x:v>
      </x:c>
      <x:c r="J627" s="8" t="n">
        <x:v>1</x:v>
      </x:c>
      <x:c r="K627" s="9" t="n">
        <x:v>8.3</x:v>
      </x:c>
      <x:c r="L627" s="8" t="n">
        <x:v>100</x:v>
      </x:c>
      <x:c r="M627" s="10" t="n">
        <x:v>0</x:v>
      </x:c>
      <x:c r="N627" s="8" t="str">
        <x:v>c</x:v>
      </x:c>
      <x:c r="O627" s="8" t="n">
        <x:v>0</x:v>
      </x:c>
      <x:c r="P627" s="11" t="n">
        <x:f>MIN(X627,MAX(0,SUMIFS('Current inventory'!$D$2:$D$127,'Current inventory'!$A$2:$A$127,A627,'Current inventory'!$B$2:$B$127,B627)-SUMIFS($X$2:X626,$A$2:A626,A627,$B$2:B626,B627)))</x:f>
        <x:v>0</x:v>
      </x:c>
      <x:c r="Q627" s="1" t="str">
        <x:v>Excluded: not active</x:v>
      </x:c>
      <x:c r="R627" s="1" t="str">
        <x:v>updated receipts.csv</x:v>
      </x:c>
      <x:c r="S627" s="12" t="n">
        <x:f>IF(O627=1,I627*J627,0)</x:f>
        <x:v>0</x:v>
      </x:c>
      <x:c r="T627" s="13" t="n">
        <x:f>IF(L627&gt;0,K627/L627,"n.a.")</x:f>
        <x:v>0.083</x:v>
      </x:c>
      <x:c r="U627" s="12" t="n">
        <x:f>IF(Q627="Old cost",S627,0)</x:f>
        <x:v>0</x:v>
      </x:c>
      <x:c r="V627" s="12" t="n">
        <x:f>IF(Q627="Higher cost",S627,0)</x:f>
        <x:v>0</x:v>
      </x:c>
      <x:c r="W627" s="12" t="n">
        <x:f>IF(Q627="Unclassified",S627,0)</x:f>
        <x:v>0</x:v>
      </x:c>
      <x:c r="X627" s="12" t="n">
        <x:f>IF(AND(ISNUMBER(F627),F627&gt;0,F627&lt;=Summary!$D$5,H627&gt;0),H627*J627,0)</x:f>
        <x:v>0</x:v>
      </x:c>
    </x:row>
    <x:row r="628" ht="21" customHeight="1">
      <x:c r="A628" s="1" t="str">
        <x:v>10</x:v>
      </x:c>
      <x:c r="B628" s="1" t="str">
        <x:v>800BLKE</x:v>
      </x:c>
      <x:c r="C628" s="1" t="str">
        <x:v>1053958</x:v>
      </x:c>
      <x:c r="D628" s="1" t="str">
        <x:v>0</x:v>
      </x:c>
      <x:c r="E628" s="1" t="str">
        <x:v>5</x:v>
      </x:c>
      <x:c r="F628" s="7"/>
      <x:c r="G628" s="7" t="n">
        <x:v>44536</x:v>
      </x:c>
      <x:c r="H628" s="8" t="n">
        <x:v>4000</x:v>
      </x:c>
      <x:c r="I628" s="8" t="n">
        <x:v>4000</x:v>
      </x:c>
      <x:c r="J628" s="8" t="n">
        <x:v>1</x:v>
      </x:c>
      <x:c r="K628" s="9" t="n">
        <x:v>530</x:v>
      </x:c>
      <x:c r="L628" s="8" t="n">
        <x:v>1000</x:v>
      </x:c>
      <x:c r="M628" s="10" t="n">
        <x:v>0</x:v>
      </x:c>
      <x:c r="N628" s="8" t="str">
        <x:v>c</x:v>
      </x:c>
      <x:c r="O628" s="8" t="n">
        <x:v>0</x:v>
      </x:c>
      <x:c r="P628" s="11" t="n">
        <x:f>MIN(X628,MAX(0,SUMIFS('Current inventory'!$D$2:$D$127,'Current inventory'!$A$2:$A$127,A628,'Current inventory'!$B$2:$B$127,B628)-SUMIFS($X$2:X627,$A$2:A627,A628,$B$2:B627,B628)))</x:f>
        <x:v>0</x:v>
      </x:c>
      <x:c r="Q628" s="1" t="str">
        <x:v>Excluded: not active</x:v>
      </x:c>
      <x:c r="R628" s="1" t="str">
        <x:v>updated receipts.csv</x:v>
      </x:c>
      <x:c r="S628" s="12" t="n">
        <x:f>IF(O628=1,I628*J628,0)</x:f>
        <x:v>0</x:v>
      </x:c>
      <x:c r="T628" s="13" t="n">
        <x:f>IF(L628&gt;0,K628/L628,"n.a.")</x:f>
        <x:v>0.53</x:v>
      </x:c>
      <x:c r="U628" s="12" t="n">
        <x:f>IF(Q628="Old cost",S628,0)</x:f>
        <x:v>0</x:v>
      </x:c>
      <x:c r="V628" s="12" t="n">
        <x:f>IF(Q628="Higher cost",S628,0)</x:f>
        <x:v>0</x:v>
      </x:c>
      <x:c r="W628" s="12" t="n">
        <x:f>IF(Q628="Unclassified",S628,0)</x:f>
        <x:v>0</x:v>
      </x:c>
      <x:c r="X628" s="12" t="n">
        <x:f>IF(AND(ISNUMBER(F628),F628&gt;0,F628&lt;=Summary!$D$5,H628&gt;0),H628*J628,0)</x:f>
        <x:v>0</x:v>
      </x:c>
    </x:row>
    <x:row r="629" ht="21" customHeight="1">
      <x:c r="A629" s="1" t="str">
        <x:v>10</x:v>
      </x:c>
      <x:c r="B629" s="1" t="str">
        <x:v>800BMARASC</x:v>
      </x:c>
      <x:c r="C629" s="1" t="str">
        <x:v>1053958</x:v>
      </x:c>
      <x:c r="D629" s="1" t="str">
        <x:v>0</x:v>
      </x:c>
      <x:c r="E629" s="1" t="str">
        <x:v>6</x:v>
      </x:c>
      <x:c r="F629" s="7"/>
      <x:c r="G629" s="7" t="n">
        <x:v>44536</x:v>
      </x:c>
      <x:c r="H629" s="8" t="n">
        <x:v>8000</x:v>
      </x:c>
      <x:c r="I629" s="8" t="n">
        <x:v>8000</x:v>
      </x:c>
      <x:c r="J629" s="8" t="n">
        <x:v>1</x:v>
      </x:c>
      <x:c r="K629" s="9" t="n">
        <x:v>8.3</x:v>
      </x:c>
      <x:c r="L629" s="8" t="n">
        <x:v>100</x:v>
      </x:c>
      <x:c r="M629" s="10" t="n">
        <x:v>0</x:v>
      </x:c>
      <x:c r="N629" s="8" t="str">
        <x:v>c</x:v>
      </x:c>
      <x:c r="O629" s="8" t="n">
        <x:v>0</x:v>
      </x:c>
      <x:c r="P629" s="11" t="n">
        <x:f>MIN(X629,MAX(0,SUMIFS('Current inventory'!$D$2:$D$127,'Current inventory'!$A$2:$A$127,A629,'Current inventory'!$B$2:$B$127,B629)-SUMIFS($X$2:X628,$A$2:A628,A629,$B$2:B628,B629)))</x:f>
        <x:v>0</x:v>
      </x:c>
      <x:c r="Q629" s="1" t="str">
        <x:v>Excluded: not active</x:v>
      </x:c>
      <x:c r="R629" s="1" t="str">
        <x:v>updated receipts.csv</x:v>
      </x:c>
      <x:c r="S629" s="12" t="n">
        <x:f>IF(O629=1,I629*J629,0)</x:f>
        <x:v>0</x:v>
      </x:c>
      <x:c r="T629" s="13" t="n">
        <x:f>IF(L629&gt;0,K629/L629,"n.a.")</x:f>
        <x:v>0.083</x:v>
      </x:c>
      <x:c r="U629" s="12" t="n">
        <x:f>IF(Q629="Old cost",S629,0)</x:f>
        <x:v>0</x:v>
      </x:c>
      <x:c r="V629" s="12" t="n">
        <x:f>IF(Q629="Higher cost",S629,0)</x:f>
        <x:v>0</x:v>
      </x:c>
      <x:c r="W629" s="12" t="n">
        <x:f>IF(Q629="Unclassified",S629,0)</x:f>
        <x:v>0</x:v>
      </x:c>
      <x:c r="X629" s="12" t="n">
        <x:f>IF(AND(ISNUMBER(F629),F629&gt;0,F629&lt;=Summary!$D$5,H629&gt;0),H629*J629,0)</x:f>
        <x:v>0</x:v>
      </x:c>
    </x:row>
    <x:row r="630" ht="21" customHeight="1">
      <x:c r="A630" s="1" t="str">
        <x:v>10</x:v>
      </x:c>
      <x:c r="B630" s="1" t="str">
        <x:v>800BMARDSC</x:v>
      </x:c>
      <x:c r="C630" s="1" t="str">
        <x:v>1053958</x:v>
      </x:c>
      <x:c r="D630" s="1" t="str">
        <x:v>0</x:v>
      </x:c>
      <x:c r="E630" s="1" t="str">
        <x:v>7</x:v>
      </x:c>
      <x:c r="F630" s="7"/>
      <x:c r="G630" s="7" t="n">
        <x:v>44497</x:v>
      </x:c>
      <x:c r="H630" s="8" t="n">
        <x:v>91</x:v>
      </x:c>
      <x:c r="I630" s="8" t="n">
        <x:v>91</x:v>
      </x:c>
      <x:c r="J630" s="8" t="n">
        <x:v>1</x:v>
      </x:c>
      <x:c r="K630" s="9" t="n">
        <x:v>17.37</x:v>
      </x:c>
      <x:c r="L630" s="8" t="n">
        <x:v>100</x:v>
      </x:c>
      <x:c r="M630" s="10" t="n">
        <x:v>0</x:v>
      </x:c>
      <x:c r="N630" s="8" t="str">
        <x:v>c</x:v>
      </x:c>
      <x:c r="O630" s="8" t="n">
        <x:v>0</x:v>
      </x:c>
      <x:c r="P630" s="11" t="n">
        <x:f>MIN(X630,MAX(0,SUMIFS('Current inventory'!$D$2:$D$127,'Current inventory'!$A$2:$A$127,A630,'Current inventory'!$B$2:$B$127,B630)-SUMIFS($X$2:X629,$A$2:A629,A630,$B$2:B629,B630)))</x:f>
        <x:v>0</x:v>
      </x:c>
      <x:c r="Q630" s="1" t="str">
        <x:v>Excluded: not active</x:v>
      </x:c>
      <x:c r="R630" s="1" t="str">
        <x:v>updated receipts.csv</x:v>
      </x:c>
      <x:c r="S630" s="12" t="n">
        <x:f>IF(O630=1,I630*J630,0)</x:f>
        <x:v>0</x:v>
      </x:c>
      <x:c r="T630" s="13" t="n">
        <x:f>IF(L630&gt;0,K630/L630,"n.a.")</x:f>
        <x:v>0.17370000000000002</x:v>
      </x:c>
      <x:c r="U630" s="12" t="n">
        <x:f>IF(Q630="Old cost",S630,0)</x:f>
        <x:v>0</x:v>
      </x:c>
      <x:c r="V630" s="12" t="n">
        <x:f>IF(Q630="Higher cost",S630,0)</x:f>
        <x:v>0</x:v>
      </x:c>
      <x:c r="W630" s="12" t="n">
        <x:f>IF(Q630="Unclassified",S630,0)</x:f>
        <x:v>0</x:v>
      </x:c>
      <x:c r="X630" s="12" t="n">
        <x:f>IF(AND(ISNUMBER(F630),F630&gt;0,F630&lt;=Summary!$D$5,H630&gt;0),H630*J630,0)</x:f>
        <x:v>0</x:v>
      </x:c>
    </x:row>
    <x:row r="631" ht="21" customHeight="1">
      <x:c r="A631" s="1" t="str">
        <x:v>10</x:v>
      </x:c>
      <x:c r="B631" s="1" t="str">
        <x:v>800BNAVASC</x:v>
      </x:c>
      <x:c r="C631" s="1" t="str">
        <x:v>1053958</x:v>
      </x:c>
      <x:c r="D631" s="1" t="str">
        <x:v>0</x:v>
      </x:c>
      <x:c r="E631" s="1" t="str">
        <x:v>8</x:v>
      </x:c>
      <x:c r="F631" s="7"/>
      <x:c r="G631" s="7" t="n">
        <x:v>44536</x:v>
      </x:c>
      <x:c r="H631" s="8" t="n">
        <x:v>26000</x:v>
      </x:c>
      <x:c r="I631" s="8" t="n">
        <x:v>26000</x:v>
      </x:c>
      <x:c r="J631" s="8" t="n">
        <x:v>1</x:v>
      </x:c>
      <x:c r="K631" s="9" t="n">
        <x:v>8.09</x:v>
      </x:c>
      <x:c r="L631" s="8" t="n">
        <x:v>100</x:v>
      </x:c>
      <x:c r="M631" s="10" t="n">
        <x:v>0</x:v>
      </x:c>
      <x:c r="N631" s="8" t="str">
        <x:v>c</x:v>
      </x:c>
      <x:c r="O631" s="8" t="n">
        <x:v>0</x:v>
      </x:c>
      <x:c r="P631" s="11" t="n">
        <x:f>MIN(X631,MAX(0,SUMIFS('Current inventory'!$D$2:$D$127,'Current inventory'!$A$2:$A$127,A631,'Current inventory'!$B$2:$B$127,B631)-SUMIFS($X$2:X630,$A$2:A630,A631,$B$2:B630,B631)))</x:f>
        <x:v>0</x:v>
      </x:c>
      <x:c r="Q631" s="1" t="str">
        <x:v>Excluded: not active</x:v>
      </x:c>
      <x:c r="R631" s="1" t="str">
        <x:v>updated receipts.csv</x:v>
      </x:c>
      <x:c r="S631" s="12" t="n">
        <x:f>IF(O631=1,I631*J631,0)</x:f>
        <x:v>0</x:v>
      </x:c>
      <x:c r="T631" s="13" t="n">
        <x:f>IF(L631&gt;0,K631/L631,"n.a.")</x:f>
        <x:v>0.0809</x:v>
      </x:c>
      <x:c r="U631" s="12" t="n">
        <x:f>IF(Q631="Old cost",S631,0)</x:f>
        <x:v>0</x:v>
      </x:c>
      <x:c r="V631" s="12" t="n">
        <x:f>IF(Q631="Higher cost",S631,0)</x:f>
        <x:v>0</x:v>
      </x:c>
      <x:c r="W631" s="12" t="n">
        <x:f>IF(Q631="Unclassified",S631,0)</x:f>
        <x:v>0</x:v>
      </x:c>
      <x:c r="X631" s="12" t="n">
        <x:f>IF(AND(ISNUMBER(F631),F631&gt;0,F631&lt;=Summary!$D$5,H631&gt;0),H631*J631,0)</x:f>
        <x:v>0</x:v>
      </x:c>
    </x:row>
    <x:row r="632" ht="21" customHeight="1">
      <x:c r="A632" s="1" t="str">
        <x:v>10</x:v>
      </x:c>
      <x:c r="B632" s="1" t="str">
        <x:v>800BWHTASC</x:v>
      </x:c>
      <x:c r="C632" s="1" t="str">
        <x:v>1053958</x:v>
      </x:c>
      <x:c r="D632" s="1" t="str">
        <x:v>0</x:v>
      </x:c>
      <x:c r="E632" s="1" t="str">
        <x:v>9</x:v>
      </x:c>
      <x:c r="F632" s="7"/>
      <x:c r="G632" s="7" t="n">
        <x:v>44511</x:v>
      </x:c>
      <x:c r="H632" s="8" t="n">
        <x:v>8000</x:v>
      </x:c>
      <x:c r="I632" s="8" t="n">
        <x:v>8000</x:v>
      </x:c>
      <x:c r="J632" s="8" t="n">
        <x:v>1</x:v>
      </x:c>
      <x:c r="K632" s="9" t="n">
        <x:v>8.3</x:v>
      </x:c>
      <x:c r="L632" s="8" t="n">
        <x:v>100</x:v>
      </x:c>
      <x:c r="M632" s="10" t="n">
        <x:v>0</x:v>
      </x:c>
      <x:c r="N632" s="8" t="str">
        <x:v>c</x:v>
      </x:c>
      <x:c r="O632" s="8" t="n">
        <x:v>0</x:v>
      </x:c>
      <x:c r="P632" s="11" t="n">
        <x:f>MIN(X632,MAX(0,SUMIFS('Current inventory'!$D$2:$D$127,'Current inventory'!$A$2:$A$127,A632,'Current inventory'!$B$2:$B$127,B632)-SUMIFS($X$2:X631,$A$2:A631,A632,$B$2:B631,B632)))</x:f>
        <x:v>0</x:v>
      </x:c>
      <x:c r="Q632" s="1" t="str">
        <x:v>Excluded: not active</x:v>
      </x:c>
      <x:c r="R632" s="1" t="str">
        <x:v>updated receipts.csv</x:v>
      </x:c>
      <x:c r="S632" s="12" t="n">
        <x:f>IF(O632=1,I632*J632,0)</x:f>
        <x:v>0</x:v>
      </x:c>
      <x:c r="T632" s="13" t="n">
        <x:f>IF(L632&gt;0,K632/L632,"n.a.")</x:f>
        <x:v>0.083</x:v>
      </x:c>
      <x:c r="U632" s="12" t="n">
        <x:f>IF(Q632="Old cost",S632,0)</x:f>
        <x:v>0</x:v>
      </x:c>
      <x:c r="V632" s="12" t="n">
        <x:f>IF(Q632="Higher cost",S632,0)</x:f>
        <x:v>0</x:v>
      </x:c>
      <x:c r="W632" s="12" t="n">
        <x:f>IF(Q632="Unclassified",S632,0)</x:f>
        <x:v>0</x:v>
      </x:c>
      <x:c r="X632" s="12" t="n">
        <x:f>IF(AND(ISNUMBER(F632),F632&gt;0,F632&lt;=Summary!$D$5,H632&gt;0),H632*J632,0)</x:f>
        <x:v>0</x:v>
      </x:c>
    </x:row>
    <x:row r="633" ht="21" customHeight="1">
      <x:c r="A633" s="1" t="str">
        <x:v>10</x:v>
      </x:c>
      <x:c r="B633" s="1" t="str">
        <x:v>800NAVE</x:v>
      </x:c>
      <x:c r="C633" s="1" t="str">
        <x:v>1053958</x:v>
      </x:c>
      <x:c r="D633" s="1" t="str">
        <x:v>0</x:v>
      </x:c>
      <x:c r="E633" s="1" t="str">
        <x:v>12</x:v>
      </x:c>
      <x:c r="F633" s="7"/>
      <x:c r="G633" s="7" t="n">
        <x:v>44509</x:v>
      </x:c>
      <x:c r="H633" s="8" t="n">
        <x:v>3000</x:v>
      </x:c>
      <x:c r="I633" s="8" t="n">
        <x:v>3000</x:v>
      </x:c>
      <x:c r="J633" s="8" t="n">
        <x:v>1</x:v>
      </x:c>
      <x:c r="K633" s="9" t="n">
        <x:v>530</x:v>
      </x:c>
      <x:c r="L633" s="8" t="n">
        <x:v>1000</x:v>
      </x:c>
      <x:c r="M633" s="10" t="n">
        <x:v>0</x:v>
      </x:c>
      <x:c r="N633" s="8" t="str">
        <x:v>c</x:v>
      </x:c>
      <x:c r="O633" s="8" t="n">
        <x:v>0</x:v>
      </x:c>
      <x:c r="P633" s="11" t="n">
        <x:f>MIN(X633,MAX(0,SUMIFS('Current inventory'!$D$2:$D$127,'Current inventory'!$A$2:$A$127,A633,'Current inventory'!$B$2:$B$127,B633)-SUMIFS($X$2:X632,$A$2:A632,A633,$B$2:B632,B633)))</x:f>
        <x:v>0</x:v>
      </x:c>
      <x:c r="Q633" s="1" t="str">
        <x:v>Excluded: not active</x:v>
      </x:c>
      <x:c r="R633" s="1" t="str">
        <x:v>updated receipts.csv</x:v>
      </x:c>
      <x:c r="S633" s="12" t="n">
        <x:f>IF(O633=1,I633*J633,0)</x:f>
        <x:v>0</x:v>
      </x:c>
      <x:c r="T633" s="13" t="n">
        <x:f>IF(L633&gt;0,K633/L633,"n.a.")</x:f>
        <x:v>0.53</x:v>
      </x:c>
      <x:c r="U633" s="12" t="n">
        <x:f>IF(Q633="Old cost",S633,0)</x:f>
        <x:v>0</x:v>
      </x:c>
      <x:c r="V633" s="12" t="n">
        <x:f>IF(Q633="Higher cost",S633,0)</x:f>
        <x:v>0</x:v>
      </x:c>
      <x:c r="W633" s="12" t="n">
        <x:f>IF(Q633="Unclassified",S633,0)</x:f>
        <x:v>0</x:v>
      </x:c>
      <x:c r="X633" s="12" t="n">
        <x:f>IF(AND(ISNUMBER(F633),F633&gt;0,F633&lt;=Summary!$D$5,H633&gt;0),H633*J633,0)</x:f>
        <x:v>0</x:v>
      </x:c>
    </x:row>
    <x:row r="634" ht="21" customHeight="1">
      <x:c r="A634" s="1" t="str">
        <x:v>10</x:v>
      </x:c>
      <x:c r="B634" s="1" t="str">
        <x:v>800BBLKASC</x:v>
      </x:c>
      <x:c r="C634" s="1" t="str">
        <x:v>1053953</x:v>
      </x:c>
      <x:c r="D634" s="1" t="str">
        <x:v>0</x:v>
      </x:c>
      <x:c r="E634" s="1" t="str">
        <x:v>1</x:v>
      </x:c>
      <x:c r="F634" s="7"/>
      <x:c r="G634" s="7" t="n">
        <x:v>44521</x:v>
      </x:c>
      <x:c r="H634" s="8" t="n">
        <x:v>283000</x:v>
      </x:c>
      <x:c r="I634" s="8" t="n">
        <x:v>283000</x:v>
      </x:c>
      <x:c r="J634" s="8" t="n">
        <x:v>1</x:v>
      </x:c>
      <x:c r="K634" s="9" t="n">
        <x:v>8.09</x:v>
      </x:c>
      <x:c r="L634" s="8" t="n">
        <x:v>100</x:v>
      </x:c>
      <x:c r="M634" s="10" t="n">
        <x:v>0</x:v>
      </x:c>
      <x:c r="N634" s="8" t="str">
        <x:v>c</x:v>
      </x:c>
      <x:c r="O634" s="8" t="n">
        <x:v>0</x:v>
      </x:c>
      <x:c r="P634" s="11" t="n">
        <x:f>MIN(X634,MAX(0,SUMIFS('Current inventory'!$D$2:$D$127,'Current inventory'!$A$2:$A$127,A634,'Current inventory'!$B$2:$B$127,B634)-SUMIFS($X$2:X633,$A$2:A633,A634,$B$2:B633,B634)))</x:f>
        <x:v>0</x:v>
      </x:c>
      <x:c r="Q634" s="1" t="str">
        <x:v>Excluded: not active</x:v>
      </x:c>
      <x:c r="R634" s="1" t="str">
        <x:v>updated receipts.csv</x:v>
      </x:c>
      <x:c r="S634" s="12" t="n">
        <x:f>IF(O634=1,I634*J634,0)</x:f>
        <x:v>0</x:v>
      </x:c>
      <x:c r="T634" s="13" t="n">
        <x:f>IF(L634&gt;0,K634/L634,"n.a.")</x:f>
        <x:v>0.0809</x:v>
      </x:c>
      <x:c r="U634" s="12" t="n">
        <x:f>IF(Q634="Old cost",S634,0)</x:f>
        <x:v>0</x:v>
      </x:c>
      <x:c r="V634" s="12" t="n">
        <x:f>IF(Q634="Higher cost",S634,0)</x:f>
        <x:v>0</x:v>
      </x:c>
      <x:c r="W634" s="12" t="n">
        <x:f>IF(Q634="Unclassified",S634,0)</x:f>
        <x:v>0</x:v>
      </x:c>
      <x:c r="X634" s="12" t="n">
        <x:f>IF(AND(ISNUMBER(F634),F634&gt;0,F634&lt;=Summary!$D$5,H634&gt;0),H634*J634,0)</x:f>
        <x:v>0</x:v>
      </x:c>
    </x:row>
    <x:row r="635" ht="21" customHeight="1">
      <x:c r="A635" s="1" t="str">
        <x:v>10</x:v>
      </x:c>
      <x:c r="B635" s="1" t="str">
        <x:v>800BBLKDSC</x:v>
      </x:c>
      <x:c r="C635" s="1" t="str">
        <x:v>1053953</x:v>
      </x:c>
      <x:c r="D635" s="1" t="str">
        <x:v>0</x:v>
      </x:c>
      <x:c r="E635" s="1" t="str">
        <x:v>2</x:v>
      </x:c>
      <x:c r="F635" s="7"/>
      <x:c r="G635" s="7" t="n">
        <x:v>44536</x:v>
      </x:c>
      <x:c r="H635" s="8" t="n">
        <x:v>19000</x:v>
      </x:c>
      <x:c r="I635" s="8" t="n">
        <x:v>19000</x:v>
      </x:c>
      <x:c r="J635" s="8" t="n">
        <x:v>1</x:v>
      </x:c>
      <x:c r="K635" s="9" t="n">
        <x:v>17.37</x:v>
      </x:c>
      <x:c r="L635" s="8" t="n">
        <x:v>100</x:v>
      </x:c>
      <x:c r="M635" s="10" t="n">
        <x:v>0</x:v>
      </x:c>
      <x:c r="N635" s="8" t="str">
        <x:v>c</x:v>
      </x:c>
      <x:c r="O635" s="8" t="n">
        <x:v>0</x:v>
      </x:c>
      <x:c r="P635" s="11" t="n">
        <x:f>MIN(X635,MAX(0,SUMIFS('Current inventory'!$D$2:$D$127,'Current inventory'!$A$2:$A$127,A635,'Current inventory'!$B$2:$B$127,B635)-SUMIFS($X$2:X634,$A$2:A634,A635,$B$2:B634,B635)))</x:f>
        <x:v>0</x:v>
      </x:c>
      <x:c r="Q635" s="1" t="str">
        <x:v>Excluded: not active</x:v>
      </x:c>
      <x:c r="R635" s="1" t="str">
        <x:v>updated receipts.csv</x:v>
      </x:c>
      <x:c r="S635" s="12" t="n">
        <x:f>IF(O635=1,I635*J635,0)</x:f>
        <x:v>0</x:v>
      </x:c>
      <x:c r="T635" s="13" t="n">
        <x:f>IF(L635&gt;0,K635/L635,"n.a.")</x:f>
        <x:v>0.17370000000000002</x:v>
      </x:c>
      <x:c r="U635" s="12" t="n">
        <x:f>IF(Q635="Old cost",S635,0)</x:f>
        <x:v>0</x:v>
      </x:c>
      <x:c r="V635" s="12" t="n">
        <x:f>IF(Q635="Higher cost",S635,0)</x:f>
        <x:v>0</x:v>
      </x:c>
      <x:c r="W635" s="12" t="n">
        <x:f>IF(Q635="Unclassified",S635,0)</x:f>
        <x:v>0</x:v>
      </x:c>
      <x:c r="X635" s="12" t="n">
        <x:f>IF(AND(ISNUMBER(F635),F635&gt;0,F635&lt;=Summary!$D$5,H635&gt;0),H635*J635,0)</x:f>
        <x:v>0</x:v>
      </x:c>
    </x:row>
    <x:row r="636" ht="21" customHeight="1">
      <x:c r="A636" s="1" t="str">
        <x:v>10</x:v>
      </x:c>
      <x:c r="B636" s="1" t="str">
        <x:v>800BBLKISC</x:v>
      </x:c>
      <x:c r="C636" s="1" t="str">
        <x:v>1053953</x:v>
      </x:c>
      <x:c r="D636" s="1" t="str">
        <x:v>0</x:v>
      </x:c>
      <x:c r="E636" s="1" t="str">
        <x:v>3</x:v>
      </x:c>
      <x:c r="F636" s="7"/>
      <x:c r="G636" s="7" t="n">
        <x:v>44536</x:v>
      </x:c>
      <x:c r="H636" s="8" t="n">
        <x:v>28000</x:v>
      </x:c>
      <x:c r="I636" s="8" t="n">
        <x:v>28000</x:v>
      </x:c>
      <x:c r="J636" s="8" t="n">
        <x:v>1</x:v>
      </x:c>
      <x:c r="K636" s="9" t="n">
        <x:v>9.06</x:v>
      </x:c>
      <x:c r="L636" s="8" t="n">
        <x:v>100</x:v>
      </x:c>
      <x:c r="M636" s="10" t="n">
        <x:v>0</x:v>
      </x:c>
      <x:c r="N636" s="8" t="str">
        <x:v>c</x:v>
      </x:c>
      <x:c r="O636" s="8" t="n">
        <x:v>0</x:v>
      </x:c>
      <x:c r="P636" s="11" t="n">
        <x:f>MIN(X636,MAX(0,SUMIFS('Current inventory'!$D$2:$D$127,'Current inventory'!$A$2:$A$127,A636,'Current inventory'!$B$2:$B$127,B636)-SUMIFS($X$2:X635,$A$2:A635,A636,$B$2:B635,B636)))</x:f>
        <x:v>0</x:v>
      </x:c>
      <x:c r="Q636" s="1" t="str">
        <x:v>Excluded: not active</x:v>
      </x:c>
      <x:c r="R636" s="1" t="str">
        <x:v>updated receipts.csv</x:v>
      </x:c>
      <x:c r="S636" s="12" t="n">
        <x:f>IF(O636=1,I636*J636,0)</x:f>
        <x:v>0</x:v>
      </x:c>
      <x:c r="T636" s="13" t="n">
        <x:f>IF(L636&gt;0,K636/L636,"n.a.")</x:f>
        <x:v>0.0906</x:v>
      </x:c>
      <x:c r="U636" s="12" t="n">
        <x:f>IF(Q636="Old cost",S636,0)</x:f>
        <x:v>0</x:v>
      </x:c>
      <x:c r="V636" s="12" t="n">
        <x:f>IF(Q636="Higher cost",S636,0)</x:f>
        <x:v>0</x:v>
      </x:c>
      <x:c r="W636" s="12" t="n">
        <x:f>IF(Q636="Unclassified",S636,0)</x:f>
        <x:v>0</x:v>
      </x:c>
      <x:c r="X636" s="12" t="n">
        <x:f>IF(AND(ISNUMBER(F636),F636&gt;0,F636&lt;=Summary!$D$5,H636&gt;0),H636*J636,0)</x:f>
        <x:v>0</x:v>
      </x:c>
    </x:row>
    <x:row r="637" ht="21" customHeight="1">
      <x:c r="A637" s="1" t="str">
        <x:v>10</x:v>
      </x:c>
      <x:c r="B637" s="1" t="str">
        <x:v>800BFGASC</x:v>
      </x:c>
      <x:c r="C637" s="1" t="str">
        <x:v>1053953</x:v>
      </x:c>
      <x:c r="D637" s="1" t="str">
        <x:v>0</x:v>
      </x:c>
      <x:c r="E637" s="1" t="str">
        <x:v>4</x:v>
      </x:c>
      <x:c r="F637" s="7"/>
      <x:c r="G637" s="7" t="n">
        <x:v>44546</x:v>
      </x:c>
      <x:c r="H637" s="8" t="n">
        <x:v>10000</x:v>
      </x:c>
      <x:c r="I637" s="8" t="n">
        <x:v>10000</x:v>
      </x:c>
      <x:c r="J637" s="8" t="n">
        <x:v>1</x:v>
      </x:c>
      <x:c r="K637" s="9" t="n">
        <x:v>8.3</x:v>
      </x:c>
      <x:c r="L637" s="8" t="n">
        <x:v>100</x:v>
      </x:c>
      <x:c r="M637" s="10" t="n">
        <x:v>0</x:v>
      </x:c>
      <x:c r="N637" s="8" t="str">
        <x:v>c</x:v>
      </x:c>
      <x:c r="O637" s="8" t="n">
        <x:v>0</x:v>
      </x:c>
      <x:c r="P637" s="11" t="n">
        <x:f>MIN(X637,MAX(0,SUMIFS('Current inventory'!$D$2:$D$127,'Current inventory'!$A$2:$A$127,A637,'Current inventory'!$B$2:$B$127,B637)-SUMIFS($X$2:X636,$A$2:A636,A637,$B$2:B636,B637)))</x:f>
        <x:v>0</x:v>
      </x:c>
      <x:c r="Q637" s="1" t="str">
        <x:v>Excluded: not active</x:v>
      </x:c>
      <x:c r="R637" s="1" t="str">
        <x:v>updated receipts.csv</x:v>
      </x:c>
      <x:c r="S637" s="12" t="n">
        <x:f>IF(O637=1,I637*J637,0)</x:f>
        <x:v>0</x:v>
      </x:c>
      <x:c r="T637" s="13" t="n">
        <x:f>IF(L637&gt;0,K637/L637,"n.a.")</x:f>
        <x:v>0.083</x:v>
      </x:c>
      <x:c r="U637" s="12" t="n">
        <x:f>IF(Q637="Old cost",S637,0)</x:f>
        <x:v>0</x:v>
      </x:c>
      <x:c r="V637" s="12" t="n">
        <x:f>IF(Q637="Higher cost",S637,0)</x:f>
        <x:v>0</x:v>
      </x:c>
      <x:c r="W637" s="12" t="n">
        <x:f>IF(Q637="Unclassified",S637,0)</x:f>
        <x:v>0</x:v>
      </x:c>
      <x:c r="X637" s="12" t="n">
        <x:f>IF(AND(ISNUMBER(F637),F637&gt;0,F637&lt;=Summary!$D$5,H637&gt;0),H637*J637,0)</x:f>
        <x:v>0</x:v>
      </x:c>
    </x:row>
    <x:row r="638" ht="21" customHeight="1">
      <x:c r="A638" s="1" t="str">
        <x:v>10</x:v>
      </x:c>
      <x:c r="B638" s="1" t="str">
        <x:v>800BLKE</x:v>
      </x:c>
      <x:c r="C638" s="1" t="str">
        <x:v>1053953</x:v>
      </x:c>
      <x:c r="D638" s="1" t="str">
        <x:v>0</x:v>
      </x:c>
      <x:c r="E638" s="1" t="str">
        <x:v>5</x:v>
      </x:c>
      <x:c r="F638" s="7"/>
      <x:c r="G638" s="7" t="n">
        <x:v>44536</x:v>
      </x:c>
      <x:c r="H638" s="8" t="n">
        <x:v>4000</x:v>
      </x:c>
      <x:c r="I638" s="8" t="n">
        <x:v>4000</x:v>
      </x:c>
      <x:c r="J638" s="8" t="n">
        <x:v>1</x:v>
      </x:c>
      <x:c r="K638" s="9" t="n">
        <x:v>530</x:v>
      </x:c>
      <x:c r="L638" s="8" t="n">
        <x:v>1000</x:v>
      </x:c>
      <x:c r="M638" s="10" t="n">
        <x:v>0</x:v>
      </x:c>
      <x:c r="N638" s="8" t="str">
        <x:v>c</x:v>
      </x:c>
      <x:c r="O638" s="8" t="n">
        <x:v>0</x:v>
      </x:c>
      <x:c r="P638" s="11" t="n">
        <x:f>MIN(X638,MAX(0,SUMIFS('Current inventory'!$D$2:$D$127,'Current inventory'!$A$2:$A$127,A638,'Current inventory'!$B$2:$B$127,B638)-SUMIFS($X$2:X637,$A$2:A637,A638,$B$2:B637,B638)))</x:f>
        <x:v>0</x:v>
      </x:c>
      <x:c r="Q638" s="1" t="str">
        <x:v>Excluded: not active</x:v>
      </x:c>
      <x:c r="R638" s="1" t="str">
        <x:v>updated receipts.csv</x:v>
      </x:c>
      <x:c r="S638" s="12" t="n">
        <x:f>IF(O638=1,I638*J638,0)</x:f>
        <x:v>0</x:v>
      </x:c>
      <x:c r="T638" s="13" t="n">
        <x:f>IF(L638&gt;0,K638/L638,"n.a.")</x:f>
        <x:v>0.53</x:v>
      </x:c>
      <x:c r="U638" s="12" t="n">
        <x:f>IF(Q638="Old cost",S638,0)</x:f>
        <x:v>0</x:v>
      </x:c>
      <x:c r="V638" s="12" t="n">
        <x:f>IF(Q638="Higher cost",S638,0)</x:f>
        <x:v>0</x:v>
      </x:c>
      <x:c r="W638" s="12" t="n">
        <x:f>IF(Q638="Unclassified",S638,0)</x:f>
        <x:v>0</x:v>
      </x:c>
      <x:c r="X638" s="12" t="n">
        <x:f>IF(AND(ISNUMBER(F638),F638&gt;0,F638&lt;=Summary!$D$5,H638&gt;0),H638*J638,0)</x:f>
        <x:v>0</x:v>
      </x:c>
    </x:row>
    <x:row r="639" ht="21" customHeight="1">
      <x:c r="A639" s="1" t="str">
        <x:v>10</x:v>
      </x:c>
      <x:c r="B639" s="1" t="str">
        <x:v>800BMARASC</x:v>
      </x:c>
      <x:c r="C639" s="1" t="str">
        <x:v>1053953</x:v>
      </x:c>
      <x:c r="D639" s="1" t="str">
        <x:v>0</x:v>
      </x:c>
      <x:c r="E639" s="1" t="str">
        <x:v>6</x:v>
      </x:c>
      <x:c r="F639" s="7"/>
      <x:c r="G639" s="7" t="n">
        <x:v>44536</x:v>
      </x:c>
      <x:c r="H639" s="8" t="n">
        <x:v>8000</x:v>
      </x:c>
      <x:c r="I639" s="8" t="n">
        <x:v>8000</x:v>
      </x:c>
      <x:c r="J639" s="8" t="n">
        <x:v>1</x:v>
      </x:c>
      <x:c r="K639" s="9" t="n">
        <x:v>8.3</x:v>
      </x:c>
      <x:c r="L639" s="8" t="n">
        <x:v>100</x:v>
      </x:c>
      <x:c r="M639" s="10" t="n">
        <x:v>0</x:v>
      </x:c>
      <x:c r="N639" s="8" t="str">
        <x:v>c</x:v>
      </x:c>
      <x:c r="O639" s="8" t="n">
        <x:v>0</x:v>
      </x:c>
      <x:c r="P639" s="11" t="n">
        <x:f>MIN(X639,MAX(0,SUMIFS('Current inventory'!$D$2:$D$127,'Current inventory'!$A$2:$A$127,A639,'Current inventory'!$B$2:$B$127,B639)-SUMIFS($X$2:X638,$A$2:A638,A639,$B$2:B638,B639)))</x:f>
        <x:v>0</x:v>
      </x:c>
      <x:c r="Q639" s="1" t="str">
        <x:v>Excluded: not active</x:v>
      </x:c>
      <x:c r="R639" s="1" t="str">
        <x:v>updated receipts.csv</x:v>
      </x:c>
      <x:c r="S639" s="12" t="n">
        <x:f>IF(O639=1,I639*J639,0)</x:f>
        <x:v>0</x:v>
      </x:c>
      <x:c r="T639" s="13" t="n">
        <x:f>IF(L639&gt;0,K639/L639,"n.a.")</x:f>
        <x:v>0.083</x:v>
      </x:c>
      <x:c r="U639" s="12" t="n">
        <x:f>IF(Q639="Old cost",S639,0)</x:f>
        <x:v>0</x:v>
      </x:c>
      <x:c r="V639" s="12" t="n">
        <x:f>IF(Q639="Higher cost",S639,0)</x:f>
        <x:v>0</x:v>
      </x:c>
      <x:c r="W639" s="12" t="n">
        <x:f>IF(Q639="Unclassified",S639,0)</x:f>
        <x:v>0</x:v>
      </x:c>
      <x:c r="X639" s="12" t="n">
        <x:f>IF(AND(ISNUMBER(F639),F639&gt;0,F639&lt;=Summary!$D$5,H639&gt;0),H639*J639,0)</x:f>
        <x:v>0</x:v>
      </x:c>
    </x:row>
    <x:row r="640" ht="21" customHeight="1">
      <x:c r="A640" s="1" t="str">
        <x:v>10</x:v>
      </x:c>
      <x:c r="B640" s="1" t="str">
        <x:v>800BMARDSC</x:v>
      </x:c>
      <x:c r="C640" s="1" t="str">
        <x:v>1053953</x:v>
      </x:c>
      <x:c r="D640" s="1" t="str">
        <x:v>0</x:v>
      </x:c>
      <x:c r="E640" s="1" t="str">
        <x:v>7</x:v>
      </x:c>
      <x:c r="F640" s="7"/>
      <x:c r="G640" s="7" t="n">
        <x:v>44497</x:v>
      </x:c>
      <x:c r="H640" s="8" t="n">
        <x:v>91</x:v>
      </x:c>
      <x:c r="I640" s="8" t="n">
        <x:v>91</x:v>
      </x:c>
      <x:c r="J640" s="8" t="n">
        <x:v>1</x:v>
      </x:c>
      <x:c r="K640" s="9" t="n">
        <x:v>17.37</x:v>
      </x:c>
      <x:c r="L640" s="8" t="n">
        <x:v>100</x:v>
      </x:c>
      <x:c r="M640" s="10" t="n">
        <x:v>0</x:v>
      </x:c>
      <x:c r="N640" s="8" t="str">
        <x:v>c</x:v>
      </x:c>
      <x:c r="O640" s="8" t="n">
        <x:v>0</x:v>
      </x:c>
      <x:c r="P640" s="11" t="n">
        <x:f>MIN(X640,MAX(0,SUMIFS('Current inventory'!$D$2:$D$127,'Current inventory'!$A$2:$A$127,A640,'Current inventory'!$B$2:$B$127,B640)-SUMIFS($X$2:X639,$A$2:A639,A640,$B$2:B639,B640)))</x:f>
        <x:v>0</x:v>
      </x:c>
      <x:c r="Q640" s="1" t="str">
        <x:v>Excluded: not active</x:v>
      </x:c>
      <x:c r="R640" s="1" t="str">
        <x:v>updated receipts.csv</x:v>
      </x:c>
      <x:c r="S640" s="12" t="n">
        <x:f>IF(O640=1,I640*J640,0)</x:f>
        <x:v>0</x:v>
      </x:c>
      <x:c r="T640" s="13" t="n">
        <x:f>IF(L640&gt;0,K640/L640,"n.a.")</x:f>
        <x:v>0.17370000000000002</x:v>
      </x:c>
      <x:c r="U640" s="12" t="n">
        <x:f>IF(Q640="Old cost",S640,0)</x:f>
        <x:v>0</x:v>
      </x:c>
      <x:c r="V640" s="12" t="n">
        <x:f>IF(Q640="Higher cost",S640,0)</x:f>
        <x:v>0</x:v>
      </x:c>
      <x:c r="W640" s="12" t="n">
        <x:f>IF(Q640="Unclassified",S640,0)</x:f>
        <x:v>0</x:v>
      </x:c>
      <x:c r="X640" s="12" t="n">
        <x:f>IF(AND(ISNUMBER(F640),F640&gt;0,F640&lt;=Summary!$D$5,H640&gt;0),H640*J640,0)</x:f>
        <x:v>0</x:v>
      </x:c>
    </x:row>
    <x:row r="641" ht="21" customHeight="1">
      <x:c r="A641" s="1" t="str">
        <x:v>10</x:v>
      </x:c>
      <x:c r="B641" s="1" t="str">
        <x:v>800BNAVASC</x:v>
      </x:c>
      <x:c r="C641" s="1" t="str">
        <x:v>1053953</x:v>
      </x:c>
      <x:c r="D641" s="1" t="str">
        <x:v>0</x:v>
      </x:c>
      <x:c r="E641" s="1" t="str">
        <x:v>8</x:v>
      </x:c>
      <x:c r="F641" s="7"/>
      <x:c r="G641" s="7" t="n">
        <x:v>44536</x:v>
      </x:c>
      <x:c r="H641" s="8" t="n">
        <x:v>26000</x:v>
      </x:c>
      <x:c r="I641" s="8" t="n">
        <x:v>26000</x:v>
      </x:c>
      <x:c r="J641" s="8" t="n">
        <x:v>1</x:v>
      </x:c>
      <x:c r="K641" s="9" t="n">
        <x:v>8.09</x:v>
      </x:c>
      <x:c r="L641" s="8" t="n">
        <x:v>100</x:v>
      </x:c>
      <x:c r="M641" s="10" t="n">
        <x:v>0</x:v>
      </x:c>
      <x:c r="N641" s="8" t="str">
        <x:v>c</x:v>
      </x:c>
      <x:c r="O641" s="8" t="n">
        <x:v>0</x:v>
      </x:c>
      <x:c r="P641" s="11" t="n">
        <x:f>MIN(X641,MAX(0,SUMIFS('Current inventory'!$D$2:$D$127,'Current inventory'!$A$2:$A$127,A641,'Current inventory'!$B$2:$B$127,B641)-SUMIFS($X$2:X640,$A$2:A640,A641,$B$2:B640,B641)))</x:f>
        <x:v>0</x:v>
      </x:c>
      <x:c r="Q641" s="1" t="str">
        <x:v>Excluded: not active</x:v>
      </x:c>
      <x:c r="R641" s="1" t="str">
        <x:v>updated receipts.csv</x:v>
      </x:c>
      <x:c r="S641" s="12" t="n">
        <x:f>IF(O641=1,I641*J641,0)</x:f>
        <x:v>0</x:v>
      </x:c>
      <x:c r="T641" s="13" t="n">
        <x:f>IF(L641&gt;0,K641/L641,"n.a.")</x:f>
        <x:v>0.0809</x:v>
      </x:c>
      <x:c r="U641" s="12" t="n">
        <x:f>IF(Q641="Old cost",S641,0)</x:f>
        <x:v>0</x:v>
      </x:c>
      <x:c r="V641" s="12" t="n">
        <x:f>IF(Q641="Higher cost",S641,0)</x:f>
        <x:v>0</x:v>
      </x:c>
      <x:c r="W641" s="12" t="n">
        <x:f>IF(Q641="Unclassified",S641,0)</x:f>
        <x:v>0</x:v>
      </x:c>
      <x:c r="X641" s="12" t="n">
        <x:f>IF(AND(ISNUMBER(F641),F641&gt;0,F641&lt;=Summary!$D$5,H641&gt;0),H641*J641,0)</x:f>
        <x:v>0</x:v>
      </x:c>
    </x:row>
    <x:row r="642" ht="21" customHeight="1">
      <x:c r="A642" s="1" t="str">
        <x:v>10</x:v>
      </x:c>
      <x:c r="B642" s="1" t="str">
        <x:v>800BWHTASC</x:v>
      </x:c>
      <x:c r="C642" s="1" t="str">
        <x:v>1053953</x:v>
      </x:c>
      <x:c r="D642" s="1" t="str">
        <x:v>0</x:v>
      </x:c>
      <x:c r="E642" s="1" t="str">
        <x:v>9</x:v>
      </x:c>
      <x:c r="F642" s="7"/>
      <x:c r="G642" s="7" t="n">
        <x:v>44511</x:v>
      </x:c>
      <x:c r="H642" s="8" t="n">
        <x:v>8000</x:v>
      </x:c>
      <x:c r="I642" s="8" t="n">
        <x:v>8000</x:v>
      </x:c>
      <x:c r="J642" s="8" t="n">
        <x:v>1</x:v>
      </x:c>
      <x:c r="K642" s="9" t="n">
        <x:v>8.3</x:v>
      </x:c>
      <x:c r="L642" s="8" t="n">
        <x:v>100</x:v>
      </x:c>
      <x:c r="M642" s="10" t="n">
        <x:v>0</x:v>
      </x:c>
      <x:c r="N642" s="8" t="str">
        <x:v>c</x:v>
      </x:c>
      <x:c r="O642" s="8" t="n">
        <x:v>0</x:v>
      </x:c>
      <x:c r="P642" s="11" t="n">
        <x:f>MIN(X642,MAX(0,SUMIFS('Current inventory'!$D$2:$D$127,'Current inventory'!$A$2:$A$127,A642,'Current inventory'!$B$2:$B$127,B642)-SUMIFS($X$2:X641,$A$2:A641,A642,$B$2:B641,B642)))</x:f>
        <x:v>0</x:v>
      </x:c>
      <x:c r="Q642" s="1" t="str">
        <x:v>Excluded: not active</x:v>
      </x:c>
      <x:c r="R642" s="1" t="str">
        <x:v>updated receipts.csv</x:v>
      </x:c>
      <x:c r="S642" s="12" t="n">
        <x:f>IF(O642=1,I642*J642,0)</x:f>
        <x:v>0</x:v>
      </x:c>
      <x:c r="T642" s="13" t="n">
        <x:f>IF(L642&gt;0,K642/L642,"n.a.")</x:f>
        <x:v>0.083</x:v>
      </x:c>
      <x:c r="U642" s="12" t="n">
        <x:f>IF(Q642="Old cost",S642,0)</x:f>
        <x:v>0</x:v>
      </x:c>
      <x:c r="V642" s="12" t="n">
        <x:f>IF(Q642="Higher cost",S642,0)</x:f>
        <x:v>0</x:v>
      </x:c>
      <x:c r="W642" s="12" t="n">
        <x:f>IF(Q642="Unclassified",S642,0)</x:f>
        <x:v>0</x:v>
      </x:c>
      <x:c r="X642" s="12" t="n">
        <x:f>IF(AND(ISNUMBER(F642),F642&gt;0,F642&lt;=Summary!$D$5,H642&gt;0),H642*J642,0)</x:f>
        <x:v>0</x:v>
      </x:c>
    </x:row>
    <x:row r="643" ht="21" customHeight="1">
      <x:c r="A643" s="1" t="str">
        <x:v>10</x:v>
      </x:c>
      <x:c r="B643" s="1" t="str">
        <x:v>800NAVE</x:v>
      </x:c>
      <x:c r="C643" s="1" t="str">
        <x:v>1053953</x:v>
      </x:c>
      <x:c r="D643" s="1" t="str">
        <x:v>0</x:v>
      </x:c>
      <x:c r="E643" s="1" t="str">
        <x:v>12</x:v>
      </x:c>
      <x:c r="F643" s="7"/>
      <x:c r="G643" s="7" t="n">
        <x:v>44509</x:v>
      </x:c>
      <x:c r="H643" s="8" t="n">
        <x:v>3000</x:v>
      </x:c>
      <x:c r="I643" s="8" t="n">
        <x:v>3000</x:v>
      </x:c>
      <x:c r="J643" s="8" t="n">
        <x:v>1</x:v>
      </x:c>
      <x:c r="K643" s="9" t="n">
        <x:v>530</x:v>
      </x:c>
      <x:c r="L643" s="8" t="n">
        <x:v>1000</x:v>
      </x:c>
      <x:c r="M643" s="10" t="n">
        <x:v>0</x:v>
      </x:c>
      <x:c r="N643" s="8" t="str">
        <x:v>c</x:v>
      </x:c>
      <x:c r="O643" s="8" t="n">
        <x:v>0</x:v>
      </x:c>
      <x:c r="P643" s="11" t="n">
        <x:f>MIN(X643,MAX(0,SUMIFS('Current inventory'!$D$2:$D$127,'Current inventory'!$A$2:$A$127,A643,'Current inventory'!$B$2:$B$127,B643)-SUMIFS($X$2:X642,$A$2:A642,A643,$B$2:B642,B643)))</x:f>
        <x:v>0</x:v>
      </x:c>
      <x:c r="Q643" s="1" t="str">
        <x:v>Excluded: not active</x:v>
      </x:c>
      <x:c r="R643" s="1" t="str">
        <x:v>updated receipts.csv</x:v>
      </x:c>
      <x:c r="S643" s="12" t="n">
        <x:f>IF(O643=1,I643*J643,0)</x:f>
        <x:v>0</x:v>
      </x:c>
      <x:c r="T643" s="13" t="n">
        <x:f>IF(L643&gt;0,K643/L643,"n.a.")</x:f>
        <x:v>0.53</x:v>
      </x:c>
      <x:c r="U643" s="12" t="n">
        <x:f>IF(Q643="Old cost",S643,0)</x:f>
        <x:v>0</x:v>
      </x:c>
      <x:c r="V643" s="12" t="n">
        <x:f>IF(Q643="Higher cost",S643,0)</x:f>
        <x:v>0</x:v>
      </x:c>
      <x:c r="W643" s="12" t="n">
        <x:f>IF(Q643="Unclassified",S643,0)</x:f>
        <x:v>0</x:v>
      </x:c>
      <x:c r="X643" s="12" t="n">
        <x:f>IF(AND(ISNUMBER(F643),F643&gt;0,F643&lt;=Summary!$D$5,H643&gt;0),H643*J643,0)</x:f>
        <x:v>0</x:v>
      </x:c>
    </x:row>
    <x:row r="644" ht="21" customHeight="1">
      <x:c r="A644" s="1" t="str">
        <x:v>10</x:v>
      </x:c>
      <x:c r="B644" s="1" t="str">
        <x:v>800BBLKASC</x:v>
      </x:c>
      <x:c r="C644" s="1" t="str">
        <x:v>1053948</x:v>
      </x:c>
      <x:c r="D644" s="1" t="str">
        <x:v>0</x:v>
      </x:c>
      <x:c r="E644" s="1" t="str">
        <x:v>1</x:v>
      </x:c>
      <x:c r="F644" s="7"/>
      <x:c r="G644" s="7" t="n">
        <x:v>44521</x:v>
      </x:c>
      <x:c r="H644" s="8" t="n">
        <x:v>283000</x:v>
      </x:c>
      <x:c r="I644" s="8" t="n">
        <x:v>283000</x:v>
      </x:c>
      <x:c r="J644" s="8" t="n">
        <x:v>1</x:v>
      </x:c>
      <x:c r="K644" s="9" t="n">
        <x:v>8.09</x:v>
      </x:c>
      <x:c r="L644" s="8" t="n">
        <x:v>100</x:v>
      </x:c>
      <x:c r="M644" s="10" t="n">
        <x:v>0</x:v>
      </x:c>
      <x:c r="N644" s="8" t="str">
        <x:v>c</x:v>
      </x:c>
      <x:c r="O644" s="8" t="n">
        <x:v>0</x:v>
      </x:c>
      <x:c r="P644" s="11" t="n">
        <x:f>MIN(X644,MAX(0,SUMIFS('Current inventory'!$D$2:$D$127,'Current inventory'!$A$2:$A$127,A644,'Current inventory'!$B$2:$B$127,B644)-SUMIFS($X$2:X643,$A$2:A643,A644,$B$2:B643,B644)))</x:f>
        <x:v>0</x:v>
      </x:c>
      <x:c r="Q644" s="1" t="str">
        <x:v>Excluded: not active</x:v>
      </x:c>
      <x:c r="R644" s="1" t="str">
        <x:v>updated receipts.csv</x:v>
      </x:c>
      <x:c r="S644" s="12" t="n">
        <x:f>IF(O644=1,I644*J644,0)</x:f>
        <x:v>0</x:v>
      </x:c>
      <x:c r="T644" s="13" t="n">
        <x:f>IF(L644&gt;0,K644/L644,"n.a.")</x:f>
        <x:v>0.0809</x:v>
      </x:c>
      <x:c r="U644" s="12" t="n">
        <x:f>IF(Q644="Old cost",S644,0)</x:f>
        <x:v>0</x:v>
      </x:c>
      <x:c r="V644" s="12" t="n">
        <x:f>IF(Q644="Higher cost",S644,0)</x:f>
        <x:v>0</x:v>
      </x:c>
      <x:c r="W644" s="12" t="n">
        <x:f>IF(Q644="Unclassified",S644,0)</x:f>
        <x:v>0</x:v>
      </x:c>
      <x:c r="X644" s="12" t="n">
        <x:f>IF(AND(ISNUMBER(F644),F644&gt;0,F644&lt;=Summary!$D$5,H644&gt;0),H644*J644,0)</x:f>
        <x:v>0</x:v>
      </x:c>
    </x:row>
    <x:row r="645" ht="21" customHeight="1">
      <x:c r="A645" s="1" t="str">
        <x:v>10</x:v>
      </x:c>
      <x:c r="B645" s="1" t="str">
        <x:v>800BBLKDSC</x:v>
      </x:c>
      <x:c r="C645" s="1" t="str">
        <x:v>1053948</x:v>
      </x:c>
      <x:c r="D645" s="1" t="str">
        <x:v>0</x:v>
      </x:c>
      <x:c r="E645" s="1" t="str">
        <x:v>2</x:v>
      </x:c>
      <x:c r="F645" s="7"/>
      <x:c r="G645" s="7" t="n">
        <x:v>44536</x:v>
      </x:c>
      <x:c r="H645" s="8" t="n">
        <x:v>19000</x:v>
      </x:c>
      <x:c r="I645" s="8" t="n">
        <x:v>19000</x:v>
      </x:c>
      <x:c r="J645" s="8" t="n">
        <x:v>1</x:v>
      </x:c>
      <x:c r="K645" s="9" t="n">
        <x:v>17.37</x:v>
      </x:c>
      <x:c r="L645" s="8" t="n">
        <x:v>100</x:v>
      </x:c>
      <x:c r="M645" s="10" t="n">
        <x:v>0</x:v>
      </x:c>
      <x:c r="N645" s="8" t="str">
        <x:v>c</x:v>
      </x:c>
      <x:c r="O645" s="8" t="n">
        <x:v>0</x:v>
      </x:c>
      <x:c r="P645" s="11" t="n">
        <x:f>MIN(X645,MAX(0,SUMIFS('Current inventory'!$D$2:$D$127,'Current inventory'!$A$2:$A$127,A645,'Current inventory'!$B$2:$B$127,B645)-SUMIFS($X$2:X644,$A$2:A644,A645,$B$2:B644,B645)))</x:f>
        <x:v>0</x:v>
      </x:c>
      <x:c r="Q645" s="1" t="str">
        <x:v>Excluded: not active</x:v>
      </x:c>
      <x:c r="R645" s="1" t="str">
        <x:v>updated receipts.csv</x:v>
      </x:c>
      <x:c r="S645" s="12" t="n">
        <x:f>IF(O645=1,I645*J645,0)</x:f>
        <x:v>0</x:v>
      </x:c>
      <x:c r="T645" s="13" t="n">
        <x:f>IF(L645&gt;0,K645/L645,"n.a.")</x:f>
        <x:v>0.17370000000000002</x:v>
      </x:c>
      <x:c r="U645" s="12" t="n">
        <x:f>IF(Q645="Old cost",S645,0)</x:f>
        <x:v>0</x:v>
      </x:c>
      <x:c r="V645" s="12" t="n">
        <x:f>IF(Q645="Higher cost",S645,0)</x:f>
        <x:v>0</x:v>
      </x:c>
      <x:c r="W645" s="12" t="n">
        <x:f>IF(Q645="Unclassified",S645,0)</x:f>
        <x:v>0</x:v>
      </x:c>
      <x:c r="X645" s="12" t="n">
        <x:f>IF(AND(ISNUMBER(F645),F645&gt;0,F645&lt;=Summary!$D$5,H645&gt;0),H645*J645,0)</x:f>
        <x:v>0</x:v>
      </x:c>
    </x:row>
    <x:row r="646" ht="21" customHeight="1">
      <x:c r="A646" s="1" t="str">
        <x:v>10</x:v>
      </x:c>
      <x:c r="B646" s="1" t="str">
        <x:v>800BBLKISC</x:v>
      </x:c>
      <x:c r="C646" s="1" t="str">
        <x:v>1053948</x:v>
      </x:c>
      <x:c r="D646" s="1" t="str">
        <x:v>0</x:v>
      </x:c>
      <x:c r="E646" s="1" t="str">
        <x:v>3</x:v>
      </x:c>
      <x:c r="F646" s="7"/>
      <x:c r="G646" s="7" t="n">
        <x:v>44536</x:v>
      </x:c>
      <x:c r="H646" s="8" t="n">
        <x:v>28000</x:v>
      </x:c>
      <x:c r="I646" s="8" t="n">
        <x:v>28000</x:v>
      </x:c>
      <x:c r="J646" s="8" t="n">
        <x:v>1</x:v>
      </x:c>
      <x:c r="K646" s="9" t="n">
        <x:v>9.06</x:v>
      </x:c>
      <x:c r="L646" s="8" t="n">
        <x:v>100</x:v>
      </x:c>
      <x:c r="M646" s="10" t="n">
        <x:v>0</x:v>
      </x:c>
      <x:c r="N646" s="8" t="str">
        <x:v>c</x:v>
      </x:c>
      <x:c r="O646" s="8" t="n">
        <x:v>0</x:v>
      </x:c>
      <x:c r="P646" s="11" t="n">
        <x:f>MIN(X646,MAX(0,SUMIFS('Current inventory'!$D$2:$D$127,'Current inventory'!$A$2:$A$127,A646,'Current inventory'!$B$2:$B$127,B646)-SUMIFS($X$2:X645,$A$2:A645,A646,$B$2:B645,B646)))</x:f>
        <x:v>0</x:v>
      </x:c>
      <x:c r="Q646" s="1" t="str">
        <x:v>Excluded: not active</x:v>
      </x:c>
      <x:c r="R646" s="1" t="str">
        <x:v>updated receipts.csv</x:v>
      </x:c>
      <x:c r="S646" s="12" t="n">
        <x:f>IF(O646=1,I646*J646,0)</x:f>
        <x:v>0</x:v>
      </x:c>
      <x:c r="T646" s="13" t="n">
        <x:f>IF(L646&gt;0,K646/L646,"n.a.")</x:f>
        <x:v>0.0906</x:v>
      </x:c>
      <x:c r="U646" s="12" t="n">
        <x:f>IF(Q646="Old cost",S646,0)</x:f>
        <x:v>0</x:v>
      </x:c>
      <x:c r="V646" s="12" t="n">
        <x:f>IF(Q646="Higher cost",S646,0)</x:f>
        <x:v>0</x:v>
      </x:c>
      <x:c r="W646" s="12" t="n">
        <x:f>IF(Q646="Unclassified",S646,0)</x:f>
        <x:v>0</x:v>
      </x:c>
      <x:c r="X646" s="12" t="n">
        <x:f>IF(AND(ISNUMBER(F646),F646&gt;0,F646&lt;=Summary!$D$5,H646&gt;0),H646*J646,0)</x:f>
        <x:v>0</x:v>
      </x:c>
    </x:row>
    <x:row r="647" ht="21" customHeight="1">
      <x:c r="A647" s="1" t="str">
        <x:v>10</x:v>
      </x:c>
      <x:c r="B647" s="1" t="str">
        <x:v>800BFGASC</x:v>
      </x:c>
      <x:c r="C647" s="1" t="str">
        <x:v>1053948</x:v>
      </x:c>
      <x:c r="D647" s="1" t="str">
        <x:v>0</x:v>
      </x:c>
      <x:c r="E647" s="1" t="str">
        <x:v>4</x:v>
      </x:c>
      <x:c r="F647" s="7"/>
      <x:c r="G647" s="7" t="n">
        <x:v>44546</x:v>
      </x:c>
      <x:c r="H647" s="8" t="n">
        <x:v>10000</x:v>
      </x:c>
      <x:c r="I647" s="8" t="n">
        <x:v>10000</x:v>
      </x:c>
      <x:c r="J647" s="8" t="n">
        <x:v>1</x:v>
      </x:c>
      <x:c r="K647" s="9" t="n">
        <x:v>8.3</x:v>
      </x:c>
      <x:c r="L647" s="8" t="n">
        <x:v>100</x:v>
      </x:c>
      <x:c r="M647" s="10" t="n">
        <x:v>0</x:v>
      </x:c>
      <x:c r="N647" s="8" t="str">
        <x:v>c</x:v>
      </x:c>
      <x:c r="O647" s="8" t="n">
        <x:v>0</x:v>
      </x:c>
      <x:c r="P647" s="11" t="n">
        <x:f>MIN(X647,MAX(0,SUMIFS('Current inventory'!$D$2:$D$127,'Current inventory'!$A$2:$A$127,A647,'Current inventory'!$B$2:$B$127,B647)-SUMIFS($X$2:X646,$A$2:A646,A647,$B$2:B646,B647)))</x:f>
        <x:v>0</x:v>
      </x:c>
      <x:c r="Q647" s="1" t="str">
        <x:v>Excluded: not active</x:v>
      </x:c>
      <x:c r="R647" s="1" t="str">
        <x:v>updated receipts.csv</x:v>
      </x:c>
      <x:c r="S647" s="12" t="n">
        <x:f>IF(O647=1,I647*J647,0)</x:f>
        <x:v>0</x:v>
      </x:c>
      <x:c r="T647" s="13" t="n">
        <x:f>IF(L647&gt;0,K647/L647,"n.a.")</x:f>
        <x:v>0.083</x:v>
      </x:c>
      <x:c r="U647" s="12" t="n">
        <x:f>IF(Q647="Old cost",S647,0)</x:f>
        <x:v>0</x:v>
      </x:c>
      <x:c r="V647" s="12" t="n">
        <x:f>IF(Q647="Higher cost",S647,0)</x:f>
        <x:v>0</x:v>
      </x:c>
      <x:c r="W647" s="12" t="n">
        <x:f>IF(Q647="Unclassified",S647,0)</x:f>
        <x:v>0</x:v>
      </x:c>
      <x:c r="X647" s="12" t="n">
        <x:f>IF(AND(ISNUMBER(F647),F647&gt;0,F647&lt;=Summary!$D$5,H647&gt;0),H647*J647,0)</x:f>
        <x:v>0</x:v>
      </x:c>
    </x:row>
    <x:row r="648" ht="21" customHeight="1">
      <x:c r="A648" s="1" t="str">
        <x:v>10</x:v>
      </x:c>
      <x:c r="B648" s="1" t="str">
        <x:v>800BLKE</x:v>
      </x:c>
      <x:c r="C648" s="1" t="str">
        <x:v>1053948</x:v>
      </x:c>
      <x:c r="D648" s="1" t="str">
        <x:v>0</x:v>
      </x:c>
      <x:c r="E648" s="1" t="str">
        <x:v>5</x:v>
      </x:c>
      <x:c r="F648" s="7"/>
      <x:c r="G648" s="7" t="n">
        <x:v>44536</x:v>
      </x:c>
      <x:c r="H648" s="8" t="n">
        <x:v>4000</x:v>
      </x:c>
      <x:c r="I648" s="8" t="n">
        <x:v>4000</x:v>
      </x:c>
      <x:c r="J648" s="8" t="n">
        <x:v>1</x:v>
      </x:c>
      <x:c r="K648" s="9" t="n">
        <x:v>530</x:v>
      </x:c>
      <x:c r="L648" s="8" t="n">
        <x:v>1000</x:v>
      </x:c>
      <x:c r="M648" s="10" t="n">
        <x:v>0</x:v>
      </x:c>
      <x:c r="N648" s="8" t="str">
        <x:v>c</x:v>
      </x:c>
      <x:c r="O648" s="8" t="n">
        <x:v>0</x:v>
      </x:c>
      <x:c r="P648" s="11" t="n">
        <x:f>MIN(X648,MAX(0,SUMIFS('Current inventory'!$D$2:$D$127,'Current inventory'!$A$2:$A$127,A648,'Current inventory'!$B$2:$B$127,B648)-SUMIFS($X$2:X647,$A$2:A647,A648,$B$2:B647,B648)))</x:f>
        <x:v>0</x:v>
      </x:c>
      <x:c r="Q648" s="1" t="str">
        <x:v>Excluded: not active</x:v>
      </x:c>
      <x:c r="R648" s="1" t="str">
        <x:v>updated receipts.csv</x:v>
      </x:c>
      <x:c r="S648" s="12" t="n">
        <x:f>IF(O648=1,I648*J648,0)</x:f>
        <x:v>0</x:v>
      </x:c>
      <x:c r="T648" s="13" t="n">
        <x:f>IF(L648&gt;0,K648/L648,"n.a.")</x:f>
        <x:v>0.53</x:v>
      </x:c>
      <x:c r="U648" s="12" t="n">
        <x:f>IF(Q648="Old cost",S648,0)</x:f>
        <x:v>0</x:v>
      </x:c>
      <x:c r="V648" s="12" t="n">
        <x:f>IF(Q648="Higher cost",S648,0)</x:f>
        <x:v>0</x:v>
      </x:c>
      <x:c r="W648" s="12" t="n">
        <x:f>IF(Q648="Unclassified",S648,0)</x:f>
        <x:v>0</x:v>
      </x:c>
      <x:c r="X648" s="12" t="n">
        <x:f>IF(AND(ISNUMBER(F648),F648&gt;0,F648&lt;=Summary!$D$5,H648&gt;0),H648*J648,0)</x:f>
        <x:v>0</x:v>
      </x:c>
    </x:row>
    <x:row r="649" ht="21" customHeight="1">
      <x:c r="A649" s="1" t="str">
        <x:v>10</x:v>
      </x:c>
      <x:c r="B649" s="1" t="str">
        <x:v>800BMARASC</x:v>
      </x:c>
      <x:c r="C649" s="1" t="str">
        <x:v>1053948</x:v>
      </x:c>
      <x:c r="D649" s="1" t="str">
        <x:v>0</x:v>
      </x:c>
      <x:c r="E649" s="1" t="str">
        <x:v>6</x:v>
      </x:c>
      <x:c r="F649" s="7"/>
      <x:c r="G649" s="7" t="n">
        <x:v>44536</x:v>
      </x:c>
      <x:c r="H649" s="8" t="n">
        <x:v>8000</x:v>
      </x:c>
      <x:c r="I649" s="8" t="n">
        <x:v>8000</x:v>
      </x:c>
      <x:c r="J649" s="8" t="n">
        <x:v>1</x:v>
      </x:c>
      <x:c r="K649" s="9" t="n">
        <x:v>8.3</x:v>
      </x:c>
      <x:c r="L649" s="8" t="n">
        <x:v>100</x:v>
      </x:c>
      <x:c r="M649" s="10" t="n">
        <x:v>0</x:v>
      </x:c>
      <x:c r="N649" s="8" t="str">
        <x:v>c</x:v>
      </x:c>
      <x:c r="O649" s="8" t="n">
        <x:v>0</x:v>
      </x:c>
      <x:c r="P649" s="11" t="n">
        <x:f>MIN(X649,MAX(0,SUMIFS('Current inventory'!$D$2:$D$127,'Current inventory'!$A$2:$A$127,A649,'Current inventory'!$B$2:$B$127,B649)-SUMIFS($X$2:X648,$A$2:A648,A649,$B$2:B648,B649)))</x:f>
        <x:v>0</x:v>
      </x:c>
      <x:c r="Q649" s="1" t="str">
        <x:v>Excluded: not active</x:v>
      </x:c>
      <x:c r="R649" s="1" t="str">
        <x:v>updated receipts.csv</x:v>
      </x:c>
      <x:c r="S649" s="12" t="n">
        <x:f>IF(O649=1,I649*J649,0)</x:f>
        <x:v>0</x:v>
      </x:c>
      <x:c r="T649" s="13" t="n">
        <x:f>IF(L649&gt;0,K649/L649,"n.a.")</x:f>
        <x:v>0.083</x:v>
      </x:c>
      <x:c r="U649" s="12" t="n">
        <x:f>IF(Q649="Old cost",S649,0)</x:f>
        <x:v>0</x:v>
      </x:c>
      <x:c r="V649" s="12" t="n">
        <x:f>IF(Q649="Higher cost",S649,0)</x:f>
        <x:v>0</x:v>
      </x:c>
      <x:c r="W649" s="12" t="n">
        <x:f>IF(Q649="Unclassified",S649,0)</x:f>
        <x:v>0</x:v>
      </x:c>
      <x:c r="X649" s="12" t="n">
        <x:f>IF(AND(ISNUMBER(F649),F649&gt;0,F649&lt;=Summary!$D$5,H649&gt;0),H649*J649,0)</x:f>
        <x:v>0</x:v>
      </x:c>
    </x:row>
    <x:row r="650" ht="21" customHeight="1">
      <x:c r="A650" s="1" t="str">
        <x:v>10</x:v>
      </x:c>
      <x:c r="B650" s="1" t="str">
        <x:v>800BMARDSC</x:v>
      </x:c>
      <x:c r="C650" s="1" t="str">
        <x:v>1053948</x:v>
      </x:c>
      <x:c r="D650" s="1" t="str">
        <x:v>0</x:v>
      </x:c>
      <x:c r="E650" s="1" t="str">
        <x:v>7</x:v>
      </x:c>
      <x:c r="F650" s="7"/>
      <x:c r="G650" s="7" t="n">
        <x:v>44497</x:v>
      </x:c>
      <x:c r="H650" s="8" t="n">
        <x:v>91</x:v>
      </x:c>
      <x:c r="I650" s="8" t="n">
        <x:v>91</x:v>
      </x:c>
      <x:c r="J650" s="8" t="n">
        <x:v>1</x:v>
      </x:c>
      <x:c r="K650" s="9" t="n">
        <x:v>17.37</x:v>
      </x:c>
      <x:c r="L650" s="8" t="n">
        <x:v>100</x:v>
      </x:c>
      <x:c r="M650" s="10" t="n">
        <x:v>0</x:v>
      </x:c>
      <x:c r="N650" s="8" t="str">
        <x:v>c</x:v>
      </x:c>
      <x:c r="O650" s="8" t="n">
        <x:v>0</x:v>
      </x:c>
      <x:c r="P650" s="11" t="n">
        <x:f>MIN(X650,MAX(0,SUMIFS('Current inventory'!$D$2:$D$127,'Current inventory'!$A$2:$A$127,A650,'Current inventory'!$B$2:$B$127,B650)-SUMIFS($X$2:X649,$A$2:A649,A650,$B$2:B649,B650)))</x:f>
        <x:v>0</x:v>
      </x:c>
      <x:c r="Q650" s="1" t="str">
        <x:v>Excluded: not active</x:v>
      </x:c>
      <x:c r="R650" s="1" t="str">
        <x:v>updated receipts.csv</x:v>
      </x:c>
      <x:c r="S650" s="12" t="n">
        <x:f>IF(O650=1,I650*J650,0)</x:f>
        <x:v>0</x:v>
      </x:c>
      <x:c r="T650" s="13" t="n">
        <x:f>IF(L650&gt;0,K650/L650,"n.a.")</x:f>
        <x:v>0.17370000000000002</x:v>
      </x:c>
      <x:c r="U650" s="12" t="n">
        <x:f>IF(Q650="Old cost",S650,0)</x:f>
        <x:v>0</x:v>
      </x:c>
      <x:c r="V650" s="12" t="n">
        <x:f>IF(Q650="Higher cost",S650,0)</x:f>
        <x:v>0</x:v>
      </x:c>
      <x:c r="W650" s="12" t="n">
        <x:f>IF(Q650="Unclassified",S650,0)</x:f>
        <x:v>0</x:v>
      </x:c>
      <x:c r="X650" s="12" t="n">
        <x:f>IF(AND(ISNUMBER(F650),F650&gt;0,F650&lt;=Summary!$D$5,H650&gt;0),H650*J650,0)</x:f>
        <x:v>0</x:v>
      </x:c>
    </x:row>
    <x:row r="651" ht="21" customHeight="1">
      <x:c r="A651" s="1" t="str">
        <x:v>10</x:v>
      </x:c>
      <x:c r="B651" s="1" t="str">
        <x:v>800BNAVASC</x:v>
      </x:c>
      <x:c r="C651" s="1" t="str">
        <x:v>1053948</x:v>
      </x:c>
      <x:c r="D651" s="1" t="str">
        <x:v>0</x:v>
      </x:c>
      <x:c r="E651" s="1" t="str">
        <x:v>8</x:v>
      </x:c>
      <x:c r="F651" s="7"/>
      <x:c r="G651" s="7" t="n">
        <x:v>44536</x:v>
      </x:c>
      <x:c r="H651" s="8" t="n">
        <x:v>26000</x:v>
      </x:c>
      <x:c r="I651" s="8" t="n">
        <x:v>26000</x:v>
      </x:c>
      <x:c r="J651" s="8" t="n">
        <x:v>1</x:v>
      </x:c>
      <x:c r="K651" s="9" t="n">
        <x:v>8.09</x:v>
      </x:c>
      <x:c r="L651" s="8" t="n">
        <x:v>100</x:v>
      </x:c>
      <x:c r="M651" s="10" t="n">
        <x:v>0</x:v>
      </x:c>
      <x:c r="N651" s="8" t="str">
        <x:v>c</x:v>
      </x:c>
      <x:c r="O651" s="8" t="n">
        <x:v>0</x:v>
      </x:c>
      <x:c r="P651" s="11" t="n">
        <x:f>MIN(X651,MAX(0,SUMIFS('Current inventory'!$D$2:$D$127,'Current inventory'!$A$2:$A$127,A651,'Current inventory'!$B$2:$B$127,B651)-SUMIFS($X$2:X650,$A$2:A650,A651,$B$2:B650,B651)))</x:f>
        <x:v>0</x:v>
      </x:c>
      <x:c r="Q651" s="1" t="str">
        <x:v>Excluded: not active</x:v>
      </x:c>
      <x:c r="R651" s="1" t="str">
        <x:v>updated receipts.csv</x:v>
      </x:c>
      <x:c r="S651" s="12" t="n">
        <x:f>IF(O651=1,I651*J651,0)</x:f>
        <x:v>0</x:v>
      </x:c>
      <x:c r="T651" s="13" t="n">
        <x:f>IF(L651&gt;0,K651/L651,"n.a.")</x:f>
        <x:v>0.0809</x:v>
      </x:c>
      <x:c r="U651" s="12" t="n">
        <x:f>IF(Q651="Old cost",S651,0)</x:f>
        <x:v>0</x:v>
      </x:c>
      <x:c r="V651" s="12" t="n">
        <x:f>IF(Q651="Higher cost",S651,0)</x:f>
        <x:v>0</x:v>
      </x:c>
      <x:c r="W651" s="12" t="n">
        <x:f>IF(Q651="Unclassified",S651,0)</x:f>
        <x:v>0</x:v>
      </x:c>
      <x:c r="X651" s="12" t="n">
        <x:f>IF(AND(ISNUMBER(F651),F651&gt;0,F651&lt;=Summary!$D$5,H651&gt;0),H651*J651,0)</x:f>
        <x:v>0</x:v>
      </x:c>
    </x:row>
    <x:row r="652" ht="21" customHeight="1">
      <x:c r="A652" s="1" t="str">
        <x:v>10</x:v>
      </x:c>
      <x:c r="B652" s="1" t="str">
        <x:v>800BWHTASC</x:v>
      </x:c>
      <x:c r="C652" s="1" t="str">
        <x:v>1053948</x:v>
      </x:c>
      <x:c r="D652" s="1" t="str">
        <x:v>0</x:v>
      </x:c>
      <x:c r="E652" s="1" t="str">
        <x:v>9</x:v>
      </x:c>
      <x:c r="F652" s="7"/>
      <x:c r="G652" s="7" t="n">
        <x:v>44511</x:v>
      </x:c>
      <x:c r="H652" s="8" t="n">
        <x:v>8000</x:v>
      </x:c>
      <x:c r="I652" s="8" t="n">
        <x:v>8000</x:v>
      </x:c>
      <x:c r="J652" s="8" t="n">
        <x:v>1</x:v>
      </x:c>
      <x:c r="K652" s="9" t="n">
        <x:v>8.3</x:v>
      </x:c>
      <x:c r="L652" s="8" t="n">
        <x:v>100</x:v>
      </x:c>
      <x:c r="M652" s="10" t="n">
        <x:v>0</x:v>
      </x:c>
      <x:c r="N652" s="8" t="str">
        <x:v>c</x:v>
      </x:c>
      <x:c r="O652" s="8" t="n">
        <x:v>0</x:v>
      </x:c>
      <x:c r="P652" s="11" t="n">
        <x:f>MIN(X652,MAX(0,SUMIFS('Current inventory'!$D$2:$D$127,'Current inventory'!$A$2:$A$127,A652,'Current inventory'!$B$2:$B$127,B652)-SUMIFS($X$2:X651,$A$2:A651,A652,$B$2:B651,B652)))</x:f>
        <x:v>0</x:v>
      </x:c>
      <x:c r="Q652" s="1" t="str">
        <x:v>Excluded: not active</x:v>
      </x:c>
      <x:c r="R652" s="1" t="str">
        <x:v>updated receipts.csv</x:v>
      </x:c>
      <x:c r="S652" s="12" t="n">
        <x:f>IF(O652=1,I652*J652,0)</x:f>
        <x:v>0</x:v>
      </x:c>
      <x:c r="T652" s="13" t="n">
        <x:f>IF(L652&gt;0,K652/L652,"n.a.")</x:f>
        <x:v>0.083</x:v>
      </x:c>
      <x:c r="U652" s="12" t="n">
        <x:f>IF(Q652="Old cost",S652,0)</x:f>
        <x:v>0</x:v>
      </x:c>
      <x:c r="V652" s="12" t="n">
        <x:f>IF(Q652="Higher cost",S652,0)</x:f>
        <x:v>0</x:v>
      </x:c>
      <x:c r="W652" s="12" t="n">
        <x:f>IF(Q652="Unclassified",S652,0)</x:f>
        <x:v>0</x:v>
      </x:c>
      <x:c r="X652" s="12" t="n">
        <x:f>IF(AND(ISNUMBER(F652),F652&gt;0,F652&lt;=Summary!$D$5,H652&gt;0),H652*J652,0)</x:f>
        <x:v>0</x:v>
      </x:c>
    </x:row>
    <x:row r="653" ht="21" customHeight="1">
      <x:c r="A653" s="1" t="str">
        <x:v>10</x:v>
      </x:c>
      <x:c r="B653" s="1" t="str">
        <x:v>800NAVE</x:v>
      </x:c>
      <x:c r="C653" s="1" t="str">
        <x:v>1053948</x:v>
      </x:c>
      <x:c r="D653" s="1" t="str">
        <x:v>0</x:v>
      </x:c>
      <x:c r="E653" s="1" t="str">
        <x:v>12</x:v>
      </x:c>
      <x:c r="F653" s="7"/>
      <x:c r="G653" s="7" t="n">
        <x:v>44509</x:v>
      </x:c>
      <x:c r="H653" s="8" t="n">
        <x:v>3000</x:v>
      </x:c>
      <x:c r="I653" s="8" t="n">
        <x:v>3000</x:v>
      </x:c>
      <x:c r="J653" s="8" t="n">
        <x:v>1</x:v>
      </x:c>
      <x:c r="K653" s="9" t="n">
        <x:v>530</x:v>
      </x:c>
      <x:c r="L653" s="8" t="n">
        <x:v>1000</x:v>
      </x:c>
      <x:c r="M653" s="10" t="n">
        <x:v>0</x:v>
      </x:c>
      <x:c r="N653" s="8" t="str">
        <x:v>c</x:v>
      </x:c>
      <x:c r="O653" s="8" t="n">
        <x:v>0</x:v>
      </x:c>
      <x:c r="P653" s="11" t="n">
        <x:f>MIN(X653,MAX(0,SUMIFS('Current inventory'!$D$2:$D$127,'Current inventory'!$A$2:$A$127,A653,'Current inventory'!$B$2:$B$127,B653)-SUMIFS($X$2:X652,$A$2:A652,A653,$B$2:B652,B653)))</x:f>
        <x:v>0</x:v>
      </x:c>
      <x:c r="Q653" s="1" t="str">
        <x:v>Excluded: not active</x:v>
      </x:c>
      <x:c r="R653" s="1" t="str">
        <x:v>updated receipts.csv</x:v>
      </x:c>
      <x:c r="S653" s="12" t="n">
        <x:f>IF(O653=1,I653*J653,0)</x:f>
        <x:v>0</x:v>
      </x:c>
      <x:c r="T653" s="13" t="n">
        <x:f>IF(L653&gt;0,K653/L653,"n.a.")</x:f>
        <x:v>0.53</x:v>
      </x:c>
      <x:c r="U653" s="12" t="n">
        <x:f>IF(Q653="Old cost",S653,0)</x:f>
        <x:v>0</x:v>
      </x:c>
      <x:c r="V653" s="12" t="n">
        <x:f>IF(Q653="Higher cost",S653,0)</x:f>
        <x:v>0</x:v>
      </x:c>
      <x:c r="W653" s="12" t="n">
        <x:f>IF(Q653="Unclassified",S653,0)</x:f>
        <x:v>0</x:v>
      </x:c>
      <x:c r="X653" s="12" t="n">
        <x:f>IF(AND(ISNUMBER(F653),F653&gt;0,F653&lt;=Summary!$D$5,H653&gt;0),H653*J653,0)</x:f>
        <x:v>0</x:v>
      </x:c>
    </x:row>
    <x:row r="654" ht="21" customHeight="1">
      <x:c r="A654" s="1" t="str">
        <x:v>10</x:v>
      </x:c>
      <x:c r="B654" s="1" t="str">
        <x:v>800BBLKASC</x:v>
      </x:c>
      <x:c r="C654" s="1" t="str">
        <x:v>1053826</x:v>
      </x:c>
      <x:c r="D654" s="1" t="str">
        <x:v>0</x:v>
      </x:c>
      <x:c r="E654" s="1" t="str">
        <x:v>1</x:v>
      </x:c>
      <x:c r="F654" s="7"/>
      <x:c r="G654" s="7" t="n">
        <x:v>44515</x:v>
      </x:c>
      <x:c r="H654" s="8" t="n">
        <x:v>640000</x:v>
      </x:c>
      <x:c r="I654" s="8" t="n">
        <x:v>640000</x:v>
      </x:c>
      <x:c r="J654" s="8" t="n">
        <x:v>1</x:v>
      </x:c>
      <x:c r="K654" s="9" t="n">
        <x:v>9.83</x:v>
      </x:c>
      <x:c r="L654" s="8" t="n">
        <x:v>100</x:v>
      </x:c>
      <x:c r="M654" s="10" t="n">
        <x:v>0</x:v>
      </x:c>
      <x:c r="N654" s="8" t="str">
        <x:v>c</x:v>
      </x:c>
      <x:c r="O654" s="8" t="n">
        <x:v>0</x:v>
      </x:c>
      <x:c r="P654" s="11" t="n">
        <x:f>MIN(X654,MAX(0,SUMIFS('Current inventory'!$D$2:$D$127,'Current inventory'!$A$2:$A$127,A654,'Current inventory'!$B$2:$B$127,B654)-SUMIFS($X$2:X653,$A$2:A653,A654,$B$2:B653,B654)))</x:f>
        <x:v>0</x:v>
      </x:c>
      <x:c r="Q654" s="1" t="str">
        <x:v>Excluded: not active</x:v>
      </x:c>
      <x:c r="R654" s="1" t="str">
        <x:v>updated receipts.csv</x:v>
      </x:c>
      <x:c r="S654" s="12" t="n">
        <x:f>IF(O654=1,I654*J654,0)</x:f>
        <x:v>0</x:v>
      </x:c>
      <x:c r="T654" s="13" t="n">
        <x:f>IF(L654&gt;0,K654/L654,"n.a.")</x:f>
        <x:v>0.0983</x:v>
      </x:c>
      <x:c r="U654" s="12" t="n">
        <x:f>IF(Q654="Old cost",S654,0)</x:f>
        <x:v>0</x:v>
      </x:c>
      <x:c r="V654" s="12" t="n">
        <x:f>IF(Q654="Higher cost",S654,0)</x:f>
        <x:v>0</x:v>
      </x:c>
      <x:c r="W654" s="12" t="n">
        <x:f>IF(Q654="Unclassified",S654,0)</x:f>
        <x:v>0</x:v>
      </x:c>
      <x:c r="X654" s="12" t="n">
        <x:f>IF(AND(ISNUMBER(F654),F654&gt;0,F654&lt;=Summary!$D$5,H654&gt;0),H654*J654,0)</x:f>
        <x:v>0</x:v>
      </x:c>
    </x:row>
    <x:row r="655" ht="21" customHeight="1">
      <x:c r="A655" s="1" t="str">
        <x:v>10</x:v>
      </x:c>
      <x:c r="B655" s="1" t="str">
        <x:v>800BBLKDSC</x:v>
      </x:c>
      <x:c r="C655" s="1" t="str">
        <x:v>1053826</x:v>
      </x:c>
      <x:c r="D655" s="1" t="str">
        <x:v>0</x:v>
      </x:c>
      <x:c r="E655" s="1" t="str">
        <x:v>7</x:v>
      </x:c>
      <x:c r="F655" s="7"/>
      <x:c r="G655" s="7" t="n">
        <x:v>44515</x:v>
      </x:c>
      <x:c r="H655" s="8" t="n">
        <x:v>120000</x:v>
      </x:c>
      <x:c r="I655" s="8" t="n">
        <x:v>120000</x:v>
      </x:c>
      <x:c r="J655" s="8" t="n">
        <x:v>1</x:v>
      </x:c>
      <x:c r="K655" s="9" t="n">
        <x:v>26.15</x:v>
      </x:c>
      <x:c r="L655" s="8" t="n">
        <x:v>100</x:v>
      </x:c>
      <x:c r="M655" s="10" t="n">
        <x:v>0</x:v>
      </x:c>
      <x:c r="N655" s="8" t="str">
        <x:v>c</x:v>
      </x:c>
      <x:c r="O655" s="8" t="n">
        <x:v>0</x:v>
      </x:c>
      <x:c r="P655" s="11" t="n">
        <x:f>MIN(X655,MAX(0,SUMIFS('Current inventory'!$D$2:$D$127,'Current inventory'!$A$2:$A$127,A655,'Current inventory'!$B$2:$B$127,B655)-SUMIFS($X$2:X654,$A$2:A654,A655,$B$2:B654,B655)))</x:f>
        <x:v>0</x:v>
      </x:c>
      <x:c r="Q655" s="1" t="str">
        <x:v>Excluded: not active</x:v>
      </x:c>
      <x:c r="R655" s="1" t="str">
        <x:v>updated receipts.csv</x:v>
      </x:c>
      <x:c r="S655" s="12" t="n">
        <x:f>IF(O655=1,I655*J655,0)</x:f>
        <x:v>0</x:v>
      </x:c>
      <x:c r="T655" s="13" t="n">
        <x:f>IF(L655&gt;0,K655/L655,"n.a.")</x:f>
        <x:v>0.2615</x:v>
      </x:c>
      <x:c r="U655" s="12" t="n">
        <x:f>IF(Q655="Old cost",S655,0)</x:f>
        <x:v>0</x:v>
      </x:c>
      <x:c r="V655" s="12" t="n">
        <x:f>IF(Q655="Higher cost",S655,0)</x:f>
        <x:v>0</x:v>
      </x:c>
      <x:c r="W655" s="12" t="n">
        <x:f>IF(Q655="Unclassified",S655,0)</x:f>
        <x:v>0</x:v>
      </x:c>
      <x:c r="X655" s="12" t="n">
        <x:f>IF(AND(ISNUMBER(F655),F655&gt;0,F655&lt;=Summary!$D$5,H655&gt;0),H655*J655,0)</x:f>
        <x:v>0</x:v>
      </x:c>
    </x:row>
    <x:row r="656" ht="21" customHeight="1">
      <x:c r="A656" s="1" t="str">
        <x:v>10</x:v>
      </x:c>
      <x:c r="B656" s="1" t="str">
        <x:v>800BBLKISC</x:v>
      </x:c>
      <x:c r="C656" s="1" t="str">
        <x:v>1053826</x:v>
      </x:c>
      <x:c r="D656" s="1" t="str">
        <x:v>0</x:v>
      </x:c>
      <x:c r="E656" s="1" t="str">
        <x:v>6</x:v>
      </x:c>
      <x:c r="F656" s="7"/>
      <x:c r="G656" s="7" t="n">
        <x:v>44515</x:v>
      </x:c>
      <x:c r="H656" s="8" t="n">
        <x:v>80000</x:v>
      </x:c>
      <x:c r="I656" s="8" t="n">
        <x:v>80000</x:v>
      </x:c>
      <x:c r="J656" s="8" t="n">
        <x:v>1</x:v>
      </x:c>
      <x:c r="K656" s="9" t="n">
        <x:v>13.42</x:v>
      </x:c>
      <x:c r="L656" s="8" t="n">
        <x:v>100</x:v>
      </x:c>
      <x:c r="M656" s="10" t="n">
        <x:v>0</x:v>
      </x:c>
      <x:c r="N656" s="8" t="str">
        <x:v>c</x:v>
      </x:c>
      <x:c r="O656" s="8" t="n">
        <x:v>0</x:v>
      </x:c>
      <x:c r="P656" s="11" t="n">
        <x:f>MIN(X656,MAX(0,SUMIFS('Current inventory'!$D$2:$D$127,'Current inventory'!$A$2:$A$127,A656,'Current inventory'!$B$2:$B$127,B656)-SUMIFS($X$2:X655,$A$2:A655,A656,$B$2:B655,B656)))</x:f>
        <x:v>0</x:v>
      </x:c>
      <x:c r="Q656" s="1" t="str">
        <x:v>Excluded: not active</x:v>
      </x:c>
      <x:c r="R656" s="1" t="str">
        <x:v>updated receipts.csv</x:v>
      </x:c>
      <x:c r="S656" s="12" t="n">
        <x:f>IF(O656=1,I656*J656,0)</x:f>
        <x:v>0</x:v>
      </x:c>
      <x:c r="T656" s="13" t="n">
        <x:f>IF(L656&gt;0,K656/L656,"n.a.")</x:f>
        <x:v>0.13419999999999999</x:v>
      </x:c>
      <x:c r="U656" s="12" t="n">
        <x:f>IF(Q656="Old cost",S656,0)</x:f>
        <x:v>0</x:v>
      </x:c>
      <x:c r="V656" s="12" t="n">
        <x:f>IF(Q656="Higher cost",S656,0)</x:f>
        <x:v>0</x:v>
      </x:c>
      <x:c r="W656" s="12" t="n">
        <x:f>IF(Q656="Unclassified",S656,0)</x:f>
        <x:v>0</x:v>
      </x:c>
      <x:c r="X656" s="12" t="n">
        <x:f>IF(AND(ISNUMBER(F656),F656&gt;0,F656&lt;=Summary!$D$5,H656&gt;0),H656*J656,0)</x:f>
        <x:v>0</x:v>
      </x:c>
    </x:row>
    <x:row r="657" ht="21" customHeight="1">
      <x:c r="A657" s="1" t="str">
        <x:v>10</x:v>
      </x:c>
      <x:c r="B657" s="1" t="str">
        <x:v>800BFGASC</x:v>
      </x:c>
      <x:c r="C657" s="1" t="str">
        <x:v>1053826</x:v>
      </x:c>
      <x:c r="D657" s="1" t="str">
        <x:v>0</x:v>
      </x:c>
      <x:c r="E657" s="1" t="str">
        <x:v>2</x:v>
      </x:c>
      <x:c r="F657" s="7"/>
      <x:c r="G657" s="7" t="n">
        <x:v>44515</x:v>
      </x:c>
      <x:c r="H657" s="8" t="n">
        <x:v>40000</x:v>
      </x:c>
      <x:c r="I657" s="8" t="n">
        <x:v>40000</x:v>
      </x:c>
      <x:c r="J657" s="8" t="n">
        <x:v>1</x:v>
      </x:c>
      <x:c r="K657" s="9" t="n">
        <x:v>13.54</x:v>
      </x:c>
      <x:c r="L657" s="8" t="n">
        <x:v>100</x:v>
      </x:c>
      <x:c r="M657" s="10" t="n">
        <x:v>0</x:v>
      </x:c>
      <x:c r="N657" s="8" t="str">
        <x:v>c</x:v>
      </x:c>
      <x:c r="O657" s="8" t="n">
        <x:v>0</x:v>
      </x:c>
      <x:c r="P657" s="11" t="n">
        <x:f>MIN(X657,MAX(0,SUMIFS('Current inventory'!$D$2:$D$127,'Current inventory'!$A$2:$A$127,A657,'Current inventory'!$B$2:$B$127,B657)-SUMIFS($X$2:X656,$A$2:A656,A657,$B$2:B656,B657)))</x:f>
        <x:v>0</x:v>
      </x:c>
      <x:c r="Q657" s="1" t="str">
        <x:v>Excluded: not active</x:v>
      </x:c>
      <x:c r="R657" s="1" t="str">
        <x:v>updated receipts.csv</x:v>
      </x:c>
      <x:c r="S657" s="12" t="n">
        <x:f>IF(O657=1,I657*J657,0)</x:f>
        <x:v>0</x:v>
      </x:c>
      <x:c r="T657" s="13" t="n">
        <x:f>IF(L657&gt;0,K657/L657,"n.a.")</x:f>
        <x:v>0.1354</x:v>
      </x:c>
      <x:c r="U657" s="12" t="n">
        <x:f>IF(Q657="Old cost",S657,0)</x:f>
        <x:v>0</x:v>
      </x:c>
      <x:c r="V657" s="12" t="n">
        <x:f>IF(Q657="Higher cost",S657,0)</x:f>
        <x:v>0</x:v>
      </x:c>
      <x:c r="W657" s="12" t="n">
        <x:f>IF(Q657="Unclassified",S657,0)</x:f>
        <x:v>0</x:v>
      </x:c>
      <x:c r="X657" s="12" t="n">
        <x:f>IF(AND(ISNUMBER(F657),F657&gt;0,F657&lt;=Summary!$D$5,H657&gt;0),H657*J657,0)</x:f>
        <x:v>0</x:v>
      </x:c>
    </x:row>
    <x:row r="658" ht="21" customHeight="1">
      <x:c r="A658" s="1" t="str">
        <x:v>10</x:v>
      </x:c>
      <x:c r="B658" s="1" t="str">
        <x:v>800BLKE</x:v>
      </x:c>
      <x:c r="C658" s="1" t="str">
        <x:v>1053826</x:v>
      </x:c>
      <x:c r="D658" s="1" t="str">
        <x:v>0</x:v>
      </x:c>
      <x:c r="E658" s="1" t="str">
        <x:v>8</x:v>
      </x:c>
      <x:c r="F658" s="7"/>
      <x:c r="G658" s="7" t="n">
        <x:v>44515</x:v>
      </x:c>
      <x:c r="H658" s="8" t="n">
        <x:v>10500</x:v>
      </x:c>
      <x:c r="I658" s="8" t="n">
        <x:v>10500</x:v>
      </x:c>
      <x:c r="J658" s="8" t="n">
        <x:v>1</x:v>
      </x:c>
      <x:c r="K658" s="9" t="n">
        <x:v>720</x:v>
      </x:c>
      <x:c r="L658" s="8" t="n">
        <x:v>1000</x:v>
      </x:c>
      <x:c r="M658" s="10" t="n">
        <x:v>0</x:v>
      </x:c>
      <x:c r="N658" s="8" t="str">
        <x:v>c</x:v>
      </x:c>
      <x:c r="O658" s="8" t="n">
        <x:v>0</x:v>
      </x:c>
      <x:c r="P658" s="11" t="n">
        <x:f>MIN(X658,MAX(0,SUMIFS('Current inventory'!$D$2:$D$127,'Current inventory'!$A$2:$A$127,A658,'Current inventory'!$B$2:$B$127,B658)-SUMIFS($X$2:X657,$A$2:A657,A658,$B$2:B657,B658)))</x:f>
        <x:v>0</x:v>
      </x:c>
      <x:c r="Q658" s="1" t="str">
        <x:v>Excluded: not active</x:v>
      </x:c>
      <x:c r="R658" s="1" t="str">
        <x:v>updated receipts.csv</x:v>
      </x:c>
      <x:c r="S658" s="12" t="n">
        <x:f>IF(O658=1,I658*J658,0)</x:f>
        <x:v>0</x:v>
      </x:c>
      <x:c r="T658" s="13" t="n">
        <x:f>IF(L658&gt;0,K658/L658,"n.a.")</x:f>
        <x:v>0.72</x:v>
      </x:c>
      <x:c r="U658" s="12" t="n">
        <x:f>IF(Q658="Old cost",S658,0)</x:f>
        <x:v>0</x:v>
      </x:c>
      <x:c r="V658" s="12" t="n">
        <x:f>IF(Q658="Higher cost",S658,0)</x:f>
        <x:v>0</x:v>
      </x:c>
      <x:c r="W658" s="12" t="n">
        <x:f>IF(Q658="Unclassified",S658,0)</x:f>
        <x:v>0</x:v>
      </x:c>
      <x:c r="X658" s="12" t="n">
        <x:f>IF(AND(ISNUMBER(F658),F658&gt;0,F658&lt;=Summary!$D$5,H658&gt;0),H658*J658,0)</x:f>
        <x:v>0</x:v>
      </x:c>
    </x:row>
    <x:row r="659" ht="21" customHeight="1">
      <x:c r="A659" s="1" t="str">
        <x:v>10</x:v>
      </x:c>
      <x:c r="B659" s="1" t="str">
        <x:v>800BMARASC</x:v>
      </x:c>
      <x:c r="C659" s="1" t="str">
        <x:v>1053826</x:v>
      </x:c>
      <x:c r="D659" s="1" t="str">
        <x:v>0</x:v>
      </x:c>
      <x:c r="E659" s="1" t="str">
        <x:v>3</x:v>
      </x:c>
      <x:c r="F659" s="7"/>
      <x:c r="G659" s="7" t="n">
        <x:v>44515</x:v>
      </x:c>
      <x:c r="H659" s="8" t="n">
        <x:v>80000</x:v>
      </x:c>
      <x:c r="I659" s="8" t="n">
        <x:v>80000</x:v>
      </x:c>
      <x:c r="J659" s="8" t="n">
        <x:v>1</x:v>
      </x:c>
      <x:c r="K659" s="9" t="n">
        <x:v>12.45</x:v>
      </x:c>
      <x:c r="L659" s="8" t="n">
        <x:v>100</x:v>
      </x:c>
      <x:c r="M659" s="10" t="n">
        <x:v>0</x:v>
      </x:c>
      <x:c r="N659" s="8" t="str">
        <x:v>c</x:v>
      </x:c>
      <x:c r="O659" s="8" t="n">
        <x:v>0</x:v>
      </x:c>
      <x:c r="P659" s="11" t="n">
        <x:f>MIN(X659,MAX(0,SUMIFS('Current inventory'!$D$2:$D$127,'Current inventory'!$A$2:$A$127,A659,'Current inventory'!$B$2:$B$127,B659)-SUMIFS($X$2:X658,$A$2:A658,A659,$B$2:B658,B659)))</x:f>
        <x:v>0</x:v>
      </x:c>
      <x:c r="Q659" s="1" t="str">
        <x:v>Excluded: not active</x:v>
      </x:c>
      <x:c r="R659" s="1" t="str">
        <x:v>updated receipts.csv</x:v>
      </x:c>
      <x:c r="S659" s="12" t="n">
        <x:f>IF(O659=1,I659*J659,0)</x:f>
        <x:v>0</x:v>
      </x:c>
      <x:c r="T659" s="13" t="n">
        <x:f>IF(L659&gt;0,K659/L659,"n.a.")</x:f>
        <x:v>0.1245</x:v>
      </x:c>
      <x:c r="U659" s="12" t="n">
        <x:f>IF(Q659="Old cost",S659,0)</x:f>
        <x:v>0</x:v>
      </x:c>
      <x:c r="V659" s="12" t="n">
        <x:f>IF(Q659="Higher cost",S659,0)</x:f>
        <x:v>0</x:v>
      </x:c>
      <x:c r="W659" s="12" t="n">
        <x:f>IF(Q659="Unclassified",S659,0)</x:f>
        <x:v>0</x:v>
      </x:c>
      <x:c r="X659" s="12" t="n">
        <x:f>IF(AND(ISNUMBER(F659),F659&gt;0,F659&lt;=Summary!$D$5,H659&gt;0),H659*J659,0)</x:f>
        <x:v>0</x:v>
      </x:c>
    </x:row>
    <x:row r="660" ht="21" customHeight="1">
      <x:c r="A660" s="1" t="str">
        <x:v>10</x:v>
      </x:c>
      <x:c r="B660" s="1" t="str">
        <x:v>800BNAVASC</x:v>
      </x:c>
      <x:c r="C660" s="1" t="str">
        <x:v>1053826</x:v>
      </x:c>
      <x:c r="D660" s="1" t="str">
        <x:v>0</x:v>
      </x:c>
      <x:c r="E660" s="1" t="str">
        <x:v>4</x:v>
      </x:c>
      <x:c r="F660" s="7"/>
      <x:c r="G660" s="7" t="n">
        <x:v>44515</x:v>
      </x:c>
      <x:c r="H660" s="8" t="n">
        <x:v>120000</x:v>
      </x:c>
      <x:c r="I660" s="8" t="n">
        <x:v>120000</x:v>
      </x:c>
      <x:c r="J660" s="8" t="n">
        <x:v>1</x:v>
      </x:c>
      <x:c r="K660" s="9" t="n">
        <x:v>11.79</x:v>
      </x:c>
      <x:c r="L660" s="8" t="n">
        <x:v>100</x:v>
      </x:c>
      <x:c r="M660" s="10" t="n">
        <x:v>0</x:v>
      </x:c>
      <x:c r="N660" s="8" t="str">
        <x:v>c</x:v>
      </x:c>
      <x:c r="O660" s="8" t="n">
        <x:v>0</x:v>
      </x:c>
      <x:c r="P660" s="11" t="n">
        <x:f>MIN(X660,MAX(0,SUMIFS('Current inventory'!$D$2:$D$127,'Current inventory'!$A$2:$A$127,A660,'Current inventory'!$B$2:$B$127,B660)-SUMIFS($X$2:X659,$A$2:A659,A660,$B$2:B659,B660)))</x:f>
        <x:v>0</x:v>
      </x:c>
      <x:c r="Q660" s="1" t="str">
        <x:v>Excluded: not active</x:v>
      </x:c>
      <x:c r="R660" s="1" t="str">
        <x:v>updated receipts.csv</x:v>
      </x:c>
      <x:c r="S660" s="12" t="n">
        <x:f>IF(O660=1,I660*J660,0)</x:f>
        <x:v>0</x:v>
      </x:c>
      <x:c r="T660" s="13" t="n">
        <x:f>IF(L660&gt;0,K660/L660,"n.a.")</x:f>
        <x:v>0.11789999999999999</x:v>
      </x:c>
      <x:c r="U660" s="12" t="n">
        <x:f>IF(Q660="Old cost",S660,0)</x:f>
        <x:v>0</x:v>
      </x:c>
      <x:c r="V660" s="12" t="n">
        <x:f>IF(Q660="Higher cost",S660,0)</x:f>
        <x:v>0</x:v>
      </x:c>
      <x:c r="W660" s="12" t="n">
        <x:f>IF(Q660="Unclassified",S660,0)</x:f>
        <x:v>0</x:v>
      </x:c>
      <x:c r="X660" s="12" t="n">
        <x:f>IF(AND(ISNUMBER(F660),F660&gt;0,F660&lt;=Summary!$D$5,H660&gt;0),H660*J660,0)</x:f>
        <x:v>0</x:v>
      </x:c>
    </x:row>
    <x:row r="661" ht="21" customHeight="1">
      <x:c r="A661" s="1" t="str">
        <x:v>10</x:v>
      </x:c>
      <x:c r="B661" s="1" t="str">
        <x:v>800BWHTASC</x:v>
      </x:c>
      <x:c r="C661" s="1" t="str">
        <x:v>1053826</x:v>
      </x:c>
      <x:c r="D661" s="1" t="str">
        <x:v>0</x:v>
      </x:c>
      <x:c r="E661" s="1" t="str">
        <x:v>5</x:v>
      </x:c>
      <x:c r="F661" s="7"/>
      <x:c r="G661" s="7" t="n">
        <x:v>44515</x:v>
      </x:c>
      <x:c r="H661" s="8" t="n">
        <x:v>40000</x:v>
      </x:c>
      <x:c r="I661" s="8" t="n">
        <x:v>40000</x:v>
      </x:c>
      <x:c r="J661" s="8" t="n">
        <x:v>1</x:v>
      </x:c>
      <x:c r="K661" s="9" t="n">
        <x:v>13.54</x:v>
      </x:c>
      <x:c r="L661" s="8" t="n">
        <x:v>100</x:v>
      </x:c>
      <x:c r="M661" s="10" t="n">
        <x:v>0</x:v>
      </x:c>
      <x:c r="N661" s="8" t="str">
        <x:v>c</x:v>
      </x:c>
      <x:c r="O661" s="8" t="n">
        <x:v>0</x:v>
      </x:c>
      <x:c r="P661" s="11" t="n">
        <x:f>MIN(X661,MAX(0,SUMIFS('Current inventory'!$D$2:$D$127,'Current inventory'!$A$2:$A$127,A661,'Current inventory'!$B$2:$B$127,B661)-SUMIFS($X$2:X660,$A$2:A660,A661,$B$2:B660,B661)))</x:f>
        <x:v>0</x:v>
      </x:c>
      <x:c r="Q661" s="1" t="str">
        <x:v>Excluded: not active</x:v>
      </x:c>
      <x:c r="R661" s="1" t="str">
        <x:v>updated receipts.csv</x:v>
      </x:c>
      <x:c r="S661" s="12" t="n">
        <x:f>IF(O661=1,I661*J661,0)</x:f>
        <x:v>0</x:v>
      </x:c>
      <x:c r="T661" s="13" t="n">
        <x:f>IF(L661&gt;0,K661/L661,"n.a.")</x:f>
        <x:v>0.1354</x:v>
      </x:c>
      <x:c r="U661" s="12" t="n">
        <x:f>IF(Q661="Old cost",S661,0)</x:f>
        <x:v>0</x:v>
      </x:c>
      <x:c r="V661" s="12" t="n">
        <x:f>IF(Q661="Higher cost",S661,0)</x:f>
        <x:v>0</x:v>
      </x:c>
      <x:c r="W661" s="12" t="n">
        <x:f>IF(Q661="Unclassified",S661,0)</x:f>
        <x:v>0</x:v>
      </x:c>
      <x:c r="X661" s="12" t="n">
        <x:f>IF(AND(ISNUMBER(F661),F661&gt;0,F661&lt;=Summary!$D$5,H661&gt;0),H661*J661,0)</x:f>
        <x:v>0</x:v>
      </x:c>
    </x:row>
    <x:row r="662" ht="21" customHeight="1">
      <x:c r="A662" s="1" t="str">
        <x:v>10</x:v>
      </x:c>
      <x:c r="B662" s="1" t="str">
        <x:v>800FGE</x:v>
      </x:c>
      <x:c r="C662" s="1" t="str">
        <x:v>1053826</x:v>
      </x:c>
      <x:c r="D662" s="1" t="str">
        <x:v>0</x:v>
      </x:c>
      <x:c r="E662" s="1" t="str">
        <x:v>10</x:v>
      </x:c>
      <x:c r="F662" s="7"/>
      <x:c r="G662" s="7" t="n">
        <x:v>44515</x:v>
      </x:c>
      <x:c r="H662" s="8" t="n">
        <x:v>3000</x:v>
      </x:c>
      <x:c r="I662" s="8" t="n">
        <x:v>3000</x:v>
      </x:c>
      <x:c r="J662" s="8" t="n">
        <x:v>1</x:v>
      </x:c>
      <x:c r="K662" s="9" t="n">
        <x:v>980</x:v>
      </x:c>
      <x:c r="L662" s="8" t="n">
        <x:v>100</x:v>
      </x:c>
      <x:c r="M662" s="10" t="n">
        <x:v>0</x:v>
      </x:c>
      <x:c r="N662" s="8" t="str">
        <x:v>c</x:v>
      </x:c>
      <x:c r="O662" s="8" t="n">
        <x:v>0</x:v>
      </x:c>
      <x:c r="P662" s="11" t="n">
        <x:f>MIN(X662,MAX(0,SUMIFS('Current inventory'!$D$2:$D$127,'Current inventory'!$A$2:$A$127,A662,'Current inventory'!$B$2:$B$127,B662)-SUMIFS($X$2:X661,$A$2:A661,A662,$B$2:B661,B662)))</x:f>
        <x:v>0</x:v>
      </x:c>
      <x:c r="Q662" s="1" t="str">
        <x:v>Excluded: not active</x:v>
      </x:c>
      <x:c r="R662" s="1" t="str">
        <x:v>updated receipts.csv</x:v>
      </x:c>
      <x:c r="S662" s="12" t="n">
        <x:f>IF(O662=1,I662*J662,0)</x:f>
        <x:v>0</x:v>
      </x:c>
      <x:c r="T662" s="13" t="n">
        <x:f>IF(L662&gt;0,K662/L662,"n.a.")</x:f>
        <x:v>9.8</x:v>
      </x:c>
      <x:c r="U662" s="12" t="n">
        <x:f>IF(Q662="Old cost",S662,0)</x:f>
        <x:v>0</x:v>
      </x:c>
      <x:c r="V662" s="12" t="n">
        <x:f>IF(Q662="Higher cost",S662,0)</x:f>
        <x:v>0</x:v>
      </x:c>
      <x:c r="W662" s="12" t="n">
        <x:f>IF(Q662="Unclassified",S662,0)</x:f>
        <x:v>0</x:v>
      </x:c>
      <x:c r="X662" s="12" t="n">
        <x:f>IF(AND(ISNUMBER(F662),F662&gt;0,F662&lt;=Summary!$D$5,H662&gt;0),H662*J662,0)</x:f>
        <x:v>0</x:v>
      </x:c>
    </x:row>
    <x:row r="663" ht="21" customHeight="1">
      <x:c r="A663" s="1" t="str">
        <x:v>10</x:v>
      </x:c>
      <x:c r="B663" s="1" t="str">
        <x:v>800MARE</x:v>
      </x:c>
      <x:c r="C663" s="1" t="str">
        <x:v>1053826</x:v>
      </x:c>
      <x:c r="D663" s="1" t="str">
        <x:v>0</x:v>
      </x:c>
      <x:c r="E663" s="1" t="str">
        <x:v>11</x:v>
      </x:c>
      <x:c r="F663" s="7"/>
      <x:c r="G663" s="7" t="n">
        <x:v>44515</x:v>
      </x:c>
      <x:c r="H663" s="8" t="n">
        <x:v>3000</x:v>
      </x:c>
      <x:c r="I663" s="8" t="n">
        <x:v>3000</x:v>
      </x:c>
      <x:c r="J663" s="8" t="n">
        <x:v>1</x:v>
      </x:c>
      <x:c r="K663" s="9" t="n">
        <x:v>980</x:v>
      </x:c>
      <x:c r="L663" s="8" t="n">
        <x:v>1000</x:v>
      </x:c>
      <x:c r="M663" s="10" t="n">
        <x:v>0</x:v>
      </x:c>
      <x:c r="N663" s="8" t="str">
        <x:v>c</x:v>
      </x:c>
      <x:c r="O663" s="8" t="n">
        <x:v>0</x:v>
      </x:c>
      <x:c r="P663" s="11" t="n">
        <x:f>MIN(X663,MAX(0,SUMIFS('Current inventory'!$D$2:$D$127,'Current inventory'!$A$2:$A$127,A663,'Current inventory'!$B$2:$B$127,B663)-SUMIFS($X$2:X662,$A$2:A662,A663,$B$2:B662,B663)))</x:f>
        <x:v>0</x:v>
      </x:c>
      <x:c r="Q663" s="1" t="str">
        <x:v>Excluded: not active</x:v>
      </x:c>
      <x:c r="R663" s="1" t="str">
        <x:v>updated receipts.csv</x:v>
      </x:c>
      <x:c r="S663" s="12" t="n">
        <x:f>IF(O663=1,I663*J663,0)</x:f>
        <x:v>0</x:v>
      </x:c>
      <x:c r="T663" s="13" t="n">
        <x:f>IF(L663&gt;0,K663/L663,"n.a.")</x:f>
        <x:v>0.98</x:v>
      </x:c>
      <x:c r="U663" s="12" t="n">
        <x:f>IF(Q663="Old cost",S663,0)</x:f>
        <x:v>0</x:v>
      </x:c>
      <x:c r="V663" s="12" t="n">
        <x:f>IF(Q663="Higher cost",S663,0)</x:f>
        <x:v>0</x:v>
      </x:c>
      <x:c r="W663" s="12" t="n">
        <x:f>IF(Q663="Unclassified",S663,0)</x:f>
        <x:v>0</x:v>
      </x:c>
      <x:c r="X663" s="12" t="n">
        <x:f>IF(AND(ISNUMBER(F663),F663&gt;0,F663&lt;=Summary!$D$5,H663&gt;0),H663*J663,0)</x:f>
        <x:v>0</x:v>
      </x:c>
    </x:row>
    <x:row r="664" ht="21" customHeight="1">
      <x:c r="A664" s="1" t="str">
        <x:v>10</x:v>
      </x:c>
      <x:c r="B664" s="1" t="str">
        <x:v>800NAVE</x:v>
      </x:c>
      <x:c r="C664" s="1" t="str">
        <x:v>1053826</x:v>
      </x:c>
      <x:c r="D664" s="1" t="str">
        <x:v>0</x:v>
      </x:c>
      <x:c r="E664" s="1" t="str">
        <x:v>9</x:v>
      </x:c>
      <x:c r="F664" s="7"/>
      <x:c r="G664" s="7" t="n">
        <x:v>44515</x:v>
      </x:c>
      <x:c r="H664" s="8" t="n">
        <x:v>6000</x:v>
      </x:c>
      <x:c r="I664" s="8" t="n">
        <x:v>6000</x:v>
      </x:c>
      <x:c r="J664" s="8" t="n">
        <x:v>1</x:v>
      </x:c>
      <x:c r="K664" s="9" t="n">
        <x:v>930</x:v>
      </x:c>
      <x:c r="L664" s="8" t="n">
        <x:v>1000</x:v>
      </x:c>
      <x:c r="M664" s="10" t="n">
        <x:v>0</x:v>
      </x:c>
      <x:c r="N664" s="8" t="str">
        <x:v>c</x:v>
      </x:c>
      <x:c r="O664" s="8" t="n">
        <x:v>0</x:v>
      </x:c>
      <x:c r="P664" s="11" t="n">
        <x:f>MIN(X664,MAX(0,SUMIFS('Current inventory'!$D$2:$D$127,'Current inventory'!$A$2:$A$127,A664,'Current inventory'!$B$2:$B$127,B664)-SUMIFS($X$2:X663,$A$2:A663,A664,$B$2:B663,B664)))</x:f>
        <x:v>0</x:v>
      </x:c>
      <x:c r="Q664" s="1" t="str">
        <x:v>Excluded: not active</x:v>
      </x:c>
      <x:c r="R664" s="1" t="str">
        <x:v>updated receipts.csv</x:v>
      </x:c>
      <x:c r="S664" s="12" t="n">
        <x:f>IF(O664=1,I664*J664,0)</x:f>
        <x:v>0</x:v>
      </x:c>
      <x:c r="T664" s="13" t="n">
        <x:f>IF(L664&gt;0,K664/L664,"n.a.")</x:f>
        <x:v>0.93</x:v>
      </x:c>
      <x:c r="U664" s="12" t="n">
        <x:f>IF(Q664="Old cost",S664,0)</x:f>
        <x:v>0</x:v>
      </x:c>
      <x:c r="V664" s="12" t="n">
        <x:f>IF(Q664="Higher cost",S664,0)</x:f>
        <x:v>0</x:v>
      </x:c>
      <x:c r="W664" s="12" t="n">
        <x:f>IF(Q664="Unclassified",S664,0)</x:f>
        <x:v>0</x:v>
      </x:c>
      <x:c r="X664" s="12" t="n">
        <x:f>IF(AND(ISNUMBER(F664),F664&gt;0,F664&lt;=Summary!$D$5,H664&gt;0),H664*J664,0)</x:f>
        <x:v>0</x:v>
      </x:c>
    </x:row>
    <x:row r="665" ht="21" customHeight="1">
      <x:c r="A665" s="1" t="str">
        <x:v>10</x:v>
      </x:c>
      <x:c r="B665" s="1" t="str">
        <x:v>800BBLKASC</x:v>
      </x:c>
      <x:c r="C665" s="1" t="str">
        <x:v>1053702</x:v>
      </x:c>
      <x:c r="D665" s="1" t="str">
        <x:v>0</x:v>
      </x:c>
      <x:c r="E665" s="1" t="str">
        <x:v>1</x:v>
      </x:c>
      <x:c r="F665" s="7"/>
      <x:c r="G665" s="7" t="n">
        <x:v>44463</x:v>
      </x:c>
      <x:c r="H665" s="8" t="n">
        <x:v>320000</x:v>
      </x:c>
      <x:c r="I665" s="8" t="n">
        <x:v>320000</x:v>
      </x:c>
      <x:c r="J665" s="8" t="n">
        <x:v>1</x:v>
      </x:c>
      <x:c r="K665" s="9" t="n">
        <x:v>9.25</x:v>
      </x:c>
      <x:c r="L665" s="8" t="n">
        <x:v>100</x:v>
      </x:c>
      <x:c r="M665" s="10" t="n">
        <x:v>0</x:v>
      </x:c>
      <x:c r="N665" s="8" t="str">
        <x:v>c</x:v>
      </x:c>
      <x:c r="O665" s="8" t="n">
        <x:v>0</x:v>
      </x:c>
      <x:c r="P665" s="11" t="n">
        <x:f>MIN(X665,MAX(0,SUMIFS('Current inventory'!$D$2:$D$127,'Current inventory'!$A$2:$A$127,A665,'Current inventory'!$B$2:$B$127,B665)-SUMIFS($X$2:X664,$A$2:A664,A665,$B$2:B664,B665)))</x:f>
        <x:v>0</x:v>
      </x:c>
      <x:c r="Q665" s="1" t="str">
        <x:v>Excluded: not active</x:v>
      </x:c>
      <x:c r="R665" s="1" t="str">
        <x:v>updated receipts.csv</x:v>
      </x:c>
      <x:c r="S665" s="12" t="n">
        <x:f>IF(O665=1,I665*J665,0)</x:f>
        <x:v>0</x:v>
      </x:c>
      <x:c r="T665" s="13" t="n">
        <x:f>IF(L665&gt;0,K665/L665,"n.a.")</x:f>
        <x:v>0.0925</x:v>
      </x:c>
      <x:c r="U665" s="12" t="n">
        <x:f>IF(Q665="Old cost",S665,0)</x:f>
        <x:v>0</x:v>
      </x:c>
      <x:c r="V665" s="12" t="n">
        <x:f>IF(Q665="Higher cost",S665,0)</x:f>
        <x:v>0</x:v>
      </x:c>
      <x:c r="W665" s="12" t="n">
        <x:f>IF(Q665="Unclassified",S665,0)</x:f>
        <x:v>0</x:v>
      </x:c>
      <x:c r="X665" s="12" t="n">
        <x:f>IF(AND(ISNUMBER(F665),F665&gt;0,F665&lt;=Summary!$D$5,H665&gt;0),H665*J665,0)</x:f>
        <x:v>0</x:v>
      </x:c>
    </x:row>
    <x:row r="666" ht="21" customHeight="1">
      <x:c r="A666" s="1" t="str">
        <x:v>10</x:v>
      </x:c>
      <x:c r="B666" s="1" t="str">
        <x:v>800BBLKDSC</x:v>
      </x:c>
      <x:c r="C666" s="1" t="str">
        <x:v>1053702</x:v>
      </x:c>
      <x:c r="D666" s="1" t="str">
        <x:v>0</x:v>
      </x:c>
      <x:c r="E666" s="1" t="str">
        <x:v>6</x:v>
      </x:c>
      <x:c r="F666" s="7"/>
      <x:c r="G666" s="7" t="n">
        <x:v>44463</x:v>
      </x:c>
      <x:c r="H666" s="8" t="n">
        <x:v>14000</x:v>
      </x:c>
      <x:c r="I666" s="8" t="n">
        <x:v>14000</x:v>
      </x:c>
      <x:c r="J666" s="8" t="n">
        <x:v>1</x:v>
      </x:c>
      <x:c r="K666" s="9" t="n">
        <x:v>18.58</x:v>
      </x:c>
      <x:c r="L666" s="8" t="n">
        <x:v>100</x:v>
      </x:c>
      <x:c r="M666" s="10" t="n">
        <x:v>0</x:v>
      </x:c>
      <x:c r="N666" s="8" t="str">
        <x:v>c</x:v>
      </x:c>
      <x:c r="O666" s="8" t="n">
        <x:v>0</x:v>
      </x:c>
      <x:c r="P666" s="11" t="n">
        <x:f>MIN(X666,MAX(0,SUMIFS('Current inventory'!$D$2:$D$127,'Current inventory'!$A$2:$A$127,A666,'Current inventory'!$B$2:$B$127,B666)-SUMIFS($X$2:X665,$A$2:A665,A666,$B$2:B665,B666)))</x:f>
        <x:v>0</x:v>
      </x:c>
      <x:c r="Q666" s="1" t="str">
        <x:v>Excluded: not active</x:v>
      </x:c>
      <x:c r="R666" s="1" t="str">
        <x:v>updated receipts.csv</x:v>
      </x:c>
      <x:c r="S666" s="12" t="n">
        <x:f>IF(O666=1,I666*J666,0)</x:f>
        <x:v>0</x:v>
      </x:c>
      <x:c r="T666" s="13" t="n">
        <x:f>IF(L666&gt;0,K666/L666,"n.a.")</x:f>
        <x:v>0.1858</x:v>
      </x:c>
      <x:c r="U666" s="12" t="n">
        <x:f>IF(Q666="Old cost",S666,0)</x:f>
        <x:v>0</x:v>
      </x:c>
      <x:c r="V666" s="12" t="n">
        <x:f>IF(Q666="Higher cost",S666,0)</x:f>
        <x:v>0</x:v>
      </x:c>
      <x:c r="W666" s="12" t="n">
        <x:f>IF(Q666="Unclassified",S666,0)</x:f>
        <x:v>0</x:v>
      </x:c>
      <x:c r="X666" s="12" t="n">
        <x:f>IF(AND(ISNUMBER(F666),F666&gt;0,F666&lt;=Summary!$D$5,H666&gt;0),H666*J666,0)</x:f>
        <x:v>0</x:v>
      </x:c>
    </x:row>
    <x:row r="667" ht="21" customHeight="1">
      <x:c r="A667" s="1" t="str">
        <x:v>10</x:v>
      </x:c>
      <x:c r="B667" s="1" t="str">
        <x:v>800BBLKISC</x:v>
      </x:c>
      <x:c r="C667" s="1" t="str">
        <x:v>1053702</x:v>
      </x:c>
      <x:c r="D667" s="1" t="str">
        <x:v>0</x:v>
      </x:c>
      <x:c r="E667" s="1" t="str">
        <x:v>5</x:v>
      </x:c>
      <x:c r="F667" s="7"/>
      <x:c r="G667" s="7" t="n">
        <x:v>44463</x:v>
      </x:c>
      <x:c r="H667" s="8" t="n">
        <x:v>17000</x:v>
      </x:c>
      <x:c r="I667" s="8" t="n">
        <x:v>17000</x:v>
      </x:c>
      <x:c r="J667" s="8" t="n">
        <x:v>1</x:v>
      </x:c>
      <x:c r="K667" s="9" t="n">
        <x:v>10.44</x:v>
      </x:c>
      <x:c r="L667" s="8" t="n">
        <x:v>100</x:v>
      </x:c>
      <x:c r="M667" s="10" t="n">
        <x:v>0</x:v>
      </x:c>
      <x:c r="N667" s="8" t="str">
        <x:v>c</x:v>
      </x:c>
      <x:c r="O667" s="8" t="n">
        <x:v>0</x:v>
      </x:c>
      <x:c r="P667" s="11" t="n">
        <x:f>MIN(X667,MAX(0,SUMIFS('Current inventory'!$D$2:$D$127,'Current inventory'!$A$2:$A$127,A667,'Current inventory'!$B$2:$B$127,B667)-SUMIFS($X$2:X666,$A$2:A666,A667,$B$2:B666,B667)))</x:f>
        <x:v>0</x:v>
      </x:c>
      <x:c r="Q667" s="1" t="str">
        <x:v>Excluded: not active</x:v>
      </x:c>
      <x:c r="R667" s="1" t="str">
        <x:v>updated receipts.csv</x:v>
      </x:c>
      <x:c r="S667" s="12" t="n">
        <x:f>IF(O667=1,I667*J667,0)</x:f>
        <x:v>0</x:v>
      </x:c>
      <x:c r="T667" s="13" t="n">
        <x:f>IF(L667&gt;0,K667/L667,"n.a.")</x:f>
        <x:v>0.10439999999999999</x:v>
      </x:c>
      <x:c r="U667" s="12" t="n">
        <x:f>IF(Q667="Old cost",S667,0)</x:f>
        <x:v>0</x:v>
      </x:c>
      <x:c r="V667" s="12" t="n">
        <x:f>IF(Q667="Higher cost",S667,0)</x:f>
        <x:v>0</x:v>
      </x:c>
      <x:c r="W667" s="12" t="n">
        <x:f>IF(Q667="Unclassified",S667,0)</x:f>
        <x:v>0</x:v>
      </x:c>
      <x:c r="X667" s="12" t="n">
        <x:f>IF(AND(ISNUMBER(F667),F667&gt;0,F667&lt;=Summary!$D$5,H667&gt;0),H667*J667,0)</x:f>
        <x:v>0</x:v>
      </x:c>
    </x:row>
    <x:row r="668" ht="21" customHeight="1">
      <x:c r="A668" s="1" t="str">
        <x:v>10</x:v>
      </x:c>
      <x:c r="B668" s="1" t="str">
        <x:v>800BFGASC</x:v>
      </x:c>
      <x:c r="C668" s="1" t="str">
        <x:v>1053702</x:v>
      </x:c>
      <x:c r="D668" s="1" t="str">
        <x:v>0</x:v>
      </x:c>
      <x:c r="E668" s="1" t="str">
        <x:v>2</x:v>
      </x:c>
      <x:c r="F668" s="7"/>
      <x:c r="G668" s="7" t="n">
        <x:v>44463</x:v>
      </x:c>
      <x:c r="H668" s="8" t="n">
        <x:v>10000</x:v>
      </x:c>
      <x:c r="I668" s="8" t="n">
        <x:v>10000</x:v>
      </x:c>
      <x:c r="J668" s="8" t="n">
        <x:v>1</x:v>
      </x:c>
      <x:c r="K668" s="9" t="n">
        <x:v>9.53</x:v>
      </x:c>
      <x:c r="L668" s="8" t="n">
        <x:v>100</x:v>
      </x:c>
      <x:c r="M668" s="10" t="n">
        <x:v>0</x:v>
      </x:c>
      <x:c r="N668" s="8" t="str">
        <x:v>c</x:v>
      </x:c>
      <x:c r="O668" s="8" t="n">
        <x:v>0</x:v>
      </x:c>
      <x:c r="P668" s="11" t="n">
        <x:f>MIN(X668,MAX(0,SUMIFS('Current inventory'!$D$2:$D$127,'Current inventory'!$A$2:$A$127,A668,'Current inventory'!$B$2:$B$127,B668)-SUMIFS($X$2:X667,$A$2:A667,A668,$B$2:B667,B668)))</x:f>
        <x:v>0</x:v>
      </x:c>
      <x:c r="Q668" s="1" t="str">
        <x:v>Excluded: not active</x:v>
      </x:c>
      <x:c r="R668" s="1" t="str">
        <x:v>updated receipts.csv</x:v>
      </x:c>
      <x:c r="S668" s="12" t="n">
        <x:f>IF(O668=1,I668*J668,0)</x:f>
        <x:v>0</x:v>
      </x:c>
      <x:c r="T668" s="13" t="n">
        <x:f>IF(L668&gt;0,K668/L668,"n.a.")</x:f>
        <x:v>0.0953</x:v>
      </x:c>
      <x:c r="U668" s="12" t="n">
        <x:f>IF(Q668="Old cost",S668,0)</x:f>
        <x:v>0</x:v>
      </x:c>
      <x:c r="V668" s="12" t="n">
        <x:f>IF(Q668="Higher cost",S668,0)</x:f>
        <x:v>0</x:v>
      </x:c>
      <x:c r="W668" s="12" t="n">
        <x:f>IF(Q668="Unclassified",S668,0)</x:f>
        <x:v>0</x:v>
      </x:c>
      <x:c r="X668" s="12" t="n">
        <x:f>IF(AND(ISNUMBER(F668),F668&gt;0,F668&lt;=Summary!$D$5,H668&gt;0),H668*J668,0)</x:f>
        <x:v>0</x:v>
      </x:c>
    </x:row>
    <x:row r="669" ht="21" customHeight="1">
      <x:c r="A669" s="1" t="str">
        <x:v>10</x:v>
      </x:c>
      <x:c r="B669" s="1" t="str">
        <x:v>800BLKE</x:v>
      </x:c>
      <x:c r="C669" s="1" t="str">
        <x:v>1053702</x:v>
      </x:c>
      <x:c r="D669" s="1" t="str">
        <x:v>0</x:v>
      </x:c>
      <x:c r="E669" s="1" t="str">
        <x:v>7</x:v>
      </x:c>
      <x:c r="F669" s="7"/>
      <x:c r="G669" s="7" t="n">
        <x:v>44463</x:v>
      </x:c>
      <x:c r="H669" s="8" t="n">
        <x:v>3000</x:v>
      </x:c>
      <x:c r="I669" s="8" t="n">
        <x:v>3000</x:v>
      </x:c>
      <x:c r="J669" s="8" t="n">
        <x:v>1</x:v>
      </x:c>
      <x:c r="K669" s="9" t="n">
        <x:v>640</x:v>
      </x:c>
      <x:c r="L669" s="8" t="n">
        <x:v>1000</x:v>
      </x:c>
      <x:c r="M669" s="10" t="n">
        <x:v>0</x:v>
      </x:c>
      <x:c r="N669" s="8" t="str">
        <x:v>c</x:v>
      </x:c>
      <x:c r="O669" s="8" t="n">
        <x:v>0</x:v>
      </x:c>
      <x:c r="P669" s="11" t="n">
        <x:f>MIN(X669,MAX(0,SUMIFS('Current inventory'!$D$2:$D$127,'Current inventory'!$A$2:$A$127,A669,'Current inventory'!$B$2:$B$127,B669)-SUMIFS($X$2:X668,$A$2:A668,A669,$B$2:B668,B669)))</x:f>
        <x:v>0</x:v>
      </x:c>
      <x:c r="Q669" s="1" t="str">
        <x:v>Excluded: not active</x:v>
      </x:c>
      <x:c r="R669" s="1" t="str">
        <x:v>updated receipts.csv</x:v>
      </x:c>
      <x:c r="S669" s="12" t="n">
        <x:f>IF(O669=1,I669*J669,0)</x:f>
        <x:v>0</x:v>
      </x:c>
      <x:c r="T669" s="13" t="n">
        <x:f>IF(L669&gt;0,K669/L669,"n.a.")</x:f>
        <x:v>0.64</x:v>
      </x:c>
      <x:c r="U669" s="12" t="n">
        <x:f>IF(Q669="Old cost",S669,0)</x:f>
        <x:v>0</x:v>
      </x:c>
      <x:c r="V669" s="12" t="n">
        <x:f>IF(Q669="Higher cost",S669,0)</x:f>
        <x:v>0</x:v>
      </x:c>
      <x:c r="W669" s="12" t="n">
        <x:f>IF(Q669="Unclassified",S669,0)</x:f>
        <x:v>0</x:v>
      </x:c>
      <x:c r="X669" s="12" t="n">
        <x:f>IF(AND(ISNUMBER(F669),F669&gt;0,F669&lt;=Summary!$D$5,H669&gt;0),H669*J669,0)</x:f>
        <x:v>0</x:v>
      </x:c>
    </x:row>
    <x:row r="670" ht="21" customHeight="1">
      <x:c r="A670" s="1" t="str">
        <x:v>10</x:v>
      </x:c>
      <x:c r="B670" s="1" t="str">
        <x:v>800BNAVASC</x:v>
      </x:c>
      <x:c r="C670" s="1" t="str">
        <x:v>1053702</x:v>
      </x:c>
      <x:c r="D670" s="1" t="str">
        <x:v>0</x:v>
      </x:c>
      <x:c r="E670" s="1" t="str">
        <x:v>3</x:v>
      </x:c>
      <x:c r="F670" s="7"/>
      <x:c r="G670" s="7" t="n">
        <x:v>44463</x:v>
      </x:c>
      <x:c r="H670" s="8" t="n">
        <x:v>15000</x:v>
      </x:c>
      <x:c r="I670" s="8" t="n">
        <x:v>15000</x:v>
      </x:c>
      <x:c r="J670" s="8" t="n">
        <x:v>1</x:v>
      </x:c>
      <x:c r="K670" s="9" t="n">
        <x:v>9.25</x:v>
      </x:c>
      <x:c r="L670" s="8" t="n">
        <x:v>100</x:v>
      </x:c>
      <x:c r="M670" s="10" t="n">
        <x:v>0</x:v>
      </x:c>
      <x:c r="N670" s="8" t="str">
        <x:v>c</x:v>
      </x:c>
      <x:c r="O670" s="8" t="n">
        <x:v>0</x:v>
      </x:c>
      <x:c r="P670" s="11" t="n">
        <x:f>MIN(X670,MAX(0,SUMIFS('Current inventory'!$D$2:$D$127,'Current inventory'!$A$2:$A$127,A670,'Current inventory'!$B$2:$B$127,B670)-SUMIFS($X$2:X669,$A$2:A669,A670,$B$2:B669,B670)))</x:f>
        <x:v>0</x:v>
      </x:c>
      <x:c r="Q670" s="1" t="str">
        <x:v>Excluded: not active</x:v>
      </x:c>
      <x:c r="R670" s="1" t="str">
        <x:v>updated receipts.csv</x:v>
      </x:c>
      <x:c r="S670" s="12" t="n">
        <x:f>IF(O670=1,I670*J670,0)</x:f>
        <x:v>0</x:v>
      </x:c>
      <x:c r="T670" s="13" t="n">
        <x:f>IF(L670&gt;0,K670/L670,"n.a.")</x:f>
        <x:v>0.0925</x:v>
      </x:c>
      <x:c r="U670" s="12" t="n">
        <x:f>IF(Q670="Old cost",S670,0)</x:f>
        <x:v>0</x:v>
      </x:c>
      <x:c r="V670" s="12" t="n">
        <x:f>IF(Q670="Higher cost",S670,0)</x:f>
        <x:v>0</x:v>
      </x:c>
      <x:c r="W670" s="12" t="n">
        <x:f>IF(Q670="Unclassified",S670,0)</x:f>
        <x:v>0</x:v>
      </x:c>
      <x:c r="X670" s="12" t="n">
        <x:f>IF(AND(ISNUMBER(F670),F670&gt;0,F670&lt;=Summary!$D$5,H670&gt;0),H670*J670,0)</x:f>
        <x:v>0</x:v>
      </x:c>
    </x:row>
    <x:row r="671" ht="21" customHeight="1">
      <x:c r="A671" s="1" t="str">
        <x:v>10</x:v>
      </x:c>
      <x:c r="B671" s="1" t="str">
        <x:v>800BWHTASC</x:v>
      </x:c>
      <x:c r="C671" s="1" t="str">
        <x:v>1053702</x:v>
      </x:c>
      <x:c r="D671" s="1" t="str">
        <x:v>0</x:v>
      </x:c>
      <x:c r="E671" s="1" t="str">
        <x:v>4</x:v>
      </x:c>
      <x:c r="F671" s="7"/>
      <x:c r="G671" s="7" t="n">
        <x:v>44463</x:v>
      </x:c>
      <x:c r="H671" s="8" t="n">
        <x:v>10000</x:v>
      </x:c>
      <x:c r="I671" s="8" t="n">
        <x:v>10000</x:v>
      </x:c>
      <x:c r="J671" s="8" t="n">
        <x:v>1</x:v>
      </x:c>
      <x:c r="K671" s="9" t="n">
        <x:v>9.53</x:v>
      </x:c>
      <x:c r="L671" s="8" t="n">
        <x:v>100</x:v>
      </x:c>
      <x:c r="M671" s="10" t="n">
        <x:v>0</x:v>
      </x:c>
      <x:c r="N671" s="8" t="str">
        <x:v>c</x:v>
      </x:c>
      <x:c r="O671" s="8" t="n">
        <x:v>0</x:v>
      </x:c>
      <x:c r="P671" s="11" t="n">
        <x:f>MIN(X671,MAX(0,SUMIFS('Current inventory'!$D$2:$D$127,'Current inventory'!$A$2:$A$127,A671,'Current inventory'!$B$2:$B$127,B671)-SUMIFS($X$2:X670,$A$2:A670,A671,$B$2:B670,B671)))</x:f>
        <x:v>0</x:v>
      </x:c>
      <x:c r="Q671" s="1" t="str">
        <x:v>Excluded: not active</x:v>
      </x:c>
      <x:c r="R671" s="1" t="str">
        <x:v>updated receipts.csv</x:v>
      </x:c>
      <x:c r="S671" s="12" t="n">
        <x:f>IF(O671=1,I671*J671,0)</x:f>
        <x:v>0</x:v>
      </x:c>
      <x:c r="T671" s="13" t="n">
        <x:f>IF(L671&gt;0,K671/L671,"n.a.")</x:f>
        <x:v>0.0953</x:v>
      </x:c>
      <x:c r="U671" s="12" t="n">
        <x:f>IF(Q671="Old cost",S671,0)</x:f>
        <x:v>0</x:v>
      </x:c>
      <x:c r="V671" s="12" t="n">
        <x:f>IF(Q671="Higher cost",S671,0)</x:f>
        <x:v>0</x:v>
      </x:c>
      <x:c r="W671" s="12" t="n">
        <x:f>IF(Q671="Unclassified",S671,0)</x:f>
        <x:v>0</x:v>
      </x:c>
      <x:c r="X671" s="12" t="n">
        <x:f>IF(AND(ISNUMBER(F671),F671&gt;0,F671&lt;=Summary!$D$5,H671&gt;0),H671*J671,0)</x:f>
        <x:v>0</x:v>
      </x:c>
    </x:row>
    <x:row r="672" ht="21" customHeight="1">
      <x:c r="A672" s="1" t="str">
        <x:v>10</x:v>
      </x:c>
      <x:c r="B672" s="1" t="str">
        <x:v>800NAVE</x:v>
      </x:c>
      <x:c r="C672" s="1" t="str">
        <x:v>1053702</x:v>
      </x:c>
      <x:c r="D672" s="1" t="str">
        <x:v>0</x:v>
      </x:c>
      <x:c r="E672" s="1" t="str">
        <x:v>8</x:v>
      </x:c>
      <x:c r="F672" s="7"/>
      <x:c r="G672" s="7" t="n">
        <x:v>44463</x:v>
      </x:c>
      <x:c r="H672" s="8" t="n">
        <x:v>3000</x:v>
      </x:c>
      <x:c r="I672" s="8" t="n">
        <x:v>3000</x:v>
      </x:c>
      <x:c r="J672" s="8" t="n">
        <x:v>1</x:v>
      </x:c>
      <x:c r="K672" s="9" t="n">
        <x:v>640</x:v>
      </x:c>
      <x:c r="L672" s="8" t="n">
        <x:v>1000</x:v>
      </x:c>
      <x:c r="M672" s="10" t="n">
        <x:v>0</x:v>
      </x:c>
      <x:c r="N672" s="8" t="str">
        <x:v>c</x:v>
      </x:c>
      <x:c r="O672" s="8" t="n">
        <x:v>0</x:v>
      </x:c>
      <x:c r="P672" s="11" t="n">
        <x:f>MIN(X672,MAX(0,SUMIFS('Current inventory'!$D$2:$D$127,'Current inventory'!$A$2:$A$127,A672,'Current inventory'!$B$2:$B$127,B672)-SUMIFS($X$2:X671,$A$2:A671,A672,$B$2:B671,B672)))</x:f>
        <x:v>0</x:v>
      </x:c>
      <x:c r="Q672" s="1" t="str">
        <x:v>Excluded: not active</x:v>
      </x:c>
      <x:c r="R672" s="1" t="str">
        <x:v>updated receipts.csv</x:v>
      </x:c>
      <x:c r="S672" s="12" t="n">
        <x:f>IF(O672=1,I672*J672,0)</x:f>
        <x:v>0</x:v>
      </x:c>
      <x:c r="T672" s="13" t="n">
        <x:f>IF(L672&gt;0,K672/L672,"n.a.")</x:f>
        <x:v>0.64</x:v>
      </x:c>
      <x:c r="U672" s="12" t="n">
        <x:f>IF(Q672="Old cost",S672,0)</x:f>
        <x:v>0</x:v>
      </x:c>
      <x:c r="V672" s="12" t="n">
        <x:f>IF(Q672="Higher cost",S672,0)</x:f>
        <x:v>0</x:v>
      </x:c>
      <x:c r="W672" s="12" t="n">
        <x:f>IF(Q672="Unclassified",S672,0)</x:f>
        <x:v>0</x:v>
      </x:c>
      <x:c r="X672" s="12" t="n">
        <x:f>IF(AND(ISNUMBER(F672),F672&gt;0,F672&lt;=Summary!$D$5,H672&gt;0),H672*J672,0)</x:f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34875bc89674529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9" hidden="0" customWidth="1"/>
    <x:col min="2" max="2" width="19" hidden="0" customWidth="1"/>
    <x:col min="3" max="3" width="24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  <x:col min="20" max="20" width="19" hidden="0" customWidth="1"/>
    <x:col min="21" max="21" width="19" hidden="0" customWidth="1"/>
    <x:col min="22" max="22" width="19" hidden="0" customWidth="1"/>
    <x:col min="23" max="23" width="19" hidden="0" customWidth="1"/>
    <x:col min="24" max="24" width="19" hidden="0" customWidth="1"/>
    <x:col min="25" max="25" width="40" hidden="0" customWidth="1"/>
    <x:col min="26" max="26" width="19" hidden="0" customWidth="1"/>
  </x:cols>
  <x:sheetData>
    <x:row r="1" ht="44" customHeight="1">
      <x:c r="A1" s="6" t="str">
        <x:v>Forecast date</x:v>
      </x:c>
      <x:c r="B1" s="6" t="str">
        <x:v>Warehouse</x:v>
      </x:c>
      <x:c r="C1" s="6" t="str">
        <x:v>Product</x:v>
      </x:c>
      <x:c r="D1" s="6" t="str">
        <x:v>Period start</x:v>
      </x:c>
      <x:c r="E1" s="6" t="str">
        <x:v>Beginning old units</x:v>
      </x:c>
      <x:c r="F1" s="6" t="str">
        <x:v>Beginning higher-cost units</x:v>
      </x:c>
      <x:c r="G1" s="6" t="str">
        <x:v>Beginning unclassified units</x:v>
      </x:c>
      <x:c r="H1" s="6" t="str">
        <x:v>Old-cost arrivals</x:v>
      </x:c>
      <x:c r="I1" s="6" t="str">
        <x:v>Higher-cost arrivals</x:v>
      </x:c>
      <x:c r="J1" s="6" t="str">
        <x:v>Unclassified arrivals</x:v>
      </x:c>
      <x:c r="K1" s="6" t="str">
        <x:v>Planned usage units</x:v>
      </x:c>
      <x:c r="L1" s="6" t="str">
        <x:v>Ending old units</x:v>
      </x:c>
      <x:c r="M1" s="6" t="str">
        <x:v>Ending higher-cost units</x:v>
      </x:c>
      <x:c r="N1" s="6" t="str">
        <x:v>Ending unclassified units</x:v>
      </x:c>
      <x:c r="O1" s="6" t="str">
        <x:v>Ending total units</x:v>
      </x:c>
      <x:c r="P1" s="6" t="str">
        <x:v>Current standard/unit</x:v>
      </x:c>
      <x:c r="Q1" s="6" t="str">
        <x:v>Proposed standard/unit</x:v>
      </x:c>
      <x:c r="R1" s="6" t="str">
        <x:v>Old value at current standard</x:v>
      </x:c>
      <x:c r="S1" s="6" t="str">
        <x:v>Higher-cost value at current standard</x:v>
      </x:c>
      <x:c r="T1" s="6" t="str">
        <x:v>Unclassified value at current standard</x:v>
      </x:c>
      <x:c r="U1" s="6" t="str">
        <x:v>Total value at current standard</x:v>
      </x:c>
      <x:c r="V1" s="6" t="str">
        <x:v>Priced revaluation</x:v>
      </x:c>
      <x:c r="W1" s="6" t="str">
        <x:v>Priced current-standard value</x:v>
      </x:c>
      <x:c r="X1" s="6" t="str">
        <x:v>Demand exceeding available units</x:v>
      </x:c>
      <x:c r="Y1" s="6" t="str">
        <x:v>Review</x:v>
      </x:c>
      <x:c r="Z1" s="6" t="str">
        <x:v>Priced-cost available flag</x:v>
      </x:c>
    </x:row>
    <x:row r="2" ht="21" customHeight="1">
      <x:c r="A2" s="17" t="n">
        <x:f>Summary!B15</x:f>
        <x:v>46327</x:v>
      </x:c>
      <x:c r="B2" s="1" t="str">
        <x:f>'Current inventory'!A2</x:f>
        <x:v>10</x:v>
      </x:c>
      <x:c r="C2" s="1" t="str">
        <x:f>'Current inventory'!B2</x:f>
        <x:v>800BBLKASC</x:v>
      </x:c>
      <x:c r="D2" s="7" t="n">
        <x:f>Summary!$D$5</x:f>
        <x:v>46304</x:v>
      </x:c>
      <x:c r="E2" s="8" t="n">
        <x:f>'Current inventory'!M2</x:f>
        <x:v>499100</x:v>
      </x:c>
      <x:c r="F2" s="8" t="n">
        <x:f>'Current inventory'!N2</x:f>
        <x:v>0</x:v>
      </x:c>
      <x:c r="G2" s="8" t="n">
        <x:f>'Current inventory'!O2</x:f>
        <x:v>0</x:v>
      </x:c>
      <x:c r="H2" s="8" t="n">
        <x:f>SUMIFS('PO detail'!$U$2:$U$672,'PO detail'!$A$2:$A$672,B2,'PO detail'!$B$2:$B$672,C2,'PO detail'!$G$2:$G$672,"&gt;="&amp;D2,'PO detail'!$G$2:$G$672,"&lt;"&amp;A2)</x:f>
        <x:v>0</x:v>
      </x:c>
      <x:c r="I2" s="8" t="n">
        <x:f>SUMIFS('PO detail'!$V$2:$V$672,'PO detail'!$A$2:$A$672,B2,'PO detail'!$B$2:$B$672,C2,'PO detail'!$G$2:$G$672,"&gt;="&amp;D2,'PO detail'!$G$2:$G$672,"&lt;"&amp;A2)</x:f>
        <x:v>0</x:v>
      </x:c>
      <x:c r="J2" s="8" t="n">
        <x:f>SUMIFS('PO detail'!$W$2:$W$672,'PO detail'!$A$2:$A$672,B2,'PO detail'!$B$2:$B$672,C2,'PO detail'!$G$2:$G$672,"&gt;="&amp;D2,'PO detail'!$G$2:$G$672,"&lt;"&amp;A2)</x:f>
        <x:v>0</x:v>
      </x:c>
      <x:c r="K2" s="8" t="n">
        <x:f>'Current inventory'!E2*Summary!$D$6*(A2-D2)/30.4375</x:f>
        <x:v>116760.0298973306</x:v>
      </x:c>
      <x:c r="L2" s="8" t="n">
        <x:f>MAX(0,E2+H2-K2)</x:f>
        <x:v>382339.9701026694</x:v>
      </x:c>
      <x:c r="M2" s="8" t="n">
        <x:f>MAX(0,F2+I2-MAX(0,K2-E2-H2))</x:f>
        <x:v>0</x:v>
      </x:c>
      <x:c r="N2" s="8" t="n">
        <x:f>MAX(0,G2+J2-K2)</x:f>
        <x:v>0</x:v>
      </x:c>
      <x:c r="O2" s="8" t="n">
        <x:f>SUM(L2:N2)</x:f>
        <x:v>382339.9701026694</x:v>
      </x:c>
      <x:c r="P2" s="14" t="n">
        <x:f>'Current inventory'!V2</x:f>
        <x:v>0.1229</x:v>
      </x:c>
      <x:c r="Q2" s="14" t="n">
        <x:f>'Current inventory'!W2</x:f>
        <x:v>0.12841500000000003</x:v>
      </x:c>
      <x:c r="R2" s="10" t="n">
        <x:f>L2*P2</x:f>
        <x:v>46989.58232561807</x:v>
      </x:c>
      <x:c r="S2" s="10" t="n">
        <x:f>M2*P2</x:f>
        <x:v>0</x:v>
      </x:c>
      <x:c r="T2" s="10" t="n">
        <x:f>N2*P2</x:f>
        <x:v>0</x:v>
      </x:c>
      <x:c r="U2" s="10" t="n">
        <x:f>O2*P2</x:f>
        <x:v>46989.58232561807</x:v>
      </x:c>
      <x:c r="V2" s="10" t="n">
        <x:f>IF(ISNUMBER(Q2),O2*(Q2-P2),"n.a.")</x:f>
        <x:v>2108.6049351162346</x:v>
      </x:c>
      <x:c r="W2" s="10" t="n">
        <x:f>IF(ISNUMBER(Q2),U2,0)</x:f>
        <x:v>46989.58232561807</x:v>
      </x:c>
      <x:c r="X2" s="8" t="n">
        <x:f>MAX(0,K2-SUM(E2:J2))</x:f>
        <x:v>0</x:v>
      </x:c>
      <x:c r="Y2" s="1" t="str">
        <x:f>IF(AND(O2&gt;0,NOT(ISNUMBER(Q2))),"No proposed replacement standard",IF(X2&gt;0,"Demand exceeds available stock",""))</x:f>
      </x:c>
      <x:c r="Z2" s="1" t="n">
        <x:f>IF(ISNUMBER(Q2),1,0)</x:f>
        <x:v>1</x:v>
      </x:c>
    </x:row>
    <x:row r="3" ht="21" customHeight="1">
      <x:c r="A3" s="17" t="n">
        <x:f>Summary!B15</x:f>
        <x:v>46327</x:v>
      </x:c>
      <x:c r="B3" s="1" t="str">
        <x:f>'Current inventory'!A3</x:f>
        <x:v>60</x:v>
      </x:c>
      <x:c r="C3" s="1" t="str">
        <x:f>'Current inventory'!B3</x:f>
        <x:v>800BBLKASC</x:v>
      </x:c>
      <x:c r="D3" s="7" t="n">
        <x:f>Summary!$D$5</x:f>
        <x:v>46304</x:v>
      </x:c>
      <x:c r="E3" s="8" t="n">
        <x:f>'Current inventory'!M3</x:f>
        <x:v>49800</x:v>
      </x:c>
      <x:c r="F3" s="8" t="n">
        <x:f>'Current inventory'!N3</x:f>
        <x:v>0</x:v>
      </x:c>
      <x:c r="G3" s="8" t="n">
        <x:f>'Current inventory'!O3</x:f>
        <x:v>0</x:v>
      </x:c>
      <x:c r="H3" s="8" t="n">
        <x:f>SUMIFS('PO detail'!$U$2:$U$672,'PO detail'!$A$2:$A$672,B3,'PO detail'!$B$2:$B$672,C3,'PO detail'!$G$2:$G$672,"&gt;="&amp;D3,'PO detail'!$G$2:$G$672,"&lt;"&amp;A3)</x:f>
        <x:v>320000</x:v>
      </x:c>
      <x:c r="I3" s="8" t="n">
        <x:f>SUMIFS('PO detail'!$V$2:$V$672,'PO detail'!$A$2:$A$672,B3,'PO detail'!$B$2:$B$672,C3,'PO detail'!$G$2:$G$672,"&gt;="&amp;D3,'PO detail'!$G$2:$G$672,"&lt;"&amp;A3)</x:f>
        <x:v>0</x:v>
      </x:c>
      <x:c r="J3" s="8" t="n">
        <x:f>SUMIFS('PO detail'!$W$2:$W$672,'PO detail'!$A$2:$A$672,B3,'PO detail'!$B$2:$B$672,C3,'PO detail'!$G$2:$G$672,"&gt;="&amp;D3,'PO detail'!$G$2:$G$672,"&lt;"&amp;A3)</x:f>
        <x:v>0</x:v>
      </x:c>
      <x:c r="K3" s="8" t="n">
        <x:f>'Current inventory'!E3*Summary!$D$6*(A3-D3)/30.4375</x:f>
        <x:v>109279.12640657085</x:v>
      </x:c>
      <x:c r="L3" s="8" t="n">
        <x:f>MAX(0,E3+H3-K3)</x:f>
        <x:v>260520.87359342916</x:v>
      </x:c>
      <x:c r="M3" s="8" t="n">
        <x:f>MAX(0,F3+I3-MAX(0,K3-E3-H3))</x:f>
        <x:v>0</x:v>
      </x:c>
      <x:c r="N3" s="8" t="n">
        <x:f>MAX(0,G3+J3-K3)</x:f>
        <x:v>0</x:v>
      </x:c>
      <x:c r="O3" s="8" t="n">
        <x:f>SUM(L3:N3)</x:f>
        <x:v>260520.87359342916</x:v>
      </x:c>
      <x:c r="P3" s="14" t="n">
        <x:f>'Current inventory'!V3</x:f>
        <x:v>0.1229</x:v>
      </x:c>
      <x:c r="Q3" s="14" t="n">
        <x:f>'Current inventory'!W3</x:f>
        <x:v>0.12841500000000003</x:v>
      </x:c>
      <x:c r="R3" s="10" t="n">
        <x:f>L3*P3</x:f>
        <x:v>32018.015364632443</x:v>
      </x:c>
      <x:c r="S3" s="10" t="n">
        <x:f>M3*P3</x:f>
        <x:v>0</x:v>
      </x:c>
      <x:c r="T3" s="10" t="n">
        <x:f>N3*P3</x:f>
        <x:v>0</x:v>
      </x:c>
      <x:c r="U3" s="10" t="n">
        <x:f>O3*P3</x:f>
        <x:v>32018.015364632443</x:v>
      </x:c>
      <x:c r="V3" s="10" t="n">
        <x:f>IF(ISNUMBER(Q3),O3*(Q3-P3),"n.a.")</x:f>
        <x:v>1436.7726178677706</x:v>
      </x:c>
      <x:c r="W3" s="10" t="n">
        <x:f>IF(ISNUMBER(Q3),U3,0)</x:f>
        <x:v>32018.015364632443</x:v>
      </x:c>
      <x:c r="X3" s="8" t="n">
        <x:f>MAX(0,K3-SUM(E3:J3))</x:f>
        <x:v>0</x:v>
      </x:c>
      <x:c r="Y3" s="1" t="str">
        <x:f>IF(AND(O3&gt;0,NOT(ISNUMBER(Q3))),"No proposed replacement standard",IF(X3&gt;0,"Demand exceeds available stock",""))</x:f>
      </x:c>
      <x:c r="Z3" s="1" t="n">
        <x:f>IF(ISNUMBER(Q3),1,0)</x:f>
        <x:v>1</x:v>
      </x:c>
    </x:row>
    <x:row r="4" ht="21" customHeight="1">
      <x:c r="A4" s="17" t="n">
        <x:f>Summary!B15</x:f>
        <x:v>46327</x:v>
      </x:c>
      <x:c r="B4" s="1" t="str">
        <x:f>'Current inventory'!A4</x:f>
        <x:v>30</x:v>
      </x:c>
      <x:c r="C4" s="1" t="str">
        <x:f>'Current inventory'!B4</x:f>
        <x:v>800BBLKASC</x:v>
      </x:c>
      <x:c r="D4" s="7" t="n">
        <x:f>Summary!$D$5</x:f>
        <x:v>46304</x:v>
      </x:c>
      <x:c r="E4" s="8" t="n">
        <x:f>'Current inventory'!M4</x:f>
        <x:v>191400</x:v>
      </x:c>
      <x:c r="F4" s="8" t="n">
        <x:f>'Current inventory'!N4</x:f>
        <x:v>0</x:v>
      </x:c>
      <x:c r="G4" s="8" t="n">
        <x:f>'Current inventory'!O4</x:f>
        <x:v>0</x:v>
      </x:c>
      <x:c r="H4" s="8" t="n">
        <x:f>SUMIFS('PO detail'!$U$2:$U$672,'PO detail'!$A$2:$A$672,B4,'PO detail'!$B$2:$B$672,C4,'PO detail'!$G$2:$G$672,"&gt;="&amp;D4,'PO detail'!$G$2:$G$672,"&lt;"&amp;A4)</x:f>
        <x:v>0</x:v>
      </x:c>
      <x:c r="I4" s="8" t="n">
        <x:f>SUMIFS('PO detail'!$V$2:$V$672,'PO detail'!$A$2:$A$672,B4,'PO detail'!$B$2:$B$672,C4,'PO detail'!$G$2:$G$672,"&gt;="&amp;D4,'PO detail'!$G$2:$G$672,"&lt;"&amp;A4)</x:f>
        <x:v>0</x:v>
      </x:c>
      <x:c r="J4" s="8" t="n">
        <x:f>SUMIFS('PO detail'!$W$2:$W$672,'PO detail'!$A$2:$A$672,B4,'PO detail'!$B$2:$B$672,C4,'PO detail'!$G$2:$G$672,"&gt;="&amp;D4,'PO detail'!$G$2:$G$672,"&lt;"&amp;A4)</x:f>
        <x:v>0</x:v>
      </x:c>
      <x:c r="K4" s="8" t="n">
        <x:f>'Current inventory'!E4*Summary!$D$6*(A4-D4)/30.4375</x:f>
        <x:v>40257.08418891171</x:v>
      </x:c>
      <x:c r="L4" s="8" t="n">
        <x:f>MAX(0,E4+H4-K4)</x:f>
        <x:v>151142.91581108829</x:v>
      </x:c>
      <x:c r="M4" s="8" t="n">
        <x:f>MAX(0,F4+I4-MAX(0,K4-E4-H4))</x:f>
        <x:v>0</x:v>
      </x:c>
      <x:c r="N4" s="8" t="n">
        <x:f>MAX(0,G4+J4-K4)</x:f>
        <x:v>0</x:v>
      </x:c>
      <x:c r="O4" s="8" t="n">
        <x:f>SUM(L4:N4)</x:f>
        <x:v>151142.91581108829</x:v>
      </x:c>
      <x:c r="P4" s="14" t="n">
        <x:f>'Current inventory'!V4</x:f>
        <x:v>0.1229</x:v>
      </x:c>
      <x:c r="Q4" s="14" t="n">
        <x:f>'Current inventory'!W4</x:f>
        <x:v>0.12841500000000003</x:v>
      </x:c>
      <x:c r="R4" s="10" t="n">
        <x:f>L4*P4</x:f>
        <x:v>18575.46435318275</x:v>
      </x:c>
      <x:c r="S4" s="10" t="n">
        <x:f>M4*P4</x:f>
        <x:v>0</x:v>
      </x:c>
      <x:c r="T4" s="10" t="n">
        <x:f>N4*P4</x:f>
        <x:v>0</x:v>
      </x:c>
      <x:c r="U4" s="10" t="n">
        <x:f>O4*P4</x:f>
        <x:v>18575.46435318275</x:v>
      </x:c>
      <x:c r="V4" s="10" t="n">
        <x:f>IF(ISNUMBER(Q4),O4*(Q4-P4),"n.a.")</x:f>
        <x:v>833.553180698157</x:v>
      </x:c>
      <x:c r="W4" s="10" t="n">
        <x:f>IF(ISNUMBER(Q4),U4,0)</x:f>
        <x:v>18575.46435318275</x:v>
      </x:c>
      <x:c r="X4" s="8" t="n">
        <x:f>MAX(0,K4-SUM(E4:J4))</x:f>
        <x:v>0</x:v>
      </x:c>
      <x:c r="Y4" s="1" t="str">
        <x:f>IF(AND(O4&gt;0,NOT(ISNUMBER(Q4))),"No proposed replacement standard",IF(X4&gt;0,"Demand exceeds available stock",""))</x:f>
      </x:c>
      <x:c r="Z4" s="1" t="n">
        <x:f>IF(ISNUMBER(Q4),1,0)</x:f>
        <x:v>1</x:v>
      </x:c>
    </x:row>
    <x:row r="5" ht="21" customHeight="1">
      <x:c r="A5" s="17" t="n">
        <x:f>Summary!B15</x:f>
        <x:v>46327</x:v>
      </x:c>
      <x:c r="B5" s="1" t="str">
        <x:f>'Current inventory'!A5</x:f>
        <x:v>60</x:v>
      </x:c>
      <x:c r="C5" s="1" t="str">
        <x:f>'Current inventory'!B5</x:f>
        <x:v>800BNAVASC</x:v>
      </x:c>
      <x:c r="D5" s="7" t="n">
        <x:f>Summary!$D$5</x:f>
        <x:v>46304</x:v>
      </x:c>
      <x:c r="E5" s="8" t="n">
        <x:f>'Current inventory'!M5</x:f>
        <x:v>35000</x:v>
      </x:c>
      <x:c r="F5" s="8" t="n">
        <x:f>'Current inventory'!N5</x:f>
        <x:v>0</x:v>
      </x:c>
      <x:c r="G5" s="8" t="n">
        <x:f>'Current inventory'!O5</x:f>
        <x:v>0</x:v>
      </x:c>
      <x:c r="H5" s="8" t="n">
        <x:f>SUMIFS('PO detail'!$U$2:$U$672,'PO detail'!$A$2:$A$672,B5,'PO detail'!$B$2:$B$672,C5,'PO detail'!$G$2:$G$672,"&gt;="&amp;D5,'PO detail'!$G$2:$G$672,"&lt;"&amp;A5)</x:f>
        <x:v>0</x:v>
      </x:c>
      <x:c r="I5" s="8" t="n">
        <x:f>SUMIFS('PO detail'!$V$2:$V$672,'PO detail'!$A$2:$A$672,B5,'PO detail'!$B$2:$B$672,C5,'PO detail'!$G$2:$G$672,"&gt;="&amp;D5,'PO detail'!$G$2:$G$672,"&lt;"&amp;A5)</x:f>
        <x:v>0</x:v>
      </x:c>
      <x:c r="J5" s="8" t="n">
        <x:f>SUMIFS('PO detail'!$W$2:$W$672,'PO detail'!$A$2:$A$672,B5,'PO detail'!$B$2:$B$672,C5,'PO detail'!$G$2:$G$672,"&gt;="&amp;D5,'PO detail'!$G$2:$G$672,"&lt;"&amp;A5)</x:f>
        <x:v>0</x:v>
      </x:c>
      <x:c r="K5" s="8" t="n">
        <x:f>'Current inventory'!E5*Summary!$D$6*(A5-D5)/30.4375</x:f>
        <x:v>15207.392197125257</x:v>
      </x:c>
      <x:c r="L5" s="8" t="n">
        <x:f>MAX(0,E5+H5-K5)</x:f>
        <x:v>19792.607802874743</x:v>
      </x:c>
      <x:c r="M5" s="8" t="n">
        <x:f>MAX(0,F5+I5-MAX(0,K5-E5-H5))</x:f>
        <x:v>0</x:v>
      </x:c>
      <x:c r="N5" s="8" t="n">
        <x:f>MAX(0,G5+J5-K5)</x:f>
        <x:v>0</x:v>
      </x:c>
      <x:c r="O5" s="8" t="n">
        <x:f>SUM(L5:N5)</x:f>
        <x:v>19792.607802874743</x:v>
      </x:c>
      <x:c r="P5" s="14" t="n">
        <x:f>'Current inventory'!V5</x:f>
        <x:v>0.1515</x:v>
      </x:c>
      <x:c r="Q5" s="14" t="n">
        <x:f>'Current inventory'!W5</x:f>
        <x:v>0.15834</x:v>
      </x:c>
      <x:c r="R5" s="10" t="n">
        <x:f>L5*P5</x:f>
        <x:v>2998.5800821355238</x:v>
      </x:c>
      <x:c r="S5" s="10" t="n">
        <x:f>M5*P5</x:f>
        <x:v>0</x:v>
      </x:c>
      <x:c r="T5" s="10" t="n">
        <x:f>N5*P5</x:f>
        <x:v>0</x:v>
      </x:c>
      <x:c r="U5" s="10" t="n">
        <x:f>O5*P5</x:f>
        <x:v>2998.5800821355238</x:v>
      </x:c>
      <x:c r="V5" s="10" t="n">
        <x:f>IF(ISNUMBER(Q5),O5*(Q5-P5),"n.a.")</x:f>
        <x:v>135.3814373716635</x:v>
      </x:c>
      <x:c r="W5" s="10" t="n">
        <x:f>IF(ISNUMBER(Q5),U5,0)</x:f>
        <x:v>2998.5800821355238</x:v>
      </x:c>
      <x:c r="X5" s="8" t="n">
        <x:f>MAX(0,K5-SUM(E5:J5))</x:f>
        <x:v>0</x:v>
      </x:c>
      <x:c r="Y5" s="1" t="str">
        <x:f>IF(AND(O5&gt;0,NOT(ISNUMBER(Q5))),"No proposed replacement standard",IF(X5&gt;0,"Demand exceeds available stock",""))</x:f>
      </x:c>
      <x:c r="Z5" s="1" t="n">
        <x:f>IF(ISNUMBER(Q5),1,0)</x:f>
        <x:v>1</x:v>
      </x:c>
    </x:row>
    <x:row r="6" ht="21" customHeight="1">
      <x:c r="A6" s="17" t="n">
        <x:f>Summary!B15</x:f>
        <x:v>46327</x:v>
      </x:c>
      <x:c r="B6" s="1" t="str">
        <x:f>'Current inventory'!A6</x:f>
        <x:v>10</x:v>
      </x:c>
      <x:c r="C6" s="1" t="str">
        <x:f>'Current inventory'!B6</x:f>
        <x:v>800BNAVASC</x:v>
      </x:c>
      <x:c r="D6" s="7" t="n">
        <x:f>Summary!$D$5</x:f>
        <x:v>46304</x:v>
      </x:c>
      <x:c r="E6" s="8" t="n">
        <x:f>'Current inventory'!M6</x:f>
        <x:v>2000</x:v>
      </x:c>
      <x:c r="F6" s="8" t="n">
        <x:f>'Current inventory'!N6</x:f>
        <x:v>0</x:v>
      </x:c>
      <x:c r="G6" s="8" t="n">
        <x:f>'Current inventory'!O6</x:f>
        <x:v>0</x:v>
      </x:c>
      <x:c r="H6" s="8" t="n">
        <x:f>SUMIFS('PO detail'!$U$2:$U$672,'PO detail'!$A$2:$A$672,B6,'PO detail'!$B$2:$B$672,C6,'PO detail'!$G$2:$G$672,"&gt;="&amp;D6,'PO detail'!$G$2:$G$672,"&lt;"&amp;A6)</x:f>
        <x:v>120000</x:v>
      </x:c>
      <x:c r="I6" s="8" t="n">
        <x:f>SUMIFS('PO detail'!$V$2:$V$672,'PO detail'!$A$2:$A$672,B6,'PO detail'!$B$2:$B$672,C6,'PO detail'!$G$2:$G$672,"&gt;="&amp;D6,'PO detail'!$G$2:$G$672,"&lt;"&amp;A6)</x:f>
        <x:v>0</x:v>
      </x:c>
      <x:c r="J6" s="8" t="n">
        <x:f>SUMIFS('PO detail'!$W$2:$W$672,'PO detail'!$A$2:$A$672,B6,'PO detail'!$B$2:$B$672,C6,'PO detail'!$G$2:$G$672,"&gt;="&amp;D6,'PO detail'!$G$2:$G$672,"&lt;"&amp;A6)</x:f>
        <x:v>0</x:v>
      </x:c>
      <x:c r="K6" s="8" t="n">
        <x:f>'Current inventory'!E6*Summary!$D$6*(A6-D6)/30.4375</x:f>
        <x:v>10547.567638603698</x:v>
      </x:c>
      <x:c r="L6" s="8" t="n">
        <x:f>MAX(0,E6+H6-K6)</x:f>
        <x:v>111452.4323613963</x:v>
      </x:c>
      <x:c r="M6" s="8" t="n">
        <x:f>MAX(0,F6+I6-MAX(0,K6-E6-H6))</x:f>
        <x:v>0</x:v>
      </x:c>
      <x:c r="N6" s="8" t="n">
        <x:f>MAX(0,G6+J6-K6)</x:f>
        <x:v>0</x:v>
      </x:c>
      <x:c r="O6" s="8" t="n">
        <x:f>SUM(L6:N6)</x:f>
        <x:v>111452.4323613963</x:v>
      </x:c>
      <x:c r="P6" s="14" t="n">
        <x:f>'Current inventory'!V6</x:f>
        <x:v>0.1515</x:v>
      </x:c>
      <x:c r="Q6" s="14" t="n">
        <x:f>'Current inventory'!W6</x:f>
        <x:v>0.15834</x:v>
      </x:c>
      <x:c r="R6" s="10" t="n">
        <x:f>L6*P6</x:f>
        <x:v>16885.04350275154</x:v>
      </x:c>
      <x:c r="S6" s="10" t="n">
        <x:f>M6*P6</x:f>
        <x:v>0</x:v>
      </x:c>
      <x:c r="T6" s="10" t="n">
        <x:f>N6*P6</x:f>
        <x:v>0</x:v>
      </x:c>
      <x:c r="U6" s="10" t="n">
        <x:f>O6*P6</x:f>
        <x:v>16885.04350275154</x:v>
      </x:c>
      <x:c r="V6" s="10" t="n">
        <x:f>IF(ISNUMBER(Q6),O6*(Q6-P6),"n.a.")</x:f>
        <x:v>762.3346373519521</x:v>
      </x:c>
      <x:c r="W6" s="10" t="n">
        <x:f>IF(ISNUMBER(Q6),U6,0)</x:f>
        <x:v>16885.04350275154</x:v>
      </x:c>
      <x:c r="X6" s="8" t="n">
        <x:f>MAX(0,K6-SUM(E6:J6))</x:f>
        <x:v>0</x:v>
      </x:c>
      <x:c r="Y6" s="1" t="str">
        <x:f>IF(AND(O6&gt;0,NOT(ISNUMBER(Q6))),"No proposed replacement standard",IF(X6&gt;0,"Demand exceeds available stock",""))</x:f>
      </x:c>
      <x:c r="Z6" s="1" t="n">
        <x:f>IF(ISNUMBER(Q6),1,0)</x:f>
        <x:v>1</x:v>
      </x:c>
    </x:row>
    <x:row r="7" ht="21" customHeight="1">
      <x:c r="A7" s="17" t="n">
        <x:f>Summary!B15</x:f>
        <x:v>46327</x:v>
      </x:c>
      <x:c r="B7" s="1" t="str">
        <x:f>'Current inventory'!A7</x:f>
        <x:v>10</x:v>
      </x:c>
      <x:c r="C7" s="1" t="str">
        <x:f>'Current inventory'!B7</x:f>
        <x:v>800BBLKISC</x:v>
      </x:c>
      <x:c r="D7" s="7" t="n">
        <x:f>Summary!$D$5</x:f>
        <x:v>46304</x:v>
      </x:c>
      <x:c r="E7" s="8" t="n">
        <x:f>'Current inventory'!M7</x:f>
        <x:v>96300</x:v>
      </x:c>
      <x:c r="F7" s="8" t="n">
        <x:f>'Current inventory'!N7</x:f>
        <x:v>0</x:v>
      </x:c>
      <x:c r="G7" s="8" t="n">
        <x:f>'Current inventory'!O7</x:f>
        <x:v>0</x:v>
      </x:c>
      <x:c r="H7" s="8" t="n">
        <x:f>SUMIFS('PO detail'!$U$2:$U$672,'PO detail'!$A$2:$A$672,B7,'PO detail'!$B$2:$B$672,C7,'PO detail'!$G$2:$G$672,"&gt;="&amp;D7,'PO detail'!$G$2:$G$672,"&lt;"&amp;A7)</x:f>
        <x:v>0</x:v>
      </x:c>
      <x:c r="I7" s="8" t="n">
        <x:f>SUMIFS('PO detail'!$V$2:$V$672,'PO detail'!$A$2:$A$672,B7,'PO detail'!$B$2:$B$672,C7,'PO detail'!$G$2:$G$672,"&gt;="&amp;D7,'PO detail'!$G$2:$G$672,"&lt;"&amp;A7)</x:f>
        <x:v>0</x:v>
      </x:c>
      <x:c r="J7" s="8" t="n">
        <x:f>SUMIFS('PO detail'!$W$2:$W$672,'PO detail'!$A$2:$A$672,B7,'PO detail'!$B$2:$B$672,C7,'PO detail'!$G$2:$G$672,"&gt;="&amp;D7,'PO detail'!$G$2:$G$672,"&lt;"&amp;A7)</x:f>
        <x:v>0</x:v>
      </x:c>
      <x:c r="K7" s="8" t="n">
        <x:f>'Current inventory'!E7*Summary!$D$6*(A7-D7)/30.4375</x:f>
        <x:v>9426.694045174538</x:v>
      </x:c>
      <x:c r="L7" s="8" t="n">
        <x:f>MAX(0,E7+H7-K7)</x:f>
        <x:v>86873.30595482547</x:v>
      </x:c>
      <x:c r="M7" s="8" t="n">
        <x:f>MAX(0,F7+I7-MAX(0,K7-E7-H7))</x:f>
        <x:v>0</x:v>
      </x:c>
      <x:c r="N7" s="8" t="n">
        <x:f>MAX(0,G7+J7-K7)</x:f>
        <x:v>0</x:v>
      </x:c>
      <x:c r="O7" s="8" t="n">
        <x:f>SUM(L7:N7)</x:f>
        <x:v>86873.30595482547</x:v>
      </x:c>
      <x:c r="P7" s="14" t="n">
        <x:f>'Current inventory'!V7</x:f>
        <x:v>0.1612</x:v>
      </x:c>
      <x:c r="Q7" s="14" t="n">
        <x:f>'Current inventory'!W7</x:f>
        <x:v>0.16842</x:v>
      </x:c>
      <x:c r="R7" s="10" t="n">
        <x:f>L7*P7</x:f>
        <x:v>14003.976919917866</x:v>
      </x:c>
      <x:c r="S7" s="10" t="n">
        <x:f>M7*P7</x:f>
        <x:v>0</x:v>
      </x:c>
      <x:c r="T7" s="10" t="n">
        <x:f>N7*P7</x:f>
        <x:v>0</x:v>
      </x:c>
      <x:c r="U7" s="10" t="n">
        <x:f>O7*P7</x:f>
        <x:v>14003.976919917866</x:v>
      </x:c>
      <x:c r="V7" s="10" t="n">
        <x:f>IF(ISNUMBER(Q7),O7*(Q7-P7),"n.a.")</x:f>
        <x:v>627.2252689938379</x:v>
      </x:c>
      <x:c r="W7" s="10" t="n">
        <x:f>IF(ISNUMBER(Q7),U7,0)</x:f>
        <x:v>14003.976919917866</x:v>
      </x:c>
      <x:c r="X7" s="8" t="n">
        <x:f>MAX(0,K7-SUM(E7:J7))</x:f>
        <x:v>0</x:v>
      </x:c>
      <x:c r="Y7" s="1" t="str">
        <x:f>IF(AND(O7&gt;0,NOT(ISNUMBER(Q7))),"No proposed replacement standard",IF(X7&gt;0,"Demand exceeds available stock",""))</x:f>
      </x:c>
      <x:c r="Z7" s="1" t="n">
        <x:f>IF(ISNUMBER(Q7),1,0)</x:f>
        <x:v>1</x:v>
      </x:c>
    </x:row>
    <x:row r="8" ht="21" customHeight="1">
      <x:c r="A8" s="17" t="n">
        <x:f>Summary!B15</x:f>
        <x:v>46327</x:v>
      </x:c>
      <x:c r="B8" s="1" t="str">
        <x:f>'Current inventory'!A8</x:f>
        <x:v>60</x:v>
      </x:c>
      <x:c r="C8" s="1" t="str">
        <x:f>'Current inventory'!B8</x:f>
        <x:v>800BBLKDSC</x:v>
      </x:c>
      <x:c r="D8" s="7" t="n">
        <x:f>Summary!$D$5</x:f>
        <x:v>46304</x:v>
      </x:c>
      <x:c r="E8" s="8" t="n">
        <x:f>'Current inventory'!M8</x:f>
        <x:v>43300</x:v>
      </x:c>
      <x:c r="F8" s="8" t="n">
        <x:f>'Current inventory'!N8</x:f>
        <x:v>0</x:v>
      </x:c>
      <x:c r="G8" s="8" t="n">
        <x:f>'Current inventory'!O8</x:f>
        <x:v>0</x:v>
      </x:c>
      <x:c r="H8" s="8" t="n">
        <x:f>SUMIFS('PO detail'!$U$2:$U$672,'PO detail'!$A$2:$A$672,B8,'PO detail'!$B$2:$B$672,C8,'PO detail'!$G$2:$G$672,"&gt;="&amp;D8,'PO detail'!$G$2:$G$672,"&lt;"&amp;A8)</x:f>
        <x:v>0</x:v>
      </x:c>
      <x:c r="I8" s="8" t="n">
        <x:f>SUMIFS('PO detail'!$V$2:$V$672,'PO detail'!$A$2:$A$672,B8,'PO detail'!$B$2:$B$672,C8,'PO detail'!$G$2:$G$672,"&gt;="&amp;D8,'PO detail'!$G$2:$G$672,"&lt;"&amp;A8)</x:f>
        <x:v>0</x:v>
      </x:c>
      <x:c r="J8" s="8" t="n">
        <x:f>SUMIFS('PO detail'!$W$2:$W$672,'PO detail'!$A$2:$A$672,B8,'PO detail'!$B$2:$B$672,C8,'PO detail'!$G$2:$G$672,"&gt;="&amp;D8,'PO detail'!$G$2:$G$672,"&lt;"&amp;A8)</x:f>
        <x:v>0</x:v>
      </x:c>
      <x:c r="K8" s="8" t="n">
        <x:f>'Current inventory'!E8*Summary!$D$6*(A8-D8)/30.4375</x:f>
        <x:v>8519.917864476385</x:v>
      </x:c>
      <x:c r="L8" s="8" t="n">
        <x:f>MAX(0,E8+H8-K8)</x:f>
        <x:v>34780.08213552361</x:v>
      </x:c>
      <x:c r="M8" s="8" t="n">
        <x:f>MAX(0,F8+I8-MAX(0,K8-E8-H8))</x:f>
        <x:v>0</x:v>
      </x:c>
      <x:c r="N8" s="8" t="n">
        <x:f>MAX(0,G8+J8-K8)</x:f>
        <x:v>0</x:v>
      </x:c>
      <x:c r="O8" s="8" t="n">
        <x:f>SUM(L8:N8)</x:f>
        <x:v>34780.08213552361</x:v>
      </x:c>
      <x:c r="P8" s="14" t="n">
        <x:f>'Current inventory'!V8</x:f>
        <x:v>0.3332</x:v>
      </x:c>
      <x:c r="Q8" s="14" t="n">
        <x:f>'Current inventory'!W8</x:f>
        <x:v>0.34818</x:v>
      </x:c>
      <x:c r="R8" s="10" t="n">
        <x:f>L8*P8</x:f>
        <x:v>11588.723367556468</x:v>
      </x:c>
      <x:c r="S8" s="10" t="n">
        <x:f>M8*P8</x:f>
        <x:v>0</x:v>
      </x:c>
      <x:c r="T8" s="10" t="n">
        <x:f>N8*P8</x:f>
        <x:v>0</x:v>
      </x:c>
      <x:c r="U8" s="10" t="n">
        <x:f>O8*P8</x:f>
        <x:v>11588.723367556468</x:v>
      </x:c>
      <x:c r="V8" s="10" t="n">
        <x:f>IF(ISNUMBER(Q8),O8*(Q8-P8),"n.a.")</x:f>
        <x:v>521.0056303901434</x:v>
      </x:c>
      <x:c r="W8" s="10" t="n">
        <x:f>IF(ISNUMBER(Q8),U8,0)</x:f>
        <x:v>11588.723367556468</x:v>
      </x:c>
      <x:c r="X8" s="8" t="n">
        <x:f>MAX(0,K8-SUM(E8:J8))</x:f>
        <x:v>0</x:v>
      </x:c>
      <x:c r="Y8" s="1" t="str">
        <x:f>IF(AND(O8&gt;0,NOT(ISNUMBER(Q8))),"No proposed replacement standard",IF(X8&gt;0,"Demand exceeds available stock",""))</x:f>
      </x:c>
      <x:c r="Z8" s="1" t="n">
        <x:f>IF(ISNUMBER(Q8),1,0)</x:f>
        <x:v>1</x:v>
      </x:c>
    </x:row>
    <x:row r="9" ht="21" customHeight="1">
      <x:c r="A9" s="17" t="n">
        <x:f>Summary!B15</x:f>
        <x:v>46327</x:v>
      </x:c>
      <x:c r="B9" s="1" t="str">
        <x:f>'Current inventory'!A9</x:f>
        <x:v>10</x:v>
      </x:c>
      <x:c r="C9" s="1" t="str">
        <x:f>'Current inventory'!B9</x:f>
        <x:v>800BBLKDSC</x:v>
      </x:c>
      <x:c r="D9" s="7" t="n">
        <x:f>Summary!$D$5</x:f>
        <x:v>46304</x:v>
      </x:c>
      <x:c r="E9" s="8" t="n">
        <x:f>'Current inventory'!M9</x:f>
        <x:v>47900</x:v>
      </x:c>
      <x:c r="F9" s="8" t="n">
        <x:f>'Current inventory'!N9</x:f>
        <x:v>0</x:v>
      </x:c>
      <x:c r="G9" s="8" t="n">
        <x:f>'Current inventory'!O9</x:f>
        <x:v>0</x:v>
      </x:c>
      <x:c r="H9" s="8" t="n">
        <x:f>SUMIFS('PO detail'!$U$2:$U$672,'PO detail'!$A$2:$A$672,B9,'PO detail'!$B$2:$B$672,C9,'PO detail'!$G$2:$G$672,"&gt;="&amp;D9,'PO detail'!$G$2:$G$672,"&lt;"&amp;A9)</x:f>
        <x:v>0</x:v>
      </x:c>
      <x:c r="I9" s="8" t="n">
        <x:f>SUMIFS('PO detail'!$V$2:$V$672,'PO detail'!$A$2:$A$672,B9,'PO detail'!$B$2:$B$672,C9,'PO detail'!$G$2:$G$672,"&gt;="&amp;D9,'PO detail'!$G$2:$G$672,"&lt;"&amp;A9)</x:f>
        <x:v>0</x:v>
      </x:c>
      <x:c r="J9" s="8" t="n">
        <x:f>SUMIFS('PO detail'!$W$2:$W$672,'PO detail'!$A$2:$A$672,B9,'PO detail'!$B$2:$B$672,C9,'PO detail'!$G$2:$G$672,"&gt;="&amp;D9,'PO detail'!$G$2:$G$672,"&lt;"&amp;A9)</x:f>
        <x:v>0</x:v>
      </x:c>
      <x:c r="K9" s="8" t="n">
        <x:f>'Current inventory'!E9*Summary!$D$6*(A9-D9)/30.4375</x:f>
        <x:v>7726.488706365503</x:v>
      </x:c>
      <x:c r="L9" s="8" t="n">
        <x:f>MAX(0,E9+H9-K9)</x:f>
        <x:v>40173.511293634496</x:v>
      </x:c>
      <x:c r="M9" s="8" t="n">
        <x:f>MAX(0,F9+I9-MAX(0,K9-E9-H9))</x:f>
        <x:v>0</x:v>
      </x:c>
      <x:c r="N9" s="8" t="n">
        <x:f>MAX(0,G9+J9-K9)</x:f>
        <x:v>0</x:v>
      </x:c>
      <x:c r="O9" s="8" t="n">
        <x:f>SUM(L9:N9)</x:f>
        <x:v>40173.511293634496</x:v>
      </x:c>
      <x:c r="P9" s="14" t="n">
        <x:f>'Current inventory'!V9</x:f>
        <x:v>0.3332</x:v>
      </x:c>
      <x:c r="Q9" s="14" t="n">
        <x:f>'Current inventory'!W9</x:f>
        <x:v>0.34818</x:v>
      </x:c>
      <x:c r="R9" s="10" t="n">
        <x:f>L9*P9</x:f>
        <x:v>13385.813963039014</x:v>
      </x:c>
      <x:c r="S9" s="10" t="n">
        <x:f>M9*P9</x:f>
        <x:v>0</x:v>
      </x:c>
      <x:c r="T9" s="10" t="n">
        <x:f>N9*P9</x:f>
        <x:v>0</x:v>
      </x:c>
      <x:c r="U9" s="10" t="n">
        <x:f>O9*P9</x:f>
        <x:v>13385.813963039014</x:v>
      </x:c>
      <x:c r="V9" s="10" t="n">
        <x:f>IF(ISNUMBER(Q9),O9*(Q9-P9),"n.a.")</x:f>
        <x:v>601.7991991786445</x:v>
      </x:c>
      <x:c r="W9" s="10" t="n">
        <x:f>IF(ISNUMBER(Q9),U9,0)</x:f>
        <x:v>13385.813963039014</x:v>
      </x:c>
      <x:c r="X9" s="8" t="n">
        <x:f>MAX(0,K9-SUM(E9:J9))</x:f>
        <x:v>0</x:v>
      </x:c>
      <x:c r="Y9" s="1" t="str">
        <x:f>IF(AND(O9&gt;0,NOT(ISNUMBER(Q9))),"No proposed replacement standard",IF(X9&gt;0,"Demand exceeds available stock",""))</x:f>
      </x:c>
      <x:c r="Z9" s="1" t="n">
        <x:f>IF(ISNUMBER(Q9),1,0)</x:f>
        <x:v>1</x:v>
      </x:c>
    </x:row>
    <x:row r="10" ht="21" customHeight="1">
      <x:c r="A10" s="17" t="n">
        <x:f>Summary!B15</x:f>
        <x:v>46327</x:v>
      </x:c>
      <x:c r="B10" s="1" t="str">
        <x:f>'Current inventory'!A10</x:f>
        <x:v>60</x:v>
      </x:c>
      <x:c r="C10" s="1" t="str">
        <x:f>'Current inventory'!B10</x:f>
        <x:v>800BBLKISC</x:v>
      </x:c>
      <x:c r="D10" s="7" t="n">
        <x:f>Summary!$D$5</x:f>
        <x:v>46304</x:v>
      </x:c>
      <x:c r="E10" s="8" t="n">
        <x:f>'Current inventory'!M10</x:f>
        <x:v>105200</x:v>
      </x:c>
      <x:c r="F10" s="8" t="n">
        <x:f>'Current inventory'!N10</x:f>
        <x:v>0</x:v>
      </x:c>
      <x:c r="G10" s="8" t="n">
        <x:f>'Current inventory'!O10</x:f>
        <x:v>0</x:v>
      </x:c>
      <x:c r="H10" s="8" t="n">
        <x:f>SUMIFS('PO detail'!$U$2:$U$672,'PO detail'!$A$2:$A$672,B10,'PO detail'!$B$2:$B$672,C10,'PO detail'!$G$2:$G$672,"&gt;="&amp;D10,'PO detail'!$G$2:$G$672,"&lt;"&amp;A10)</x:f>
        <x:v>0</x:v>
      </x:c>
      <x:c r="I10" s="8" t="n">
        <x:f>SUMIFS('PO detail'!$V$2:$V$672,'PO detail'!$A$2:$A$672,B10,'PO detail'!$B$2:$B$672,C10,'PO detail'!$G$2:$G$672,"&gt;="&amp;D10,'PO detail'!$G$2:$G$672,"&lt;"&amp;A10)</x:f>
        <x:v>0</x:v>
      </x:c>
      <x:c r="J10" s="8" t="n">
        <x:f>SUMIFS('PO detail'!$W$2:$W$672,'PO detail'!$A$2:$A$672,B10,'PO detail'!$B$2:$B$672,C10,'PO detail'!$G$2:$G$672,"&gt;="&amp;D10,'PO detail'!$G$2:$G$672,"&lt;"&amp;A10)</x:f>
        <x:v>0</x:v>
      </x:c>
      <x:c r="K10" s="8" t="n">
        <x:f>'Current inventory'!E10*Summary!$D$6*(A10-D10)/30.4375</x:f>
        <x:v>6844.898234086242</x:v>
      </x:c>
      <x:c r="L10" s="8" t="n">
        <x:f>MAX(0,E10+H10-K10)</x:f>
        <x:v>98355.10176591376</x:v>
      </x:c>
      <x:c r="M10" s="8" t="n">
        <x:f>MAX(0,F10+I10-MAX(0,K10-E10-H10))</x:f>
        <x:v>0</x:v>
      </x:c>
      <x:c r="N10" s="8" t="n">
        <x:f>MAX(0,G10+J10-K10)</x:f>
        <x:v>0</x:v>
      </x:c>
      <x:c r="O10" s="8" t="n">
        <x:f>SUM(L10:N10)</x:f>
        <x:v>98355.10176591376</x:v>
      </x:c>
      <x:c r="P10" s="14" t="n">
        <x:f>'Current inventory'!V10</x:f>
        <x:v>0.1612</x:v>
      </x:c>
      <x:c r="Q10" s="14" t="n">
        <x:f>'Current inventory'!W10</x:f>
        <x:v>0.16842</x:v>
      </x:c>
      <x:c r="R10" s="10" t="n">
        <x:f>L10*P10</x:f>
        <x:v>15854.842404665298</x:v>
      </x:c>
      <x:c r="S10" s="10" t="n">
        <x:f>M10*P10</x:f>
        <x:v>0</x:v>
      </x:c>
      <x:c r="T10" s="10" t="n">
        <x:f>N10*P10</x:f>
        <x:v>0</x:v>
      </x:c>
      <x:c r="U10" s="10" t="n">
        <x:f>O10*P10</x:f>
        <x:v>15854.842404665298</x:v>
      </x:c>
      <x:c r="V10" s="10" t="n">
        <x:f>IF(ISNUMBER(Q10),O10*(Q10-P10),"n.a.")</x:f>
        <x:v>710.123834749895</x:v>
      </x:c>
      <x:c r="W10" s="10" t="n">
        <x:f>IF(ISNUMBER(Q10),U10,0)</x:f>
        <x:v>15854.842404665298</x:v>
      </x:c>
      <x:c r="X10" s="8" t="n">
        <x:f>MAX(0,K10-SUM(E10:J10))</x:f>
        <x:v>0</x:v>
      </x:c>
      <x:c r="Y10" s="1" t="str">
        <x:f>IF(AND(O10&gt;0,NOT(ISNUMBER(Q10))),"No proposed replacement standard",IF(X10&gt;0,"Demand exceeds available stock",""))</x:f>
      </x:c>
      <x:c r="Z10" s="1" t="n">
        <x:f>IF(ISNUMBER(Q10),1,0)</x:f>
        <x:v>1</x:v>
      </x:c>
    </x:row>
    <x:row r="11" ht="21" customHeight="1">
      <x:c r="A11" s="17" t="n">
        <x:f>Summary!B15</x:f>
        <x:v>46327</x:v>
      </x:c>
      <x:c r="B11" s="1" t="str">
        <x:f>'Current inventory'!A11</x:f>
        <x:v>30</x:v>
      </x:c>
      <x:c r="C11" s="1" t="str">
        <x:f>'Current inventory'!B11</x:f>
        <x:v>800BNAVASC</x:v>
      </x:c>
      <x:c r="D11" s="7" t="n">
        <x:f>Summary!$D$5</x:f>
        <x:v>46304</x:v>
      </x:c>
      <x:c r="E11" s="8" t="n">
        <x:f>'Current inventory'!M11</x:f>
        <x:v>800</x:v>
      </x:c>
      <x:c r="F11" s="8" t="n">
        <x:f>'Current inventory'!N11</x:f>
        <x:v>0</x:v>
      </x:c>
      <x:c r="G11" s="8" t="n">
        <x:f>'Current inventory'!O11</x:f>
        <x:v>0</x:v>
      </x:c>
      <x:c r="H11" s="8" t="n">
        <x:f>SUMIFS('PO detail'!$U$2:$U$672,'PO detail'!$A$2:$A$672,B11,'PO detail'!$B$2:$B$672,C11,'PO detail'!$G$2:$G$672,"&gt;="&amp;D11,'PO detail'!$G$2:$G$672,"&lt;"&amp;A11)</x:f>
        <x:v>20000</x:v>
      </x:c>
      <x:c r="I11" s="8" t="n">
        <x:f>SUMIFS('PO detail'!$V$2:$V$672,'PO detail'!$A$2:$A$672,B11,'PO detail'!$B$2:$B$672,C11,'PO detail'!$G$2:$G$672,"&gt;="&amp;D11,'PO detail'!$G$2:$G$672,"&lt;"&amp;A11)</x:f>
        <x:v>0</x:v>
      </x:c>
      <x:c r="J11" s="8" t="n">
        <x:f>SUMIFS('PO detail'!$W$2:$W$672,'PO detail'!$A$2:$A$672,B11,'PO detail'!$B$2:$B$672,C11,'PO detail'!$G$2:$G$672,"&gt;="&amp;D11,'PO detail'!$G$2:$G$672,"&lt;"&amp;A11)</x:f>
        <x:v>0</x:v>
      </x:c>
      <x:c r="K11" s="8" t="n">
        <x:f>'Current inventory'!E11*Summary!$D$6*(A11-D11)/30.4375</x:f>
        <x:v>6662.288624229979</x:v>
      </x:c>
      <x:c r="L11" s="8" t="n">
        <x:f>MAX(0,E11+H11-K11)</x:f>
        <x:v>14137.71137577002</x:v>
      </x:c>
      <x:c r="M11" s="8" t="n">
        <x:f>MAX(0,F11+I11-MAX(0,K11-E11-H11))</x:f>
        <x:v>0</x:v>
      </x:c>
      <x:c r="N11" s="8" t="n">
        <x:f>MAX(0,G11+J11-K11)</x:f>
        <x:v>0</x:v>
      </x:c>
      <x:c r="O11" s="8" t="n">
        <x:f>SUM(L11:N11)</x:f>
        <x:v>14137.71137577002</x:v>
      </x:c>
      <x:c r="P11" s="14" t="n">
        <x:f>'Current inventory'!V11</x:f>
        <x:v>0.1515</x:v>
      </x:c>
      <x:c r="Q11" s="14" t="n">
        <x:f>'Current inventory'!W11</x:f>
        <x:v>0.15834</x:v>
      </x:c>
      <x:c r="R11" s="10" t="n">
        <x:f>L11*P11</x:f>
        <x:v>2141.863273429158</x:v>
      </x:c>
      <x:c r="S11" s="10" t="n">
        <x:f>M11*P11</x:f>
        <x:v>0</x:v>
      </x:c>
      <x:c r="T11" s="10" t="n">
        <x:f>N11*P11</x:f>
        <x:v>0</x:v>
      </x:c>
      <x:c r="U11" s="10" t="n">
        <x:f>O11*P11</x:f>
        <x:v>2141.863273429158</x:v>
      </x:c>
      <x:c r="V11" s="10" t="n">
        <x:f>IF(ISNUMBER(Q11),O11*(Q11-P11),"n.a.")</x:f>
        <x:v>96.70194581026712</x:v>
      </x:c>
      <x:c r="W11" s="10" t="n">
        <x:f>IF(ISNUMBER(Q11),U11,0)</x:f>
        <x:v>2141.863273429158</x:v>
      </x:c>
      <x:c r="X11" s="8" t="n">
        <x:f>MAX(0,K11-SUM(E11:J11))</x:f>
        <x:v>0</x:v>
      </x:c>
      <x:c r="Y11" s="1" t="str">
        <x:f>IF(AND(O11&gt;0,NOT(ISNUMBER(Q11))),"No proposed replacement standard",IF(X11&gt;0,"Demand exceeds available stock",""))</x:f>
      </x:c>
      <x:c r="Z11" s="1" t="n">
        <x:f>IF(ISNUMBER(Q11),1,0)</x:f>
        <x:v>1</x:v>
      </x:c>
    </x:row>
    <x:row r="12" ht="21" customHeight="1">
      <x:c r="A12" s="17" t="n">
        <x:f>Summary!B15</x:f>
        <x:v>46327</x:v>
      </x:c>
      <x:c r="B12" s="1" t="str">
        <x:f>'Current inventory'!A12</x:f>
        <x:v>30</x:v>
      </x:c>
      <x:c r="C12" s="1" t="str">
        <x:f>'Current inventory'!B12</x:f>
        <x:v>800BBLKDSC</x:v>
      </x:c>
      <x:c r="D12" s="7" t="n">
        <x:f>Summary!$D$5</x:f>
        <x:v>46304</x:v>
      </x:c>
      <x:c r="E12" s="8" t="n">
        <x:f>'Current inventory'!M12</x:f>
        <x:v>3500</x:v>
      </x:c>
      <x:c r="F12" s="8" t="n">
        <x:f>'Current inventory'!N12</x:f>
        <x:v>0</x:v>
      </x:c>
      <x:c r="G12" s="8" t="n">
        <x:f>'Current inventory'!O12</x:f>
        <x:v>0</x:v>
      </x:c>
      <x:c r="H12" s="8" t="n">
        <x:f>SUMIFS('PO detail'!$U$2:$U$672,'PO detail'!$A$2:$A$672,B12,'PO detail'!$B$2:$B$672,C12,'PO detail'!$G$2:$G$672,"&gt;="&amp;D12,'PO detail'!$G$2:$G$672,"&lt;"&amp;A12)</x:f>
        <x:v>0</x:v>
      </x:c>
      <x:c r="I12" s="8" t="n">
        <x:f>SUMIFS('PO detail'!$V$2:$V$672,'PO detail'!$A$2:$A$672,B12,'PO detail'!$B$2:$B$672,C12,'PO detail'!$G$2:$G$672,"&gt;="&amp;D12,'PO detail'!$G$2:$G$672,"&lt;"&amp;A12)</x:f>
        <x:v>0</x:v>
      </x:c>
      <x:c r="J12" s="8" t="n">
        <x:f>SUMIFS('PO detail'!$W$2:$W$672,'PO detail'!$A$2:$A$672,B12,'PO detail'!$B$2:$B$672,C12,'PO detail'!$G$2:$G$672,"&gt;="&amp;D12,'PO detail'!$G$2:$G$672,"&lt;"&amp;A12)</x:f>
        <x:v>0</x:v>
      </x:c>
      <x:c r="K12" s="8" t="n">
        <x:f>'Current inventory'!E12*Summary!$D$6*(A12-D12)/30.4375</x:f>
        <x:v>4779.466119096509</x:v>
      </x:c>
      <x:c r="L12" s="8" t="n">
        <x:f>MAX(0,E12+H12-K12)</x:f>
        <x:v>0</x:v>
      </x:c>
      <x:c r="M12" s="8" t="n">
        <x:f>MAX(0,F12+I12-MAX(0,K12-E12-H12))</x:f>
        <x:v>0</x:v>
      </x:c>
      <x:c r="N12" s="8" t="n">
        <x:f>MAX(0,G12+J12-K12)</x:f>
        <x:v>0</x:v>
      </x:c>
      <x:c r="O12" s="8" t="n">
        <x:f>SUM(L12:N12)</x:f>
        <x:v>0</x:v>
      </x:c>
      <x:c r="P12" s="14" t="n">
        <x:f>'Current inventory'!V12</x:f>
        <x:v>0.3332</x:v>
      </x:c>
      <x:c r="Q12" s="14" t="n">
        <x:f>'Current inventory'!W12</x:f>
        <x:v>0.34818</x:v>
      </x:c>
      <x:c r="R12" s="10" t="n">
        <x:f>L12*P12</x:f>
        <x:v>0</x:v>
      </x:c>
      <x:c r="S12" s="10" t="n">
        <x:f>M12*P12</x:f>
        <x:v>0</x:v>
      </x:c>
      <x:c r="T12" s="10" t="n">
        <x:f>N12*P12</x:f>
        <x:v>0</x:v>
      </x:c>
      <x:c r="U12" s="10" t="n">
        <x:f>O12*P12</x:f>
        <x:v>0</x:v>
      </x:c>
      <x:c r="V12" s="10" t="n">
        <x:f>IF(ISNUMBER(Q12),O12*(Q12-P12),"n.a.")</x:f>
        <x:v>0</x:v>
      </x:c>
      <x:c r="W12" s="10" t="n">
        <x:f>IF(ISNUMBER(Q12),U12,0)</x:f>
        <x:v>0</x:v>
      </x:c>
      <x:c r="X12" s="8" t="n">
        <x:f>MAX(0,K12-SUM(E12:J12))</x:f>
        <x:v>1279.466119096509</x:v>
      </x:c>
      <x:c r="Y12" s="1" t="str">
        <x:f>IF(AND(O12&gt;0,NOT(ISNUMBER(Q12))),"No proposed replacement standard",IF(X12&gt;0,"Demand exceeds available stock",""))</x:f>
        <x:v>Demand exceeds available stock</x:v>
      </x:c>
      <x:c r="Z12" s="1" t="n">
        <x:f>IF(ISNUMBER(Q12),1,0)</x:f>
        <x:v>1</x:v>
      </x:c>
    </x:row>
    <x:row r="13" ht="21" customHeight="1">
      <x:c r="A13" s="17" t="n">
        <x:f>Summary!B15</x:f>
        <x:v>46327</x:v>
      </x:c>
      <x:c r="B13" s="1" t="str">
        <x:f>'Current inventory'!A13</x:f>
        <x:v>60</x:v>
      </x:c>
      <x:c r="C13" s="1" t="str">
        <x:f>'Current inventory'!B13</x:f>
        <x:v>800BBLKCSC</x:v>
      </x:c>
      <x:c r="D13" s="7" t="n">
        <x:f>Summary!$D$5</x:f>
        <x:v>46304</x:v>
      </x:c>
      <x:c r="E13" s="8" t="n">
        <x:f>'Current inventory'!M13</x:f>
        <x:v>0</x:v>
      </x:c>
      <x:c r="F13" s="8" t="n">
        <x:f>'Current inventory'!N13</x:f>
        <x:v>0</x:v>
      </x:c>
      <x:c r="G13" s="8" t="n">
        <x:f>'Current inventory'!O13</x:f>
        <x:v>10500</x:v>
      </x:c>
      <x:c r="H13" s="8" t="n">
        <x:f>SUMIFS('PO detail'!$U$2:$U$672,'PO detail'!$A$2:$A$672,B13,'PO detail'!$B$2:$B$672,C13,'PO detail'!$G$2:$G$672,"&gt;="&amp;D13,'PO detail'!$G$2:$G$672,"&lt;"&amp;A13)</x:f>
        <x:v>0</x:v>
      </x:c>
      <x:c r="I13" s="8" t="n">
        <x:f>SUMIFS('PO detail'!$V$2:$V$672,'PO detail'!$A$2:$A$672,B13,'PO detail'!$B$2:$B$672,C13,'PO detail'!$G$2:$G$672,"&gt;="&amp;D13,'PO detail'!$G$2:$G$672,"&lt;"&amp;A13)</x:f>
        <x:v>0</x:v>
      </x:c>
      <x:c r="J13" s="8" t="n">
        <x:f>SUMIFS('PO detail'!$W$2:$W$672,'PO detail'!$A$2:$A$672,B13,'PO detail'!$B$2:$B$672,C13,'PO detail'!$G$2:$G$672,"&gt;="&amp;D13,'PO detail'!$G$2:$G$672,"&lt;"&amp;A13)</x:f>
        <x:v>0</x:v>
      </x:c>
      <x:c r="K13" s="8" t="n">
        <x:f>'Current inventory'!E13*Summary!$D$6*(A13-D13)/30.4375</x:f>
        <x:v>3192.6078028747434</x:v>
      </x:c>
      <x:c r="L13" s="8" t="n">
        <x:f>MAX(0,E13+H13-K13)</x:f>
        <x:v>0</x:v>
      </x:c>
      <x:c r="M13" s="8" t="n">
        <x:f>MAX(0,F13+I13-MAX(0,K13-E13-H13))</x:f>
        <x:v>0</x:v>
      </x:c>
      <x:c r="N13" s="8" t="n">
        <x:f>MAX(0,G13+J13-K13)</x:f>
        <x:v>7307.392197125257</x:v>
      </x:c>
      <x:c r="O13" s="8" t="n">
        <x:f>SUM(L13:N13)</x:f>
        <x:v>7307.392197125257</x:v>
      </x:c>
      <x:c r="P13" s="14" t="n">
        <x:f>'Current inventory'!V13</x:f>
        <x:v>0.1957</x:v>
      </x:c>
      <x:c r="Q13" s="14" t="str">
        <x:f>'Current inventory'!W13</x:f>
        <x:v>n.a.</x:v>
      </x:c>
      <x:c r="R13" s="10" t="n">
        <x:f>L13*P13</x:f>
        <x:v>0</x:v>
      </x:c>
      <x:c r="S13" s="10" t="n">
        <x:f>M13*P13</x:f>
        <x:v>0</x:v>
      </x:c>
      <x:c r="T13" s="10" t="n">
        <x:f>N13*P13</x:f>
        <x:v>1430.0566529774128</x:v>
      </x:c>
      <x:c r="U13" s="10" t="n">
        <x:f>O13*P13</x:f>
        <x:v>1430.0566529774128</x:v>
      </x:c>
      <x:c r="V13" s="10" t="str">
        <x:f>IF(ISNUMBER(Q13),O13*(Q13-P13),"n.a.")</x:f>
        <x:v>n.a.</x:v>
      </x:c>
      <x:c r="W13" s="10" t="n">
        <x:f>IF(ISNUMBER(Q13),U13,0)</x:f>
        <x:v>0</x:v>
      </x:c>
      <x:c r="X13" s="8" t="n">
        <x:f>MAX(0,K13-SUM(E13:J13))</x:f>
        <x:v>0</x:v>
      </x:c>
      <x:c r="Y13" s="1" t="str">
        <x:f>IF(AND(O13&gt;0,NOT(ISNUMBER(Q13))),"No proposed replacement standard",IF(X13&gt;0,"Demand exceeds available stock",""))</x:f>
        <x:v>No proposed replacement standard</x:v>
      </x:c>
      <x:c r="Z13" s="1" t="n">
        <x:f>IF(ISNUMBER(Q13),1,0)</x:f>
        <x:v>0</x:v>
      </x:c>
    </x:row>
    <x:row r="14" ht="21" customHeight="1">
      <x:c r="A14" s="17" t="n">
        <x:f>Summary!B15</x:f>
        <x:v>46327</x:v>
      </x:c>
      <x:c r="B14" s="1" t="str">
        <x:f>'Current inventory'!A14</x:f>
        <x:v>10</x:v>
      </x:c>
      <x:c r="C14" s="1" t="str">
        <x:f>'Current inventory'!B14</x:f>
        <x:v>800BBLKCSC</x:v>
      </x:c>
      <x:c r="D14" s="7" t="n">
        <x:f>Summary!$D$5</x:f>
        <x:v>46304</x:v>
      </x:c>
      <x:c r="E14" s="8" t="n">
        <x:f>'Current inventory'!M14</x:f>
        <x:v>0</x:v>
      </x:c>
      <x:c r="F14" s="8" t="n">
        <x:f>'Current inventory'!N14</x:f>
        <x:v>0</x:v>
      </x:c>
      <x:c r="G14" s="8" t="n">
        <x:f>'Current inventory'!O14</x:f>
        <x:v>400</x:v>
      </x:c>
      <x:c r="H14" s="8" t="n">
        <x:f>SUMIFS('PO detail'!$U$2:$U$672,'PO detail'!$A$2:$A$672,B14,'PO detail'!$B$2:$B$672,C14,'PO detail'!$G$2:$G$672,"&gt;="&amp;D14,'PO detail'!$G$2:$G$672,"&lt;"&amp;A14)</x:f>
        <x:v>0</x:v>
      </x:c>
      <x:c r="I14" s="8" t="n">
        <x:f>SUMIFS('PO detail'!$V$2:$V$672,'PO detail'!$A$2:$A$672,B14,'PO detail'!$B$2:$B$672,C14,'PO detail'!$G$2:$G$672,"&gt;="&amp;D14,'PO detail'!$G$2:$G$672,"&lt;"&amp;A14)</x:f>
        <x:v>0</x:v>
      </x:c>
      <x:c r="J14" s="8" t="n">
        <x:f>SUMIFS('PO detail'!$W$2:$W$672,'PO detail'!$A$2:$A$672,B14,'PO detail'!$B$2:$B$672,C14,'PO detail'!$G$2:$G$672,"&gt;="&amp;D14,'PO detail'!$G$2:$G$672,"&lt;"&amp;A14)</x:f>
        <x:v>0</x:v>
      </x:c>
      <x:c r="K14" s="8" t="n">
        <x:f>'Current inventory'!E14*Summary!$D$6*(A14-D14)/30.4375</x:f>
        <x:v>2877.76</x:v>
      </x:c>
      <x:c r="L14" s="8" t="n">
        <x:f>MAX(0,E14+H14-K14)</x:f>
        <x:v>0</x:v>
      </x:c>
      <x:c r="M14" s="8" t="n">
        <x:f>MAX(0,F14+I14-MAX(0,K14-E14-H14))</x:f>
        <x:v>0</x:v>
      </x:c>
      <x:c r="N14" s="8" t="n">
        <x:f>MAX(0,G14+J14-K14)</x:f>
        <x:v>0</x:v>
      </x:c>
      <x:c r="O14" s="8" t="n">
        <x:f>SUM(L14:N14)</x:f>
        <x:v>0</x:v>
      </x:c>
      <x:c r="P14" s="14" t="n">
        <x:f>'Current inventory'!V14</x:f>
        <x:v>0.1957</x:v>
      </x:c>
      <x:c r="Q14" s="14" t="str">
        <x:f>'Current inventory'!W14</x:f>
        <x:v>n.a.</x:v>
      </x:c>
      <x:c r="R14" s="10" t="n">
        <x:f>L14*P14</x:f>
        <x:v>0</x:v>
      </x:c>
      <x:c r="S14" s="10" t="n">
        <x:f>M14*P14</x:f>
        <x:v>0</x:v>
      </x:c>
      <x:c r="T14" s="10" t="n">
        <x:f>N14*P14</x:f>
        <x:v>0</x:v>
      </x:c>
      <x:c r="U14" s="10" t="n">
        <x:f>O14*P14</x:f>
        <x:v>0</x:v>
      </x:c>
      <x:c r="V14" s="10" t="str">
        <x:f>IF(ISNUMBER(Q14),O14*(Q14-P14),"n.a.")</x:f>
        <x:v>n.a.</x:v>
      </x:c>
      <x:c r="W14" s="10" t="n">
        <x:f>IF(ISNUMBER(Q14),U14,0)</x:f>
        <x:v>0</x:v>
      </x:c>
      <x:c r="X14" s="8" t="n">
        <x:f>MAX(0,K14-SUM(E14:J14))</x:f>
        <x:v>2477.76</x:v>
      </x:c>
      <x:c r="Y14" s="1" t="str">
        <x:f>IF(AND(O14&gt;0,NOT(ISNUMBER(Q14))),"No proposed replacement standard",IF(X14&gt;0,"Demand exceeds available stock",""))</x:f>
        <x:v>Demand exceeds available stock</x:v>
      </x:c>
      <x:c r="Z14" s="1" t="n">
        <x:f>IF(ISNUMBER(Q14),1,0)</x:f>
        <x:v>0</x:v>
      </x:c>
    </x:row>
    <x:row r="15" ht="21" customHeight="1">
      <x:c r="A15" s="17" t="n">
        <x:f>Summary!B15</x:f>
        <x:v>46327</x:v>
      </x:c>
      <x:c r="B15" s="1" t="str">
        <x:f>'Current inventory'!A15</x:f>
        <x:v>10</x:v>
      </x:c>
      <x:c r="C15" s="1" t="str">
        <x:f>'Current inventory'!B15</x:f>
        <x:v>800BNAVBRC</x:v>
      </x:c>
      <x:c r="D15" s="7" t="n">
        <x:f>Summary!$D$5</x:f>
        <x:v>46304</x:v>
      </x:c>
      <x:c r="E15" s="8" t="n">
        <x:f>'Current inventory'!M15</x:f>
        <x:v>0</x:v>
      </x:c>
      <x:c r="F15" s="8" t="n">
        <x:f>'Current inventory'!N15</x:f>
        <x:v>0</x:v>
      </x:c>
      <x:c r="G15" s="8" t="n">
        <x:f>'Current inventory'!O15</x:f>
        <x:v>100</x:v>
      </x:c>
      <x:c r="H15" s="8" t="n">
        <x:f>SUMIFS('PO detail'!$U$2:$U$672,'PO detail'!$A$2:$A$672,B15,'PO detail'!$B$2:$B$672,C15,'PO detail'!$G$2:$G$672,"&gt;="&amp;D15,'PO detail'!$G$2:$G$672,"&lt;"&amp;A15)</x:f>
        <x:v>0</x:v>
      </x:c>
      <x:c r="I15" s="8" t="n">
        <x:f>SUMIFS('PO detail'!$V$2:$V$672,'PO detail'!$A$2:$A$672,B15,'PO detail'!$B$2:$B$672,C15,'PO detail'!$G$2:$G$672,"&gt;="&amp;D15,'PO detail'!$G$2:$G$672,"&lt;"&amp;A15)</x:f>
        <x:v>0</x:v>
      </x:c>
      <x:c r="J15" s="8" t="n">
        <x:f>SUMIFS('PO detail'!$W$2:$W$672,'PO detail'!$A$2:$A$672,B15,'PO detail'!$B$2:$B$672,C15,'PO detail'!$G$2:$G$672,"&gt;="&amp;D15,'PO detail'!$G$2:$G$672,"&lt;"&amp;A15)</x:f>
        <x:v>0</x:v>
      </x:c>
      <x:c r="K15" s="8" t="n">
        <x:f>'Current inventory'!E15*Summary!$D$6*(A15-D15)/30.4375</x:f>
        <x:v>2720.3285420944558</x:v>
      </x:c>
      <x:c r="L15" s="8" t="n">
        <x:f>MAX(0,E15+H15-K15)</x:f>
        <x:v>0</x:v>
      </x:c>
      <x:c r="M15" s="8" t="n">
        <x:f>MAX(0,F15+I15-MAX(0,K15-E15-H15))</x:f>
        <x:v>0</x:v>
      </x:c>
      <x:c r="N15" s="8" t="n">
        <x:f>MAX(0,G15+J15-K15)</x:f>
        <x:v>0</x:v>
      </x:c>
      <x:c r="O15" s="8" t="n">
        <x:f>SUM(L15:N15)</x:f>
        <x:v>0</x:v>
      </x:c>
      <x:c r="P15" s="14" t="n">
        <x:f>'Current inventory'!V15</x:f>
        <x:v>0.17370000000000002</x:v>
      </x:c>
      <x:c r="Q15" s="14" t="str">
        <x:f>'Current inventory'!W15</x:f>
        <x:v>n.a.</x:v>
      </x:c>
      <x:c r="R15" s="10" t="n">
        <x:f>L15*P15</x:f>
        <x:v>0</x:v>
      </x:c>
      <x:c r="S15" s="10" t="n">
        <x:f>M15*P15</x:f>
        <x:v>0</x:v>
      </x:c>
      <x:c r="T15" s="10" t="n">
        <x:f>N15*P15</x:f>
        <x:v>0</x:v>
      </x:c>
      <x:c r="U15" s="10" t="n">
        <x:f>O15*P15</x:f>
        <x:v>0</x:v>
      </x:c>
      <x:c r="V15" s="10" t="str">
        <x:f>IF(ISNUMBER(Q15),O15*(Q15-P15),"n.a.")</x:f>
        <x:v>n.a.</x:v>
      </x:c>
      <x:c r="W15" s="10" t="n">
        <x:f>IF(ISNUMBER(Q15),U15,0)</x:f>
        <x:v>0</x:v>
      </x:c>
      <x:c r="X15" s="8" t="n">
        <x:f>MAX(0,K15-SUM(E15:J15))</x:f>
        <x:v>2620.3285420944558</x:v>
      </x:c>
      <x:c r="Y15" s="1" t="str">
        <x:f>IF(AND(O15&gt;0,NOT(ISNUMBER(Q15))),"No proposed replacement standard",IF(X15&gt;0,"Demand exceeds available stock",""))</x:f>
        <x:v>Demand exceeds available stock</x:v>
      </x:c>
      <x:c r="Z15" s="1" t="n">
        <x:f>IF(ISNUMBER(Q15),1,0)</x:f>
        <x:v>0</x:v>
      </x:c>
    </x:row>
    <x:row r="16" ht="21" customHeight="1">
      <x:c r="A16" s="17" t="n">
        <x:f>Summary!B15</x:f>
        <x:v>46327</x:v>
      </x:c>
      <x:c r="B16" s="1" t="str">
        <x:f>'Current inventory'!A16</x:f>
        <x:v>10</x:v>
      </x:c>
      <x:c r="C16" s="1" t="str">
        <x:f>'Current inventory'!B16</x:f>
        <x:v>800BMARASC</x:v>
      </x:c>
      <x:c r="D16" s="7" t="n">
        <x:f>Summary!$D$5</x:f>
        <x:v>46304</x:v>
      </x:c>
      <x:c r="E16" s="8" t="n">
        <x:f>'Current inventory'!M16</x:f>
        <x:v>32200</x:v>
      </x:c>
      <x:c r="F16" s="8" t="n">
        <x:f>'Current inventory'!N16</x:f>
        <x:v>0</x:v>
      </x:c>
      <x:c r="G16" s="8" t="n">
        <x:f>'Current inventory'!O16</x:f>
        <x:v>0</x:v>
      </x:c>
      <x:c r="H16" s="8" t="n">
        <x:f>SUMIFS('PO detail'!$U$2:$U$672,'PO detail'!$A$2:$A$672,B16,'PO detail'!$B$2:$B$672,C16,'PO detail'!$G$2:$G$672,"&gt;="&amp;D16,'PO detail'!$G$2:$G$672,"&lt;"&amp;A16)</x:f>
        <x:v>0</x:v>
      </x:c>
      <x:c r="I16" s="8" t="n">
        <x:f>SUMIFS('PO detail'!$V$2:$V$672,'PO detail'!$A$2:$A$672,B16,'PO detail'!$B$2:$B$672,C16,'PO detail'!$G$2:$G$672,"&gt;="&amp;D16,'PO detail'!$G$2:$G$672,"&lt;"&amp;A16)</x:f>
        <x:v>0</x:v>
      </x:c>
      <x:c r="J16" s="8" t="n">
        <x:f>SUMIFS('PO detail'!$W$2:$W$672,'PO detail'!$A$2:$A$672,B16,'PO detail'!$B$2:$B$672,C16,'PO detail'!$G$2:$G$672,"&gt;="&amp;D16,'PO detail'!$G$2:$G$672,"&lt;"&amp;A16)</x:f>
        <x:v>0</x:v>
      </x:c>
      <x:c r="K16" s="8" t="n">
        <x:f>'Current inventory'!E16*Summary!$D$6*(A16-D16)/30.4375</x:f>
        <x:v>2682.5462012320327</x:v>
      </x:c>
      <x:c r="L16" s="8" t="n">
        <x:f>MAX(0,E16+H16-K16)</x:f>
        <x:v>29517.45379876797</x:v>
      </x:c>
      <x:c r="M16" s="8" t="n">
        <x:f>MAX(0,F16+I16-MAX(0,K16-E16-H16))</x:f>
        <x:v>0</x:v>
      </x:c>
      <x:c r="N16" s="8" t="n">
        <x:f>MAX(0,G16+J16-K16)</x:f>
        <x:v>0</x:v>
      </x:c>
      <x:c r="O16" s="8" t="n">
        <x:f>SUM(L16:N16)</x:f>
        <x:v>29517.45379876797</x:v>
      </x:c>
      <x:c r="P16" s="14" t="n">
        <x:f>'Current inventory'!V16</x:f>
        <x:v>0.1598</x:v>
      </x:c>
      <x:c r="Q16" s="14" t="n">
        <x:f>'Current inventory'!W16</x:f>
        <x:v>0.16695000000000002</x:v>
      </x:c>
      <x:c r="R16" s="10" t="n">
        <x:f>L16*P16</x:f>
        <x:v>4716.889117043122</x:v>
      </x:c>
      <x:c r="S16" s="10" t="n">
        <x:f>M16*P16</x:f>
        <x:v>0</x:v>
      </x:c>
      <x:c r="T16" s="10" t="n">
        <x:f>N16*P16</x:f>
        <x:v>0</x:v>
      </x:c>
      <x:c r="U16" s="10" t="n">
        <x:f>O16*P16</x:f>
        <x:v>4716.889117043122</x:v>
      </x:c>
      <x:c r="V16" s="10" t="n">
        <x:f>IF(ISNUMBER(Q16),O16*(Q16-P16),"n.a.")</x:f>
        <x:v>211.0497946611915</x:v>
      </x:c>
      <x:c r="W16" s="10" t="n">
        <x:f>IF(ISNUMBER(Q16),U16,0)</x:f>
        <x:v>4716.889117043122</x:v>
      </x:c>
      <x:c r="X16" s="8" t="n">
        <x:f>MAX(0,K16-SUM(E16:J16))</x:f>
        <x:v>0</x:v>
      </x:c>
      <x:c r="Y16" s="1" t="str">
        <x:f>IF(AND(O16&gt;0,NOT(ISNUMBER(Q16))),"No proposed replacement standard",IF(X16&gt;0,"Demand exceeds available stock",""))</x:f>
      </x:c>
      <x:c r="Z16" s="1" t="n">
        <x:f>IF(ISNUMBER(Q16),1,0)</x:f>
        <x:v>1</x:v>
      </x:c>
    </x:row>
    <x:row r="17" ht="21" customHeight="1">
      <x:c r="A17" s="17" t="n">
        <x:f>Summary!B15</x:f>
        <x:v>46327</x:v>
      </x:c>
      <x:c r="B17" s="1" t="str">
        <x:f>'Current inventory'!A17</x:f>
        <x:v>60</x:v>
      </x:c>
      <x:c r="C17" s="1" t="str">
        <x:f>'Current inventory'!B17</x:f>
        <x:v>800BNAVISC</x:v>
      </x:c>
      <x:c r="D17" s="7" t="n">
        <x:f>Summary!$D$5</x:f>
        <x:v>46304</x:v>
      </x:c>
      <x:c r="E17" s="8" t="n">
        <x:f>'Current inventory'!M17</x:f>
        <x:v>0</x:v>
      </x:c>
      <x:c r="F17" s="8" t="n">
        <x:f>'Current inventory'!N17</x:f>
        <x:v>0</x:v>
      </x:c>
      <x:c r="G17" s="8" t="n">
        <x:f>'Current inventory'!O17</x:f>
        <x:v>6300</x:v>
      </x:c>
      <x:c r="H17" s="8" t="n">
        <x:f>SUMIFS('PO detail'!$U$2:$U$672,'PO detail'!$A$2:$A$672,B17,'PO detail'!$B$2:$B$672,C17,'PO detail'!$G$2:$G$672,"&gt;="&amp;D17,'PO detail'!$G$2:$G$672,"&lt;"&amp;A17)</x:f>
        <x:v>0</x:v>
      </x:c>
      <x:c r="I17" s="8" t="n">
        <x:f>SUMIFS('PO detail'!$V$2:$V$672,'PO detail'!$A$2:$A$672,B17,'PO detail'!$B$2:$B$672,C17,'PO detail'!$G$2:$G$672,"&gt;="&amp;D17,'PO detail'!$G$2:$G$672,"&lt;"&amp;A17)</x:f>
        <x:v>0</x:v>
      </x:c>
      <x:c r="J17" s="8" t="n">
        <x:f>SUMIFS('PO detail'!$W$2:$W$672,'PO detail'!$A$2:$A$672,B17,'PO detail'!$B$2:$B$672,C17,'PO detail'!$G$2:$G$672,"&gt;="&amp;D17,'PO detail'!$G$2:$G$672,"&lt;"&amp;A17)</x:f>
        <x:v>0</x:v>
      </x:c>
      <x:c r="K17" s="8" t="n">
        <x:f>'Current inventory'!E17*Summary!$D$6*(A17-D17)/30.4375</x:f>
        <x:v>2355.101765913758</x:v>
      </x:c>
      <x:c r="L17" s="8" t="n">
        <x:f>MAX(0,E17+H17-K17)</x:f>
        <x:v>0</x:v>
      </x:c>
      <x:c r="M17" s="8" t="n">
        <x:f>MAX(0,F17+I17-MAX(0,K17-E17-H17))</x:f>
        <x:v>0</x:v>
      </x:c>
      <x:c r="N17" s="8" t="n">
        <x:f>MAX(0,G17+J17-K17)</x:f>
        <x:v>3944.898234086242</x:v>
      </x:c>
      <x:c r="O17" s="8" t="n">
        <x:f>SUM(L17:N17)</x:f>
        <x:v>3944.898234086242</x:v>
      </x:c>
      <x:c r="P17" s="14" t="n">
        <x:f>'Current inventory'!V17</x:f>
        <x:v>0.16870000000000002</x:v>
      </x:c>
      <x:c r="Q17" s="14" t="str">
        <x:f>'Current inventory'!W17</x:f>
        <x:v>n.a.</x:v>
      </x:c>
      <x:c r="R17" s="10" t="n">
        <x:f>L17*P17</x:f>
        <x:v>0</x:v>
      </x:c>
      <x:c r="S17" s="10" t="n">
        <x:f>M17*P17</x:f>
        <x:v>0</x:v>
      </x:c>
      <x:c r="T17" s="10" t="n">
        <x:f>N17*P17</x:f>
        <x:v>665.5043320903491</x:v>
      </x:c>
      <x:c r="U17" s="10" t="n">
        <x:f>O17*P17</x:f>
        <x:v>665.5043320903491</x:v>
      </x:c>
      <x:c r="V17" s="10" t="str">
        <x:f>IF(ISNUMBER(Q17),O17*(Q17-P17),"n.a.")</x:f>
        <x:v>n.a.</x:v>
      </x:c>
      <x:c r="W17" s="10" t="n">
        <x:f>IF(ISNUMBER(Q17),U17,0)</x:f>
        <x:v>0</x:v>
      </x:c>
      <x:c r="X17" s="8" t="n">
        <x:f>MAX(0,K17-SUM(E17:J17))</x:f>
        <x:v>0</x:v>
      </x:c>
      <x:c r="Y17" s="1" t="str">
        <x:f>IF(AND(O17&gt;0,NOT(ISNUMBER(Q17))),"No proposed replacement standard",IF(X17&gt;0,"Demand exceeds available stock",""))</x:f>
        <x:v>No proposed replacement standard</x:v>
      </x:c>
      <x:c r="Z17" s="1" t="n">
        <x:f>IF(ISNUMBER(Q17),1,0)</x:f>
        <x:v>0</x:v>
      </x:c>
    </x:row>
    <x:row r="18" ht="21" customHeight="1">
      <x:c r="A18" s="17" t="n">
        <x:f>Summary!B15</x:f>
        <x:v>46327</x:v>
      </x:c>
      <x:c r="B18" s="1" t="str">
        <x:f>'Current inventory'!A18</x:f>
        <x:v>10</x:v>
      </x:c>
      <x:c r="C18" s="1" t="str">
        <x:f>'Current inventory'!B18</x:f>
        <x:v>800BNAVISC</x:v>
      </x:c>
      <x:c r="D18" s="7" t="n">
        <x:f>Summary!$D$5</x:f>
        <x:v>46304</x:v>
      </x:c>
      <x:c r="E18" s="8" t="n">
        <x:f>'Current inventory'!M18</x:f>
        <x:v>0</x:v>
      </x:c>
      <x:c r="F18" s="8" t="n">
        <x:f>'Current inventory'!N18</x:f>
        <x:v>0</x:v>
      </x:c>
      <x:c r="G18" s="8" t="n">
        <x:f>'Current inventory'!O18</x:f>
        <x:v>300</x:v>
      </x:c>
      <x:c r="H18" s="8" t="n">
        <x:f>SUMIFS('PO detail'!$U$2:$U$672,'PO detail'!$A$2:$A$672,B18,'PO detail'!$B$2:$B$672,C18,'PO detail'!$G$2:$G$672,"&gt;="&amp;D18,'PO detail'!$G$2:$G$672,"&lt;"&amp;A18)</x:f>
        <x:v>0</x:v>
      </x:c>
      <x:c r="I18" s="8" t="n">
        <x:f>SUMIFS('PO detail'!$V$2:$V$672,'PO detail'!$A$2:$A$672,B18,'PO detail'!$B$2:$B$672,C18,'PO detail'!$G$2:$G$672,"&gt;="&amp;D18,'PO detail'!$G$2:$G$672,"&lt;"&amp;A18)</x:f>
        <x:v>0</x:v>
      </x:c>
      <x:c r="J18" s="8" t="n">
        <x:f>SUMIFS('PO detail'!$W$2:$W$672,'PO detail'!$A$2:$A$672,B18,'PO detail'!$B$2:$B$672,C18,'PO detail'!$G$2:$G$672,"&gt;="&amp;D18,'PO detail'!$G$2:$G$672,"&lt;"&amp;A18)</x:f>
        <x:v>0</x:v>
      </x:c>
      <x:c r="K18" s="8" t="n">
        <x:f>'Current inventory'!E18*Summary!$D$6*(A18-D18)/30.4375</x:f>
        <x:v>2317.3194250513347</x:v>
      </x:c>
      <x:c r="L18" s="8" t="n">
        <x:f>MAX(0,E18+H18-K18)</x:f>
        <x:v>0</x:v>
      </x:c>
      <x:c r="M18" s="8" t="n">
        <x:f>MAX(0,F18+I18-MAX(0,K18-E18-H18))</x:f>
        <x:v>0</x:v>
      </x:c>
      <x:c r="N18" s="8" t="n">
        <x:f>MAX(0,G18+J18-K18)</x:f>
        <x:v>0</x:v>
      </x:c>
      <x:c r="O18" s="8" t="n">
        <x:f>SUM(L18:N18)</x:f>
        <x:v>0</x:v>
      </x:c>
      <x:c r="P18" s="14" t="n">
        <x:f>'Current inventory'!V18</x:f>
        <x:v>0.16870000000000002</x:v>
      </x:c>
      <x:c r="Q18" s="14" t="str">
        <x:f>'Current inventory'!W18</x:f>
        <x:v>n.a.</x:v>
      </x:c>
      <x:c r="R18" s="10" t="n">
        <x:f>L18*P18</x:f>
        <x:v>0</x:v>
      </x:c>
      <x:c r="S18" s="10" t="n">
        <x:f>M18*P18</x:f>
        <x:v>0</x:v>
      </x:c>
      <x:c r="T18" s="10" t="n">
        <x:f>N18*P18</x:f>
        <x:v>0</x:v>
      </x:c>
      <x:c r="U18" s="10" t="n">
        <x:f>O18*P18</x:f>
        <x:v>0</x:v>
      </x:c>
      <x:c r="V18" s="10" t="str">
        <x:f>IF(ISNUMBER(Q18),O18*(Q18-P18),"n.a.")</x:f>
        <x:v>n.a.</x:v>
      </x:c>
      <x:c r="W18" s="10" t="n">
        <x:f>IF(ISNUMBER(Q18),U18,0)</x:f>
        <x:v>0</x:v>
      </x:c>
      <x:c r="X18" s="8" t="n">
        <x:f>MAX(0,K18-SUM(E18:J18))</x:f>
        <x:v>2017.3194250513347</x:v>
      </x:c>
      <x:c r="Y18" s="1" t="str">
        <x:f>IF(AND(O18&gt;0,NOT(ISNUMBER(Q18))),"No proposed replacement standard",IF(X18&gt;0,"Demand exceeds available stock",""))</x:f>
        <x:v>Demand exceeds available stock</x:v>
      </x:c>
      <x:c r="Z18" s="1" t="n">
        <x:f>IF(ISNUMBER(Q18),1,0)</x:f>
        <x:v>0</x:v>
      </x:c>
    </x:row>
    <x:row r="19" ht="21" customHeight="1">
      <x:c r="A19" s="17" t="n">
        <x:f>Summary!B15</x:f>
        <x:v>46327</x:v>
      </x:c>
      <x:c r="B19" s="1" t="str">
        <x:f>'Current inventory'!A19</x:f>
        <x:v>60</x:v>
      </x:c>
      <x:c r="C19" s="1" t="str">
        <x:f>'Current inventory'!B19</x:f>
        <x:v>800BMARASC</x:v>
      </x:c>
      <x:c r="D19" s="7" t="n">
        <x:f>Summary!$D$5</x:f>
        <x:v>46304</x:v>
      </x:c>
      <x:c r="E19" s="8" t="n">
        <x:f>'Current inventory'!M19</x:f>
        <x:v>5700</x:v>
      </x:c>
      <x:c r="F19" s="8" t="n">
        <x:f>'Current inventory'!N19</x:f>
        <x:v>0</x:v>
      </x:c>
      <x:c r="G19" s="8" t="n">
        <x:f>'Current inventory'!O19</x:f>
        <x:v>0</x:v>
      </x:c>
      <x:c r="H19" s="8" t="n">
        <x:f>SUMIFS('PO detail'!$U$2:$U$672,'PO detail'!$A$2:$A$672,B19,'PO detail'!$B$2:$B$672,C19,'PO detail'!$G$2:$G$672,"&gt;="&amp;D19,'PO detail'!$G$2:$G$672,"&lt;"&amp;A19)</x:f>
        <x:v>0</x:v>
      </x:c>
      <x:c r="I19" s="8" t="n">
        <x:f>SUMIFS('PO detail'!$V$2:$V$672,'PO detail'!$A$2:$A$672,B19,'PO detail'!$B$2:$B$672,C19,'PO detail'!$G$2:$G$672,"&gt;="&amp;D19,'PO detail'!$G$2:$G$672,"&lt;"&amp;A19)</x:f>
        <x:v>0</x:v>
      </x:c>
      <x:c r="J19" s="8" t="n">
        <x:f>SUMIFS('PO detail'!$W$2:$W$672,'PO detail'!$A$2:$A$672,B19,'PO detail'!$B$2:$B$672,C19,'PO detail'!$G$2:$G$672,"&gt;="&amp;D19,'PO detail'!$G$2:$G$672,"&lt;"&amp;A19)</x:f>
        <x:v>0</x:v>
      </x:c>
      <x:c r="K19" s="8" t="n">
        <x:f>'Current inventory'!E19*Summary!$D$6*(A19-D19)/30.4375</x:f>
        <x:v>2159.8879671457903</x:v>
      </x:c>
      <x:c r="L19" s="8" t="n">
        <x:f>MAX(0,E19+H19-K19)</x:f>
        <x:v>3540.1120328542097</x:v>
      </x:c>
      <x:c r="M19" s="8" t="n">
        <x:f>MAX(0,F19+I19-MAX(0,K19-E19-H19))</x:f>
        <x:v>0</x:v>
      </x:c>
      <x:c r="N19" s="8" t="n">
        <x:f>MAX(0,G19+J19-K19)</x:f>
        <x:v>0</x:v>
      </x:c>
      <x:c r="O19" s="8" t="n">
        <x:f>SUM(L19:N19)</x:f>
        <x:v>3540.1120328542097</x:v>
      </x:c>
      <x:c r="P19" s="14" t="n">
        <x:f>'Current inventory'!V19</x:f>
        <x:v>0.1598</x:v>
      </x:c>
      <x:c r="Q19" s="14" t="n">
        <x:f>'Current inventory'!W19</x:f>
        <x:v>0.16695000000000002</x:v>
      </x:c>
      <x:c r="R19" s="10" t="n">
        <x:f>L19*P19</x:f>
        <x:v>565.7099028501027</x:v>
      </x:c>
      <x:c r="S19" s="10" t="n">
        <x:f>M19*P19</x:f>
        <x:v>0</x:v>
      </x:c>
      <x:c r="T19" s="10" t="n">
        <x:f>N19*P19</x:f>
        <x:v>0</x:v>
      </x:c>
      <x:c r="U19" s="10" t="n">
        <x:f>O19*P19</x:f>
        <x:v>565.7099028501027</x:v>
      </x:c>
      <x:c r="V19" s="10" t="n">
        <x:f>IF(ISNUMBER(Q19),O19*(Q19-P19),"n.a.")</x:f>
        <x:v>25.31180103490766</x:v>
      </x:c>
      <x:c r="W19" s="10" t="n">
        <x:f>IF(ISNUMBER(Q19),U19,0)</x:f>
        <x:v>565.7099028501027</x:v>
      </x:c>
      <x:c r="X19" s="8" t="n">
        <x:f>MAX(0,K19-SUM(E19:J19))</x:f>
        <x:v>0</x:v>
      </x:c>
      <x:c r="Y19" s="1" t="str">
        <x:f>IF(AND(O19&gt;0,NOT(ISNUMBER(Q19))),"No proposed replacement standard",IF(X19&gt;0,"Demand exceeds available stock",""))</x:f>
      </x:c>
      <x:c r="Z19" s="1" t="n">
        <x:f>IF(ISNUMBER(Q19),1,0)</x:f>
        <x:v>1</x:v>
      </x:c>
    </x:row>
    <x:row r="20" ht="21" customHeight="1">
      <x:c r="A20" s="17" t="n">
        <x:f>Summary!B15</x:f>
        <x:v>46327</x:v>
      </x:c>
      <x:c r="B20" s="1" t="str">
        <x:f>'Current inventory'!A20</x:f>
        <x:v>30</x:v>
      </x:c>
      <x:c r="C20" s="1" t="str">
        <x:f>'Current inventory'!B20</x:f>
        <x:v>800BBLKISC</x:v>
      </x:c>
      <x:c r="D20" s="7" t="n">
        <x:f>Summary!$D$5</x:f>
        <x:v>46304</x:v>
      </x:c>
      <x:c r="E20" s="8" t="n">
        <x:f>'Current inventory'!M20</x:f>
        <x:v>41400</x:v>
      </x:c>
      <x:c r="F20" s="8" t="n">
        <x:f>'Current inventory'!N20</x:f>
        <x:v>0</x:v>
      </x:c>
      <x:c r="G20" s="8" t="n">
        <x:f>'Current inventory'!O20</x:f>
        <x:v>0</x:v>
      </x:c>
      <x:c r="H20" s="8" t="n">
        <x:f>SUMIFS('PO detail'!$U$2:$U$672,'PO detail'!$A$2:$A$672,B20,'PO detail'!$B$2:$B$672,C20,'PO detail'!$G$2:$G$672,"&gt;="&amp;D20,'PO detail'!$G$2:$G$672,"&lt;"&amp;A20)</x:f>
        <x:v>0</x:v>
      </x:c>
      <x:c r="I20" s="8" t="n">
        <x:f>SUMIFS('PO detail'!$V$2:$V$672,'PO detail'!$A$2:$A$672,B20,'PO detail'!$B$2:$B$672,C20,'PO detail'!$G$2:$G$672,"&gt;="&amp;D20,'PO detail'!$G$2:$G$672,"&lt;"&amp;A20)</x:f>
        <x:v>0</x:v>
      </x:c>
      <x:c r="J20" s="8" t="n">
        <x:f>SUMIFS('PO detail'!$W$2:$W$672,'PO detail'!$A$2:$A$672,B20,'PO detail'!$B$2:$B$672,C20,'PO detail'!$G$2:$G$672,"&gt;="&amp;D20,'PO detail'!$G$2:$G$672,"&lt;"&amp;A20)</x:f>
        <x:v>0</x:v>
      </x:c>
      <x:c r="K20" s="8" t="n">
        <x:f>'Current inventory'!E20*Summary!$D$6*(A20-D20)/30.4375</x:f>
        <x:v>1983.5728952772074</x:v>
      </x:c>
      <x:c r="L20" s="8" t="n">
        <x:f>MAX(0,E20+H20-K20)</x:f>
        <x:v>39416.427104722796</x:v>
      </x:c>
      <x:c r="M20" s="8" t="n">
        <x:f>MAX(0,F20+I20-MAX(0,K20-E20-H20))</x:f>
        <x:v>0</x:v>
      </x:c>
      <x:c r="N20" s="8" t="n">
        <x:f>MAX(0,G20+J20-K20)</x:f>
        <x:v>0</x:v>
      </x:c>
      <x:c r="O20" s="8" t="n">
        <x:f>SUM(L20:N20)</x:f>
        <x:v>39416.427104722796</x:v>
      </x:c>
      <x:c r="P20" s="14" t="n">
        <x:f>'Current inventory'!V20</x:f>
        <x:v>0.1612</x:v>
      </x:c>
      <x:c r="Q20" s="14" t="n">
        <x:f>'Current inventory'!W20</x:f>
        <x:v>0.16842</x:v>
      </x:c>
      <x:c r="R20" s="10" t="n">
        <x:f>L20*P20</x:f>
        <x:v>6353.928049281315</x:v>
      </x:c>
      <x:c r="S20" s="10" t="n">
        <x:f>M20*P20</x:f>
        <x:v>0</x:v>
      </x:c>
      <x:c r="T20" s="10" t="n">
        <x:f>N20*P20</x:f>
        <x:v>0</x:v>
      </x:c>
      <x:c r="U20" s="10" t="n">
        <x:f>O20*P20</x:f>
        <x:v>6353.928049281315</x:v>
      </x:c>
      <x:c r="V20" s="10" t="n">
        <x:f>IF(ISNUMBER(Q20),O20*(Q20-P20),"n.a.")</x:f>
        <x:v>284.58660369609765</x:v>
      </x:c>
      <x:c r="W20" s="10" t="n">
        <x:f>IF(ISNUMBER(Q20),U20,0)</x:f>
        <x:v>6353.928049281315</x:v>
      </x:c>
      <x:c r="X20" s="8" t="n">
        <x:f>MAX(0,K20-SUM(E20:J20))</x:f>
        <x:v>0</x:v>
      </x:c>
      <x:c r="Y20" s="1" t="str">
        <x:f>IF(AND(O20&gt;0,NOT(ISNUMBER(Q20))),"No proposed replacement standard",IF(X20&gt;0,"Demand exceeds available stock",""))</x:f>
      </x:c>
      <x:c r="Z20" s="1" t="n">
        <x:f>IF(ISNUMBER(Q20),1,0)</x:f>
        <x:v>1</x:v>
      </x:c>
    </x:row>
    <x:row r="21" ht="21" customHeight="1">
      <x:c r="A21" s="17" t="n">
        <x:f>Summary!B15</x:f>
        <x:v>46327</x:v>
      </x:c>
      <x:c r="B21" s="1" t="str">
        <x:f>'Current inventory'!A21</x:f>
        <x:v>10</x:v>
      </x:c>
      <x:c r="C21" s="1" t="str">
        <x:f>'Current inventory'!B21</x:f>
        <x:v>800BBLKBRC</x:v>
      </x:c>
      <x:c r="D21" s="7" t="n">
        <x:f>Summary!$D$5</x:f>
        <x:v>46304</x:v>
      </x:c>
      <x:c r="E21" s="8" t="n">
        <x:f>'Current inventory'!M21</x:f>
        <x:v>0</x:v>
      </x:c>
      <x:c r="F21" s="8" t="n">
        <x:f>'Current inventory'!N21</x:f>
        <x:v>0</x:v>
      </x:c>
      <x:c r="G21" s="8" t="n">
        <x:f>'Current inventory'!O21</x:f>
        <x:v>0</x:v>
      </x:c>
      <x:c r="H21" s="8" t="n">
        <x:f>SUMIFS('PO detail'!$U$2:$U$672,'PO detail'!$A$2:$A$672,B21,'PO detail'!$B$2:$B$672,C21,'PO detail'!$G$2:$G$672,"&gt;="&amp;D21,'PO detail'!$G$2:$G$672,"&lt;"&amp;A21)</x:f>
        <x:v>0</x:v>
      </x:c>
      <x:c r="I21" s="8" t="n">
        <x:f>SUMIFS('PO detail'!$V$2:$V$672,'PO detail'!$A$2:$A$672,B21,'PO detail'!$B$2:$B$672,C21,'PO detail'!$G$2:$G$672,"&gt;="&amp;D21,'PO detail'!$G$2:$G$672,"&lt;"&amp;A21)</x:f>
        <x:v>0</x:v>
      </x:c>
      <x:c r="J21" s="8" t="n">
        <x:f>SUMIFS('PO detail'!$W$2:$W$672,'PO detail'!$A$2:$A$672,B21,'PO detail'!$B$2:$B$672,C21,'PO detail'!$G$2:$G$672,"&gt;="&amp;D21,'PO detail'!$G$2:$G$672,"&lt;"&amp;A21)</x:f>
        <x:v>0</x:v>
      </x:c>
      <x:c r="K21" s="8" t="n">
        <x:f>'Current inventory'!E21*Summary!$D$6*(A21-D21)/30.4375</x:f>
        <x:v>1845.0401642710474</x:v>
      </x:c>
      <x:c r="L21" s="8" t="n">
        <x:f>MAX(0,E21+H21-K21)</x:f>
        <x:v>0</x:v>
      </x:c>
      <x:c r="M21" s="8" t="n">
        <x:f>MAX(0,F21+I21-MAX(0,K21-E21-H21))</x:f>
        <x:v>0</x:v>
      </x:c>
      <x:c r="N21" s="8" t="n">
        <x:f>MAX(0,G21+J21-K21)</x:f>
        <x:v>0</x:v>
      </x:c>
      <x:c r="O21" s="8" t="n">
        <x:f>SUM(L21:N21)</x:f>
        <x:v>0</x:v>
      </x:c>
      <x:c r="P21" s="14" t="n">
        <x:f>'Current inventory'!V21</x:f>
        <x:v>0.16829999999999998</x:v>
      </x:c>
      <x:c r="Q21" s="14" t="str">
        <x:f>'Current inventory'!W21</x:f>
        <x:v>n.a.</x:v>
      </x:c>
      <x:c r="R21" s="10" t="n">
        <x:f>L21*P21</x:f>
        <x:v>0</x:v>
      </x:c>
      <x:c r="S21" s="10" t="n">
        <x:f>M21*P21</x:f>
        <x:v>0</x:v>
      </x:c>
      <x:c r="T21" s="10" t="n">
        <x:f>N21*P21</x:f>
        <x:v>0</x:v>
      </x:c>
      <x:c r="U21" s="10" t="n">
        <x:f>O21*P21</x:f>
        <x:v>0</x:v>
      </x:c>
      <x:c r="V21" s="10" t="str">
        <x:f>IF(ISNUMBER(Q21),O21*(Q21-P21),"n.a.")</x:f>
        <x:v>n.a.</x:v>
      </x:c>
      <x:c r="W21" s="10" t="n">
        <x:f>IF(ISNUMBER(Q21),U21,0)</x:f>
        <x:v>0</x:v>
      </x:c>
      <x:c r="X21" s="8" t="n">
        <x:f>MAX(0,K21-SUM(E21:J21))</x:f>
        <x:v>1845.0401642710474</x:v>
      </x:c>
      <x:c r="Y21" s="1" t="str">
        <x:f>IF(AND(O21&gt;0,NOT(ISNUMBER(Q21))),"No proposed replacement standard",IF(X21&gt;0,"Demand exceeds available stock",""))</x:f>
        <x:v>Demand exceeds available stock</x:v>
      </x:c>
      <x:c r="Z21" s="1" t="n">
        <x:f>IF(ISNUMBER(Q21),1,0)</x:f>
        <x:v>0</x:v>
      </x:c>
    </x:row>
    <x:row r="22" ht="21" customHeight="1">
      <x:c r="A22" s="17" t="n">
        <x:f>Summary!B15</x:f>
        <x:v>46327</x:v>
      </x:c>
      <x:c r="B22" s="1" t="str">
        <x:f>'Current inventory'!A22</x:f>
        <x:v>60</x:v>
      </x:c>
      <x:c r="C22" s="1" t="str">
        <x:f>'Current inventory'!B22</x:f>
        <x:v>800NAVE</x:v>
      </x:c>
      <x:c r="D22" s="7" t="n">
        <x:f>Summary!$D$5</x:f>
        <x:v>46304</x:v>
      </x:c>
      <x:c r="E22" s="8" t="n">
        <x:f>'Current inventory'!M22</x:f>
        <x:v>5401</x:v>
      </x:c>
      <x:c r="F22" s="8" t="n">
        <x:f>'Current inventory'!N22</x:f>
        <x:v>0</x:v>
      </x:c>
      <x:c r="G22" s="8" t="n">
        <x:f>'Current inventory'!O22</x:f>
        <x:v>0</x:v>
      </x:c>
      <x:c r="H22" s="8" t="n">
        <x:f>SUMIFS('PO detail'!$U$2:$U$672,'PO detail'!$A$2:$A$672,B22,'PO detail'!$B$2:$B$672,C22,'PO detail'!$G$2:$G$672,"&gt;="&amp;D22,'PO detail'!$G$2:$G$672,"&lt;"&amp;A22)</x:f>
        <x:v>0</x:v>
      </x:c>
      <x:c r="I22" s="8" t="n">
        <x:f>SUMIFS('PO detail'!$V$2:$V$672,'PO detail'!$A$2:$A$672,B22,'PO detail'!$B$2:$B$672,C22,'PO detail'!$G$2:$G$672,"&gt;="&amp;D22,'PO detail'!$G$2:$G$672,"&lt;"&amp;A22)</x:f>
        <x:v>0</x:v>
      </x:c>
      <x:c r="J22" s="8" t="n">
        <x:f>SUMIFS('PO detail'!$W$2:$W$672,'PO detail'!$A$2:$A$672,B22,'PO detail'!$B$2:$B$672,C22,'PO detail'!$G$2:$G$672,"&gt;="&amp;D22,'PO detail'!$G$2:$G$672,"&lt;"&amp;A22)</x:f>
        <x:v>0</x:v>
      </x:c>
      <x:c r="K22" s="8" t="n">
        <x:f>'Current inventory'!E22*Summary!$D$6*(A22-D22)/30.4375</x:f>
        <x:v>1801.0841889117044</x:v>
      </x:c>
      <x:c r="L22" s="8" t="n">
        <x:f>MAX(0,E22+H22-K22)</x:f>
        <x:v>3599.9158110882954</x:v>
      </x:c>
      <x:c r="M22" s="8" t="n">
        <x:f>MAX(0,F22+I22-MAX(0,K22-E22-H22))</x:f>
        <x:v>0</x:v>
      </x:c>
      <x:c r="N22" s="8" t="n">
        <x:f>MAX(0,G22+J22-K22)</x:f>
        <x:v>0</x:v>
      </x:c>
      <x:c r="O22" s="8" t="n">
        <x:f>SUM(L22:N22)</x:f>
        <x:v>3599.9158110882954</x:v>
      </x:c>
      <x:c r="P22" s="14" t="n">
        <x:f>'Current inventory'!V22</x:f>
        <x:v>1.04328</x:v>
      </x:c>
      <x:c r="Q22" s="14" t="n">
        <x:f>'Current inventory'!W22</x:f>
        <x:v>1.090215</x:v>
      </x:c>
      <x:c r="R22" s="10" t="n">
        <x:f>L22*P22</x:f>
        <x:v>3755.720167392197</x:v>
      </x:c>
      <x:c r="S22" s="10" t="n">
        <x:f>M22*P22</x:f>
        <x:v>0</x:v>
      </x:c>
      <x:c r="T22" s="10" t="n">
        <x:f>N22*P22</x:f>
        <x:v>0</x:v>
      </x:c>
      <x:c r="U22" s="10" t="n">
        <x:f>O22*P22</x:f>
        <x:v>3755.720167392197</x:v>
      </x:c>
      <x:c r="V22" s="10" t="n">
        <x:f>IF(ISNUMBER(Q22),O22*(Q22-P22),"n.a.")</x:f>
        <x:v>168.96204859342896</x:v>
      </x:c>
      <x:c r="W22" s="10" t="n">
        <x:f>IF(ISNUMBER(Q22),U22,0)</x:f>
        <x:v>3755.720167392197</x:v>
      </x:c>
      <x:c r="X22" s="8" t="n">
        <x:f>MAX(0,K22-SUM(E22:J22))</x:f>
        <x:v>0</x:v>
      </x:c>
      <x:c r="Y22" s="1" t="str">
        <x:f>IF(AND(O22&gt;0,NOT(ISNUMBER(Q22))),"No proposed replacement standard",IF(X22&gt;0,"Demand exceeds available stock",""))</x:f>
      </x:c>
      <x:c r="Z22" s="1" t="n">
        <x:f>IF(ISNUMBER(Q22),1,0)</x:f>
        <x:v>1</x:v>
      </x:c>
    </x:row>
    <x:row r="23" ht="21" customHeight="1">
      <x:c r="A23" s="17" t="n">
        <x:f>Summary!B15</x:f>
        <x:v>46327</x:v>
      </x:c>
      <x:c r="B23" s="1" t="str">
        <x:f>'Current inventory'!A23</x:f>
        <x:v>10</x:v>
      </x:c>
      <x:c r="C23" s="1" t="str">
        <x:f>'Current inventory'!B23</x:f>
        <x:v>800NAVE</x:v>
      </x:c>
      <x:c r="D23" s="7" t="n">
        <x:f>Summary!$D$5</x:f>
        <x:v>46304</x:v>
      </x:c>
      <x:c r="E23" s="8" t="n">
        <x:f>'Current inventory'!M23</x:f>
        <x:v>17761</x:v>
      </x:c>
      <x:c r="F23" s="8" t="n">
        <x:f>'Current inventory'!N23</x:f>
        <x:v>0</x:v>
      </x:c>
      <x:c r="G23" s="8" t="n">
        <x:f>'Current inventory'!O23</x:f>
        <x:v>0</x:v>
      </x:c>
      <x:c r="H23" s="8" t="n">
        <x:f>SUMIFS('PO detail'!$U$2:$U$672,'PO detail'!$A$2:$A$672,B23,'PO detail'!$B$2:$B$672,C23,'PO detail'!$G$2:$G$672,"&gt;="&amp;D23,'PO detail'!$G$2:$G$672,"&lt;"&amp;A23)</x:f>
        <x:v>150</x:v>
      </x:c>
      <x:c r="I23" s="8" t="n">
        <x:f>SUMIFS('PO detail'!$V$2:$V$672,'PO detail'!$A$2:$A$672,B23,'PO detail'!$B$2:$B$672,C23,'PO detail'!$G$2:$G$672,"&gt;="&amp;D23,'PO detail'!$G$2:$G$672,"&lt;"&amp;A23)</x:f>
        <x:v>0</x:v>
      </x:c>
      <x:c r="J23" s="8" t="n">
        <x:f>SUMIFS('PO detail'!$W$2:$W$672,'PO detail'!$A$2:$A$672,B23,'PO detail'!$B$2:$B$672,C23,'PO detail'!$G$2:$G$672,"&gt;="&amp;D23,'PO detail'!$G$2:$G$672,"&lt;"&amp;A23)</x:f>
        <x:v>0</x:v>
      </x:c>
      <x:c r="K23" s="8" t="n">
        <x:f>'Current inventory'!E23*Summary!$D$6*(A23-D23)/30.4375</x:f>
        <x:v>1451.3481724845997</x:v>
      </x:c>
      <x:c r="L23" s="8" t="n">
        <x:f>MAX(0,E23+H23-K23)</x:f>
        <x:v>16459.6518275154</x:v>
      </x:c>
      <x:c r="M23" s="8" t="n">
        <x:f>MAX(0,F23+I23-MAX(0,K23-E23-H23))</x:f>
        <x:v>0</x:v>
      </x:c>
      <x:c r="N23" s="8" t="n">
        <x:f>MAX(0,G23+J23-K23)</x:f>
        <x:v>0</x:v>
      </x:c>
      <x:c r="O23" s="8" t="n">
        <x:f>SUM(L23:N23)</x:f>
        <x:v>16459.6518275154</x:v>
      </x:c>
      <x:c r="P23" s="14" t="n">
        <x:f>'Current inventory'!V23</x:f>
        <x:v>1.04328</x:v>
      </x:c>
      <x:c r="Q23" s="14" t="n">
        <x:f>'Current inventory'!W23</x:f>
        <x:v>1.090215</x:v>
      </x:c>
      <x:c r="R23" s="10" t="n">
        <x:f>L23*P23</x:f>
        <x:v>17172.02555861027</x:v>
      </x:c>
      <x:c r="S23" s="10" t="n">
        <x:f>M23*P23</x:f>
        <x:v>0</x:v>
      </x:c>
      <x:c r="T23" s="10" t="n">
        <x:f>N23*P23</x:f>
        <x:v>0</x:v>
      </x:c>
      <x:c r="U23" s="10" t="n">
        <x:f>O23*P23</x:f>
        <x:v>17172.02555861027</x:v>
      </x:c>
      <x:c r="V23" s="10" t="n">
        <x:f>IF(ISNUMBER(Q23),O23*(Q23-P23),"n.a.")</x:f>
        <x:v>772.5337585244345</x:v>
      </x:c>
      <x:c r="W23" s="10" t="n">
        <x:f>IF(ISNUMBER(Q23),U23,0)</x:f>
        <x:v>17172.02555861027</x:v>
      </x:c>
      <x:c r="X23" s="8" t="n">
        <x:f>MAX(0,K23-SUM(E23:J23))</x:f>
        <x:v>0</x:v>
      </x:c>
      <x:c r="Y23" s="1" t="str">
        <x:f>IF(AND(O23&gt;0,NOT(ISNUMBER(Q23))),"No proposed replacement standard",IF(X23&gt;0,"Demand exceeds available stock",""))</x:f>
      </x:c>
      <x:c r="Z23" s="1" t="n">
        <x:f>IF(ISNUMBER(Q23),1,0)</x:f>
        <x:v>1</x:v>
      </x:c>
    </x:row>
    <x:row r="24" ht="21" customHeight="1">
      <x:c r="A24" s="17" t="n">
        <x:f>Summary!B15</x:f>
        <x:v>46327</x:v>
      </x:c>
      <x:c r="B24" s="1" t="str">
        <x:f>'Current inventory'!A24</x:f>
        <x:v>60</x:v>
      </x:c>
      <x:c r="C24" s="1" t="str">
        <x:f>'Current inventory'!B24</x:f>
        <x:v>800BBLKBRC</x:v>
      </x:c>
      <x:c r="D24" s="7" t="n">
        <x:f>Summary!$D$5</x:f>
        <x:v>46304</x:v>
      </x:c>
      <x:c r="E24" s="8" t="n">
        <x:f>'Current inventory'!M24</x:f>
        <x:v>0</x:v>
      </x:c>
      <x:c r="F24" s="8" t="n">
        <x:f>'Current inventory'!N24</x:f>
        <x:v>0</x:v>
      </x:c>
      <x:c r="G24" s="8" t="n">
        <x:f>'Current inventory'!O24</x:f>
        <x:v>6300</x:v>
      </x:c>
      <x:c r="H24" s="8" t="n">
        <x:f>SUMIFS('PO detail'!$U$2:$U$672,'PO detail'!$A$2:$A$672,B24,'PO detail'!$B$2:$B$672,C24,'PO detail'!$G$2:$G$672,"&gt;="&amp;D24,'PO detail'!$G$2:$G$672,"&lt;"&amp;A24)</x:f>
        <x:v>0</x:v>
      </x:c>
      <x:c r="I24" s="8" t="n">
        <x:f>SUMIFS('PO detail'!$V$2:$V$672,'PO detail'!$A$2:$A$672,B24,'PO detail'!$B$2:$B$672,C24,'PO detail'!$G$2:$G$672,"&gt;="&amp;D24,'PO detail'!$G$2:$G$672,"&lt;"&amp;A24)</x:f>
        <x:v>0</x:v>
      </x:c>
      <x:c r="J24" s="8" t="n">
        <x:f>SUMIFS('PO detail'!$W$2:$W$672,'PO detail'!$A$2:$A$672,B24,'PO detail'!$B$2:$B$672,C24,'PO detail'!$G$2:$G$672,"&gt;="&amp;D24,'PO detail'!$G$2:$G$672,"&lt;"&amp;A24)</x:f>
        <x:v>0</x:v>
      </x:c>
      <x:c r="K24" s="8" t="n">
        <x:f>'Current inventory'!E24*Summary!$D$6*(A24-D24)/30.4375</x:f>
        <x:v>1360.1642710472279</x:v>
      </x:c>
      <x:c r="L24" s="8" t="n">
        <x:f>MAX(0,E24+H24-K24)</x:f>
        <x:v>0</x:v>
      </x:c>
      <x:c r="M24" s="8" t="n">
        <x:f>MAX(0,F24+I24-MAX(0,K24-E24-H24))</x:f>
        <x:v>0</x:v>
      </x:c>
      <x:c r="N24" s="8" t="n">
        <x:f>MAX(0,G24+J24-K24)</x:f>
        <x:v>4939.835728952772</x:v>
      </x:c>
      <x:c r="O24" s="8" t="n">
        <x:f>SUM(L24:N24)</x:f>
        <x:v>4939.835728952772</x:v>
      </x:c>
      <x:c r="P24" s="14" t="n">
        <x:f>'Current inventory'!V24</x:f>
        <x:v>0.16829999999999998</x:v>
      </x:c>
      <x:c r="Q24" s="14" t="str">
        <x:f>'Current inventory'!W24</x:f>
        <x:v>n.a.</x:v>
      </x:c>
      <x:c r="R24" s="10" t="n">
        <x:f>L24*P24</x:f>
        <x:v>0</x:v>
      </x:c>
      <x:c r="S24" s="10" t="n">
        <x:f>M24*P24</x:f>
        <x:v>0</x:v>
      </x:c>
      <x:c r="T24" s="10" t="n">
        <x:f>N24*P24</x:f>
        <x:v>831.3743531827514</x:v>
      </x:c>
      <x:c r="U24" s="10" t="n">
        <x:f>O24*P24</x:f>
        <x:v>831.3743531827514</x:v>
      </x:c>
      <x:c r="V24" s="10" t="str">
        <x:f>IF(ISNUMBER(Q24),O24*(Q24-P24),"n.a.")</x:f>
        <x:v>n.a.</x:v>
      </x:c>
      <x:c r="W24" s="10" t="n">
        <x:f>IF(ISNUMBER(Q24),U24,0)</x:f>
        <x:v>0</x:v>
      </x:c>
      <x:c r="X24" s="8" t="n">
        <x:f>MAX(0,K24-SUM(E24:J24))</x:f>
        <x:v>0</x:v>
      </x:c>
      <x:c r="Y24" s="1" t="str">
        <x:f>IF(AND(O24&gt;0,NOT(ISNUMBER(Q24))),"No proposed replacement standard",IF(X24&gt;0,"Demand exceeds available stock",""))</x:f>
        <x:v>No proposed replacement standard</x:v>
      </x:c>
      <x:c r="Z24" s="1" t="n">
        <x:f>IF(ISNUMBER(Q24),1,0)</x:f>
        <x:v>0</x:v>
      </x:c>
    </x:row>
    <x:row r="25" ht="21" customHeight="1">
      <x:c r="A25" s="17" t="n">
        <x:f>Summary!B15</x:f>
        <x:v>46327</x:v>
      </x:c>
      <x:c r="B25" s="1" t="str">
        <x:f>'Current inventory'!A25</x:f>
        <x:v>10</x:v>
      </x:c>
      <x:c r="C25" s="1" t="str">
        <x:f>'Current inventory'!B25</x:f>
        <x:v>800BLKE</x:v>
      </x:c>
      <x:c r="D25" s="7" t="n">
        <x:f>Summary!$D$5</x:f>
        <x:v>46304</x:v>
      </x:c>
      <x:c r="E25" s="8" t="n">
        <x:f>'Current inventory'!M25</x:f>
        <x:v>19068</x:v>
      </x:c>
      <x:c r="F25" s="8" t="n">
        <x:f>'Current inventory'!N25</x:f>
        <x:v>0</x:v>
      </x:c>
      <x:c r="G25" s="8" t="n">
        <x:f>'Current inventory'!O25</x:f>
        <x:v>0</x:v>
      </x:c>
      <x:c r="H25" s="8" t="n">
        <x:f>SUMIFS('PO detail'!$U$2:$U$672,'PO detail'!$A$2:$A$672,B25,'PO detail'!$B$2:$B$672,C25,'PO detail'!$G$2:$G$672,"&gt;="&amp;D25,'PO detail'!$G$2:$G$672,"&lt;"&amp;A25)</x:f>
        <x:v>0</x:v>
      </x:c>
      <x:c r="I25" s="8" t="n">
        <x:f>SUMIFS('PO detail'!$V$2:$V$672,'PO detail'!$A$2:$A$672,B25,'PO detail'!$B$2:$B$672,C25,'PO detail'!$G$2:$G$672,"&gt;="&amp;D25,'PO detail'!$G$2:$G$672,"&lt;"&amp;A25)</x:f>
        <x:v>0</x:v>
      </x:c>
      <x:c r="J25" s="8" t="n">
        <x:f>SUMIFS('PO detail'!$W$2:$W$672,'PO detail'!$A$2:$A$672,B25,'PO detail'!$B$2:$B$672,C25,'PO detail'!$G$2:$G$672,"&gt;="&amp;D25,'PO detail'!$G$2:$G$672,"&lt;"&amp;A25)</x:f>
        <x:v>0</x:v>
      </x:c>
      <x:c r="K25" s="8" t="n">
        <x:f>'Current inventory'!E25*Summary!$D$6*(A25-D25)/30.4375</x:f>
        <x:v>1311.2965913757698</x:v>
      </x:c>
      <x:c r="L25" s="8" t="n">
        <x:f>MAX(0,E25+H25-K25)</x:f>
        <x:v>17756.70340862423</x:v>
      </x:c>
      <x:c r="M25" s="8" t="n">
        <x:f>MAX(0,F25+I25-MAX(0,K25-E25-H25))</x:f>
        <x:v>0</x:v>
      </x:c>
      <x:c r="N25" s="8" t="n">
        <x:f>MAX(0,G25+J25-K25)</x:f>
        <x:v>0</x:v>
      </x:c>
      <x:c r="O25" s="8" t="n">
        <x:f>SUM(L25:N25)</x:f>
        <x:v>17756.70340862423</x:v>
      </x:c>
      <x:c r="P25" s="14" t="n">
        <x:f>'Current inventory'!V25</x:f>
        <x:v>0.90416</x:v>
      </x:c>
      <x:c r="Q25" s="14" t="n">
        <x:f>'Current inventory'!W25</x:f>
        <x:v>0.94479</x:v>
      </x:c>
      <x:c r="R25" s="10" t="n">
        <x:f>L25*P25</x:f>
        <x:v>16054.900953941684</x:v>
      </x:c>
      <x:c r="S25" s="10" t="n">
        <x:f>M25*P25</x:f>
        <x:v>0</x:v>
      </x:c>
      <x:c r="T25" s="10" t="n">
        <x:f>N25*P25</x:f>
        <x:v>0</x:v>
      </x:c>
      <x:c r="U25" s="10" t="n">
        <x:f>O25*P25</x:f>
        <x:v>16054.900953941684</x:v>
      </x:c>
      <x:c r="V25" s="10" t="n">
        <x:f>IF(ISNUMBER(Q25),O25*(Q25-P25),"n.a.")</x:f>
        <x:v>721.4548594924034</x:v>
      </x:c>
      <x:c r="W25" s="10" t="n">
        <x:f>IF(ISNUMBER(Q25),U25,0)</x:f>
        <x:v>16054.900953941684</x:v>
      </x:c>
      <x:c r="X25" s="8" t="n">
        <x:f>MAX(0,K25-SUM(E25:J25))</x:f>
        <x:v>0</x:v>
      </x:c>
      <x:c r="Y25" s="1" t="str">
        <x:f>IF(AND(O25&gt;0,NOT(ISNUMBER(Q25))),"No proposed replacement standard",IF(X25&gt;0,"Demand exceeds available stock",""))</x:f>
      </x:c>
      <x:c r="Z25" s="1" t="n">
        <x:f>IF(ISNUMBER(Q25),1,0)</x:f>
        <x:v>1</x:v>
      </x:c>
    </x:row>
    <x:row r="26" ht="21" customHeight="1">
      <x:c r="A26" s="17" t="n">
        <x:f>Summary!B15</x:f>
        <x:v>46327</x:v>
      </x:c>
      <x:c r="B26" s="1" t="str">
        <x:f>'Current inventory'!A26</x:f>
        <x:v>60</x:v>
      </x:c>
      <x:c r="C26" s="1" t="str">
        <x:f>'Current inventory'!B26</x:f>
        <x:v>800BLKE</x:v>
      </x:c>
      <x:c r="D26" s="7" t="n">
        <x:f>Summary!$D$5</x:f>
        <x:v>46304</x:v>
      </x:c>
      <x:c r="E26" s="8" t="n">
        <x:f>'Current inventory'!M26</x:f>
        <x:v>15888</x:v>
      </x:c>
      <x:c r="F26" s="8" t="n">
        <x:f>'Current inventory'!N26</x:f>
        <x:v>0</x:v>
      </x:c>
      <x:c r="G26" s="8" t="n">
        <x:f>'Current inventory'!O26</x:f>
        <x:v>0</x:v>
      </x:c>
      <x:c r="H26" s="8" t="n">
        <x:f>SUMIFS('PO detail'!$U$2:$U$672,'PO detail'!$A$2:$A$672,B26,'PO detail'!$B$2:$B$672,C26,'PO detail'!$G$2:$G$672,"&gt;="&amp;D26,'PO detail'!$G$2:$G$672,"&lt;"&amp;A26)</x:f>
        <x:v>0</x:v>
      </x:c>
      <x:c r="I26" s="8" t="n">
        <x:f>SUMIFS('PO detail'!$V$2:$V$672,'PO detail'!$A$2:$A$672,B26,'PO detail'!$B$2:$B$672,C26,'PO detail'!$G$2:$G$672,"&gt;="&amp;D26,'PO detail'!$G$2:$G$672,"&lt;"&amp;A26)</x:f>
        <x:v>0</x:v>
      </x:c>
      <x:c r="J26" s="8" t="n">
        <x:f>SUMIFS('PO detail'!$W$2:$W$672,'PO detail'!$A$2:$A$672,B26,'PO detail'!$B$2:$B$672,C26,'PO detail'!$G$2:$G$672,"&gt;="&amp;D26,'PO detail'!$G$2:$G$672,"&lt;"&amp;A26)</x:f>
        <x:v>0</x:v>
      </x:c>
      <x:c r="K26" s="8" t="n">
        <x:f>'Current inventory'!E26*Summary!$D$6*(A26-D26)/30.4375</x:f>
        <x:v>1290.2669404517453</x:v>
      </x:c>
      <x:c r="L26" s="8" t="n">
        <x:f>MAX(0,E26+H26-K26)</x:f>
        <x:v>14597.733059548254</x:v>
      </x:c>
      <x:c r="M26" s="8" t="n">
        <x:f>MAX(0,F26+I26-MAX(0,K26-E26-H26))</x:f>
        <x:v>0</x:v>
      </x:c>
      <x:c r="N26" s="8" t="n">
        <x:f>MAX(0,G26+J26-K26)</x:f>
        <x:v>0</x:v>
      </x:c>
      <x:c r="O26" s="8" t="n">
        <x:f>SUM(L26:N26)</x:f>
        <x:v>14597.733059548254</x:v>
      </x:c>
      <x:c r="P26" s="14" t="n">
        <x:f>'Current inventory'!V26</x:f>
        <x:v>0.90416</x:v>
      </x:c>
      <x:c r="Q26" s="14" t="n">
        <x:f>'Current inventory'!W26</x:f>
        <x:v>0.94479</x:v>
      </x:c>
      <x:c r="R26" s="10" t="n">
        <x:f>L26*P26</x:f>
        <x:v>13198.68632312115</x:v>
      </x:c>
      <x:c r="S26" s="10" t="n">
        <x:f>M26*P26</x:f>
        <x:v>0</x:v>
      </x:c>
      <x:c r="T26" s="10" t="n">
        <x:f>N26*P26</x:f>
        <x:v>0</x:v>
      </x:c>
      <x:c r="U26" s="10" t="n">
        <x:f>O26*P26</x:f>
        <x:v>13198.68632312115</x:v>
      </x:c>
      <x:c r="V26" s="10" t="n">
        <x:f>IF(ISNUMBER(Q26),O26*(Q26-P26),"n.a.")</x:f>
        <x:v>593.1058942094464</x:v>
      </x:c>
      <x:c r="W26" s="10" t="n">
        <x:f>IF(ISNUMBER(Q26),U26,0)</x:f>
        <x:v>13198.68632312115</x:v>
      </x:c>
      <x:c r="X26" s="8" t="n">
        <x:f>MAX(0,K26-SUM(E26:J26))</x:f>
        <x:v>0</x:v>
      </x:c>
      <x:c r="Y26" s="1" t="str">
        <x:f>IF(AND(O26&gt;0,NOT(ISNUMBER(Q26))),"No proposed replacement standard",IF(X26&gt;0,"Demand exceeds available stock",""))</x:f>
      </x:c>
      <x:c r="Z26" s="1" t="n">
        <x:f>IF(ISNUMBER(Q26),1,0)</x:f>
        <x:v>1</x:v>
      </x:c>
    </x:row>
    <x:row r="27" ht="21" customHeight="1">
      <x:c r="A27" s="17" t="n">
        <x:f>Summary!B15</x:f>
        <x:v>46327</x:v>
      </x:c>
      <x:c r="B27" s="1" t="str">
        <x:f>'Current inventory'!A27</x:f>
        <x:v>60</x:v>
      </x:c>
      <x:c r="C27" s="1" t="str">
        <x:f>'Current inventory'!B27</x:f>
        <x:v>800BNAVDSC</x:v>
      </x:c>
      <x:c r="D27" s="7" t="n">
        <x:f>Summary!$D$5</x:f>
        <x:v>46304</x:v>
      </x:c>
      <x:c r="E27" s="8" t="n">
        <x:f>'Current inventory'!M27</x:f>
        <x:v>0</x:v>
      </x:c>
      <x:c r="F27" s="8" t="n">
        <x:f>'Current inventory'!N27</x:f>
        <x:v>0</x:v>
      </x:c>
      <x:c r="G27" s="8" t="n">
        <x:f>'Current inventory'!O27</x:f>
        <x:v>3300</x:v>
      </x:c>
      <x:c r="H27" s="8" t="n">
        <x:f>SUMIFS('PO detail'!$U$2:$U$672,'PO detail'!$A$2:$A$672,B27,'PO detail'!$B$2:$B$672,C27,'PO detail'!$G$2:$G$672,"&gt;="&amp;D27,'PO detail'!$G$2:$G$672,"&lt;"&amp;A27)</x:f>
        <x:v>0</x:v>
      </x:c>
      <x:c r="I27" s="8" t="n">
        <x:f>SUMIFS('PO detail'!$V$2:$V$672,'PO detail'!$A$2:$A$672,B27,'PO detail'!$B$2:$B$672,C27,'PO detail'!$G$2:$G$672,"&gt;="&amp;D27,'PO detail'!$G$2:$G$672,"&lt;"&amp;A27)</x:f>
        <x:v>0</x:v>
      </x:c>
      <x:c r="J27" s="8" t="n">
        <x:f>SUMIFS('PO detail'!$W$2:$W$672,'PO detail'!$A$2:$A$672,B27,'PO detail'!$B$2:$B$672,C27,'PO detail'!$G$2:$G$672,"&gt;="&amp;D27,'PO detail'!$G$2:$G$672,"&lt;"&amp;A27)</x:f>
        <x:v>0</x:v>
      </x:c>
      <x:c r="K27" s="8" t="n">
        <x:f>'Current inventory'!E27*Summary!$D$6*(A27-D27)/30.4375</x:f>
        <x:v>1209.034907597536</x:v>
      </x:c>
      <x:c r="L27" s="8" t="n">
        <x:f>MAX(0,E27+H27-K27)</x:f>
        <x:v>0</x:v>
      </x:c>
      <x:c r="M27" s="8" t="n">
        <x:f>MAX(0,F27+I27-MAX(0,K27-E27-H27))</x:f>
        <x:v>0</x:v>
      </x:c>
      <x:c r="N27" s="8" t="n">
        <x:f>MAX(0,G27+J27-K27)</x:f>
        <x:v>2090.965092402464</x:v>
      </x:c>
      <x:c r="O27" s="8" t="n">
        <x:f>SUM(L27:N27)</x:f>
        <x:v>2090.965092402464</x:v>
      </x:c>
      <x:c r="P27" s="14" t="n">
        <x:f>'Current inventory'!V27</x:f>
        <x:v>0.34509999999999996</x:v>
      </x:c>
      <x:c r="Q27" s="14" t="str">
        <x:f>'Current inventory'!W27</x:f>
        <x:v>n.a.</x:v>
      </x:c>
      <x:c r="R27" s="10" t="n">
        <x:f>L27*P27</x:f>
        <x:v>0</x:v>
      </x:c>
      <x:c r="S27" s="10" t="n">
        <x:f>M27*P27</x:f>
        <x:v>0</x:v>
      </x:c>
      <x:c r="T27" s="10" t="n">
        <x:f>N27*P27</x:f>
        <x:v>721.5920533880902</x:v>
      </x:c>
      <x:c r="U27" s="10" t="n">
        <x:f>O27*P27</x:f>
        <x:v>721.5920533880902</x:v>
      </x:c>
      <x:c r="V27" s="10" t="str">
        <x:f>IF(ISNUMBER(Q27),O27*(Q27-P27),"n.a.")</x:f>
        <x:v>n.a.</x:v>
      </x:c>
      <x:c r="W27" s="10" t="n">
        <x:f>IF(ISNUMBER(Q27),U27,0)</x:f>
        <x:v>0</x:v>
      </x:c>
      <x:c r="X27" s="8" t="n">
        <x:f>MAX(0,K27-SUM(E27:J27))</x:f>
        <x:v>0</x:v>
      </x:c>
      <x:c r="Y27" s="1" t="str">
        <x:f>IF(AND(O27&gt;0,NOT(ISNUMBER(Q27))),"No proposed replacement standard",IF(X27&gt;0,"Demand exceeds available stock",""))</x:f>
        <x:v>No proposed replacement standard</x:v>
      </x:c>
      <x:c r="Z27" s="1" t="n">
        <x:f>IF(ISNUMBER(Q27),1,0)</x:f>
        <x:v>0</x:v>
      </x:c>
    </x:row>
    <x:row r="28" ht="21" customHeight="1">
      <x:c r="A28" s="17" t="n">
        <x:f>Summary!B15</x:f>
        <x:v>46327</x:v>
      </x:c>
      <x:c r="B28" s="1" t="str">
        <x:f>'Current inventory'!A28</x:f>
        <x:v>10</x:v>
      </x:c>
      <x:c r="C28" s="1" t="str">
        <x:f>'Current inventory'!B28</x:f>
        <x:v>800BNAVDSC</x:v>
      </x:c>
      <x:c r="D28" s="7" t="n">
        <x:f>Summary!$D$5</x:f>
        <x:v>46304</x:v>
      </x:c>
      <x:c r="E28" s="8" t="n">
        <x:f>'Current inventory'!M28</x:f>
        <x:v>0</x:v>
      </x:c>
      <x:c r="F28" s="8" t="n">
        <x:f>'Current inventory'!N28</x:f>
        <x:v>0</x:v>
      </x:c>
      <x:c r="G28" s="8" t="n">
        <x:f>'Current inventory'!O28</x:f>
        <x:v>0</x:v>
      </x:c>
      <x:c r="H28" s="8" t="n">
        <x:f>SUMIFS('PO detail'!$U$2:$U$672,'PO detail'!$A$2:$A$672,B28,'PO detail'!$B$2:$B$672,C28,'PO detail'!$G$2:$G$672,"&gt;="&amp;D28,'PO detail'!$G$2:$G$672,"&lt;"&amp;A28)</x:f>
        <x:v>0</x:v>
      </x:c>
      <x:c r="I28" s="8" t="n">
        <x:f>SUMIFS('PO detail'!$V$2:$V$672,'PO detail'!$A$2:$A$672,B28,'PO detail'!$B$2:$B$672,C28,'PO detail'!$G$2:$G$672,"&gt;="&amp;D28,'PO detail'!$G$2:$G$672,"&lt;"&amp;A28)</x:f>
        <x:v>0</x:v>
      </x:c>
      <x:c r="J28" s="8" t="n">
        <x:f>SUMIFS('PO detail'!$W$2:$W$672,'PO detail'!$A$2:$A$672,B28,'PO detail'!$B$2:$B$672,C28,'PO detail'!$G$2:$G$672,"&gt;="&amp;D28,'PO detail'!$G$2:$G$672,"&lt;"&amp;A28)</x:f>
        <x:v>0</x:v>
      </x:c>
      <x:c r="K28" s="8" t="n">
        <x:f>'Current inventory'!E28*Summary!$D$6*(A28-D28)/30.4375</x:f>
        <x:v>1089.3857905544148</x:v>
      </x:c>
      <x:c r="L28" s="8" t="n">
        <x:f>MAX(0,E28+H28-K28)</x:f>
        <x:v>0</x:v>
      </x:c>
      <x:c r="M28" s="8" t="n">
        <x:f>MAX(0,F28+I28-MAX(0,K28-E28-H28))</x:f>
        <x:v>0</x:v>
      </x:c>
      <x:c r="N28" s="8" t="n">
        <x:f>MAX(0,G28+J28-K28)</x:f>
        <x:v>0</x:v>
      </x:c>
      <x:c r="O28" s="8" t="n">
        <x:f>SUM(L28:N28)</x:f>
        <x:v>0</x:v>
      </x:c>
      <x:c r="P28" s="14" t="n">
        <x:f>'Current inventory'!V28</x:f>
        <x:v>0.34509999999999996</x:v>
      </x:c>
      <x:c r="Q28" s="14" t="str">
        <x:f>'Current inventory'!W28</x:f>
        <x:v>n.a.</x:v>
      </x:c>
      <x:c r="R28" s="10" t="n">
        <x:f>L28*P28</x:f>
        <x:v>0</x:v>
      </x:c>
      <x:c r="S28" s="10" t="n">
        <x:f>M28*P28</x:f>
        <x:v>0</x:v>
      </x:c>
      <x:c r="T28" s="10" t="n">
        <x:f>N28*P28</x:f>
        <x:v>0</x:v>
      </x:c>
      <x:c r="U28" s="10" t="n">
        <x:f>O28*P28</x:f>
        <x:v>0</x:v>
      </x:c>
      <x:c r="V28" s="10" t="str">
        <x:f>IF(ISNUMBER(Q28),O28*(Q28-P28),"n.a.")</x:f>
        <x:v>n.a.</x:v>
      </x:c>
      <x:c r="W28" s="10" t="n">
        <x:f>IF(ISNUMBER(Q28),U28,0)</x:f>
        <x:v>0</x:v>
      </x:c>
      <x:c r="X28" s="8" t="n">
        <x:f>MAX(0,K28-SUM(E28:J28))</x:f>
        <x:v>1089.3857905544148</x:v>
      </x:c>
      <x:c r="Y28" s="1" t="str">
        <x:f>IF(AND(O28&gt;0,NOT(ISNUMBER(Q28))),"No proposed replacement standard",IF(X28&gt;0,"Demand exceeds available stock",""))</x:f>
        <x:v>Demand exceeds available stock</x:v>
      </x:c>
      <x:c r="Z28" s="1" t="n">
        <x:f>IF(ISNUMBER(Q28),1,0)</x:f>
        <x:v>0</x:v>
      </x:c>
    </x:row>
    <x:row r="29" ht="21" customHeight="1">
      <x:c r="A29" s="17" t="n">
        <x:f>Summary!B15</x:f>
        <x:v>46327</x:v>
      </x:c>
      <x:c r="B29" s="1" t="str">
        <x:f>'Current inventory'!A29</x:f>
        <x:v>30</x:v>
      </x:c>
      <x:c r="C29" s="1" t="str">
        <x:f>'Current inventory'!B29</x:f>
        <x:v>800BMARASC</x:v>
      </x:c>
      <x:c r="D29" s="7" t="n">
        <x:f>Summary!$D$5</x:f>
        <x:v>46304</x:v>
      </x:c>
      <x:c r="E29" s="8" t="n">
        <x:f>'Current inventory'!M29</x:f>
        <x:v>19900</x:v>
      </x:c>
      <x:c r="F29" s="8" t="n">
        <x:f>'Current inventory'!N29</x:f>
        <x:v>0</x:v>
      </x:c>
      <x:c r="G29" s="8" t="n">
        <x:f>'Current inventory'!O29</x:f>
        <x:v>0</x:v>
      </x:c>
      <x:c r="H29" s="8" t="n">
        <x:f>SUMIFS('PO detail'!$U$2:$U$672,'PO detail'!$A$2:$A$672,B29,'PO detail'!$B$2:$B$672,C29,'PO detail'!$G$2:$G$672,"&gt;="&amp;D29,'PO detail'!$G$2:$G$672,"&lt;"&amp;A29)</x:f>
        <x:v>0</x:v>
      </x:c>
      <x:c r="I29" s="8" t="n">
        <x:f>SUMIFS('PO detail'!$V$2:$V$672,'PO detail'!$A$2:$A$672,B29,'PO detail'!$B$2:$B$672,C29,'PO detail'!$G$2:$G$672,"&gt;="&amp;D29,'PO detail'!$G$2:$G$672,"&lt;"&amp;A29)</x:f>
        <x:v>0</x:v>
      </x:c>
      <x:c r="J29" s="8" t="n">
        <x:f>SUMIFS('PO detail'!$W$2:$W$672,'PO detail'!$A$2:$A$672,B29,'PO detail'!$B$2:$B$672,C29,'PO detail'!$G$2:$G$672,"&gt;="&amp;D29,'PO detail'!$G$2:$G$672,"&lt;"&amp;A29)</x:f>
        <x:v>0</x:v>
      </x:c>
      <x:c r="K29" s="8" t="n">
        <x:f>'Current inventory'!E29*Summary!$D$6*(A29-D29)/30.4375</x:f>
        <x:v>938.2639835728954</x:v>
      </x:c>
      <x:c r="L29" s="8" t="n">
        <x:f>MAX(0,E29+H29-K29)</x:f>
        <x:v>18961.736016427105</x:v>
      </x:c>
      <x:c r="M29" s="8" t="n">
        <x:f>MAX(0,F29+I29-MAX(0,K29-E29-H29))</x:f>
        <x:v>0</x:v>
      </x:c>
      <x:c r="N29" s="8" t="n">
        <x:f>MAX(0,G29+J29-K29)</x:f>
        <x:v>0</x:v>
      </x:c>
      <x:c r="O29" s="8" t="n">
        <x:f>SUM(L29:N29)</x:f>
        <x:v>18961.736016427105</x:v>
      </x:c>
      <x:c r="P29" s="14" t="n">
        <x:f>'Current inventory'!V29</x:f>
        <x:v>0.1598</x:v>
      </x:c>
      <x:c r="Q29" s="14" t="n">
        <x:f>'Current inventory'!W29</x:f>
        <x:v>0.16695000000000002</x:v>
      </x:c>
      <x:c r="R29" s="10" t="n">
        <x:f>L29*P29</x:f>
        <x:v>3030.0854154250515</x:v>
      </x:c>
      <x:c r="S29" s="10" t="n">
        <x:f>M29*P29</x:f>
        <x:v>0</x:v>
      </x:c>
      <x:c r="T29" s="10" t="n">
        <x:f>N29*P29</x:f>
        <x:v>0</x:v>
      </x:c>
      <x:c r="U29" s="10" t="n">
        <x:f>O29*P29</x:f>
        <x:v>3030.0854154250515</x:v>
      </x:c>
      <x:c r="V29" s="10" t="n">
        <x:f>IF(ISNUMBER(Q29),O29*(Q29-P29),"n.a.")</x:f>
        <x:v>135.57641251745414</x:v>
      </x:c>
      <x:c r="W29" s="10" t="n">
        <x:f>IF(ISNUMBER(Q29),U29,0)</x:f>
        <x:v>3030.0854154250515</x:v>
      </x:c>
      <x:c r="X29" s="8" t="n">
        <x:f>MAX(0,K29-SUM(E29:J29))</x:f>
        <x:v>0</x:v>
      </x:c>
      <x:c r="Y29" s="1" t="str">
        <x:f>IF(AND(O29&gt;0,NOT(ISNUMBER(Q29))),"No proposed replacement standard",IF(X29&gt;0,"Demand exceeds available stock",""))</x:f>
      </x:c>
      <x:c r="Z29" s="1" t="n">
        <x:f>IF(ISNUMBER(Q29),1,0)</x:f>
        <x:v>1</x:v>
      </x:c>
    </x:row>
    <x:row r="30" ht="21" customHeight="1">
      <x:c r="A30" s="17" t="n">
        <x:f>Summary!B15</x:f>
        <x:v>46327</x:v>
      </x:c>
      <x:c r="B30" s="1" t="str">
        <x:f>'Current inventory'!A30</x:f>
        <x:v>60</x:v>
      </x:c>
      <x:c r="C30" s="1" t="str">
        <x:f>'Current inventory'!B30</x:f>
        <x:v>800BNAVBRC</x:v>
      </x:c>
      <x:c r="D30" s="7" t="n">
        <x:f>Summary!$D$5</x:f>
        <x:v>46304</x:v>
      </x:c>
      <x:c r="E30" s="8" t="n">
        <x:f>'Current inventory'!M30</x:f>
        <x:v>0</x:v>
      </x:c>
      <x:c r="F30" s="8" t="n">
        <x:f>'Current inventory'!N30</x:f>
        <x:v>0</x:v>
      </x:c>
      <x:c r="G30" s="8" t="n">
        <x:f>'Current inventory'!O30</x:f>
        <x:v>5800</x:v>
      </x:c>
      <x:c r="H30" s="8" t="n">
        <x:f>SUMIFS('PO detail'!$U$2:$U$672,'PO detail'!$A$2:$A$672,B30,'PO detail'!$B$2:$B$672,C30,'PO detail'!$G$2:$G$672,"&gt;="&amp;D30,'PO detail'!$G$2:$G$672,"&lt;"&amp;A30)</x:f>
        <x:v>0</x:v>
      </x:c>
      <x:c r="I30" s="8" t="n">
        <x:f>SUMIFS('PO detail'!$V$2:$V$672,'PO detail'!$A$2:$A$672,B30,'PO detail'!$B$2:$B$672,C30,'PO detail'!$G$2:$G$672,"&gt;="&amp;D30,'PO detail'!$G$2:$G$672,"&lt;"&amp;A30)</x:f>
        <x:v>0</x:v>
      </x:c>
      <x:c r="J30" s="8" t="n">
        <x:f>SUMIFS('PO detail'!$W$2:$W$672,'PO detail'!$A$2:$A$672,B30,'PO detail'!$B$2:$B$672,C30,'PO detail'!$G$2:$G$672,"&gt;="&amp;D30,'PO detail'!$G$2:$G$672,"&lt;"&amp;A30)</x:f>
        <x:v>0</x:v>
      </x:c>
      <x:c r="K30" s="8" t="n">
        <x:f>'Current inventory'!E30*Summary!$D$6*(A30-D30)/30.4375</x:f>
        <x:v>881.5904722792609</x:v>
      </x:c>
      <x:c r="L30" s="8" t="n">
        <x:f>MAX(0,E30+H30-K30)</x:f>
        <x:v>0</x:v>
      </x:c>
      <x:c r="M30" s="8" t="n">
        <x:f>MAX(0,F30+I30-MAX(0,K30-E30-H30))</x:f>
        <x:v>0</x:v>
      </x:c>
      <x:c r="N30" s="8" t="n">
        <x:f>MAX(0,G30+J30-K30)</x:f>
        <x:v>4918.409527720739</x:v>
      </x:c>
      <x:c r="O30" s="8" t="n">
        <x:f>SUM(L30:N30)</x:f>
        <x:v>4918.409527720739</x:v>
      </x:c>
      <x:c r="P30" s="14" t="n">
        <x:f>'Current inventory'!V30</x:f>
        <x:v>0.17370000000000002</x:v>
      </x:c>
      <x:c r="Q30" s="14" t="str">
        <x:f>'Current inventory'!W30</x:f>
        <x:v>n.a.</x:v>
      </x:c>
      <x:c r="R30" s="10" t="n">
        <x:f>L30*P30</x:f>
        <x:v>0</x:v>
      </x:c>
      <x:c r="S30" s="10" t="n">
        <x:f>M30*P30</x:f>
        <x:v>0</x:v>
      </x:c>
      <x:c r="T30" s="10" t="n">
        <x:f>N30*P30</x:f>
        <x:v>854.3277349650924</x:v>
      </x:c>
      <x:c r="U30" s="10" t="n">
        <x:f>O30*P30</x:f>
        <x:v>854.3277349650924</x:v>
      </x:c>
      <x:c r="V30" s="10" t="str">
        <x:f>IF(ISNUMBER(Q30),O30*(Q30-P30),"n.a.")</x:f>
        <x:v>n.a.</x:v>
      </x:c>
      <x:c r="W30" s="10" t="n">
        <x:f>IF(ISNUMBER(Q30),U30,0)</x:f>
        <x:v>0</x:v>
      </x:c>
      <x:c r="X30" s="8" t="n">
        <x:f>MAX(0,K30-SUM(E30:J30))</x:f>
        <x:v>0</x:v>
      </x:c>
      <x:c r="Y30" s="1" t="str">
        <x:f>IF(AND(O30&gt;0,NOT(ISNUMBER(Q30))),"No proposed replacement standard",IF(X30&gt;0,"Demand exceeds available stock",""))</x:f>
        <x:v>No proposed replacement standard</x:v>
      </x:c>
      <x:c r="Z30" s="1" t="n">
        <x:f>IF(ISNUMBER(Q30),1,0)</x:f>
        <x:v>0</x:v>
      </x:c>
    </x:row>
    <x:row r="31" ht="21" customHeight="1">
      <x:c r="A31" s="17" t="n">
        <x:f>Summary!B15</x:f>
        <x:v>46327</x:v>
      </x:c>
      <x:c r="B31" s="1" t="str">
        <x:f>'Current inventory'!A31</x:f>
        <x:v>10</x:v>
      </x:c>
      <x:c r="C31" s="1" t="str">
        <x:f>'Current inventory'!B31</x:f>
        <x:v>800BNAVCSC</x:v>
      </x:c>
      <x:c r="D31" s="7" t="n">
        <x:f>Summary!$D$5</x:f>
        <x:v>46304</x:v>
      </x:c>
      <x:c r="E31" s="8" t="n">
        <x:f>'Current inventory'!M31</x:f>
        <x:v>0</x:v>
      </x:c>
      <x:c r="F31" s="8" t="n">
        <x:f>'Current inventory'!N31</x:f>
        <x:v>0</x:v>
      </x:c>
      <x:c r="G31" s="8" t="n">
        <x:f>'Current inventory'!O31</x:f>
        <x:v>0</x:v>
      </x:c>
      <x:c r="H31" s="8" t="n">
        <x:f>SUMIFS('PO detail'!$U$2:$U$672,'PO detail'!$A$2:$A$672,B31,'PO detail'!$B$2:$B$672,C31,'PO detail'!$G$2:$G$672,"&gt;="&amp;D31,'PO detail'!$G$2:$G$672,"&lt;"&amp;A31)</x:f>
        <x:v>0</x:v>
      </x:c>
      <x:c r="I31" s="8" t="n">
        <x:f>SUMIFS('PO detail'!$V$2:$V$672,'PO detail'!$A$2:$A$672,B31,'PO detail'!$B$2:$B$672,C31,'PO detail'!$G$2:$G$672,"&gt;="&amp;D31,'PO detail'!$G$2:$G$672,"&lt;"&amp;A31)</x:f>
        <x:v>0</x:v>
      </x:c>
      <x:c r="J31" s="8" t="n">
        <x:f>SUMIFS('PO detail'!$W$2:$W$672,'PO detail'!$A$2:$A$672,B31,'PO detail'!$B$2:$B$672,C31,'PO detail'!$G$2:$G$672,"&gt;="&amp;D31,'PO detail'!$G$2:$G$672,"&lt;"&amp;A31)</x:f>
        <x:v>0</x:v>
      </x:c>
      <x:c r="K31" s="8" t="n">
        <x:f>'Current inventory'!E31*Summary!$D$6*(A31-D31)/30.4375</x:f>
        <x:v>818.614866529774</x:v>
      </x:c>
      <x:c r="L31" s="8" t="n">
        <x:f>MAX(0,E31+H31-K31)</x:f>
        <x:v>0</x:v>
      </x:c>
      <x:c r="M31" s="8" t="n">
        <x:f>MAX(0,F31+I31-MAX(0,K31-E31-H31))</x:f>
        <x:v>0</x:v>
      </x:c>
      <x:c r="N31" s="8" t="n">
        <x:f>MAX(0,G31+J31-K31)</x:f>
        <x:v>0</x:v>
      </x:c>
      <x:c r="O31" s="8" t="n">
        <x:f>SUM(L31:N31)</x:f>
        <x:v>0</x:v>
      </x:c>
      <x:c r="P31" s="14" t="n">
        <x:f>'Current inventory'!V31</x:f>
        <x:v>0.2022</x:v>
      </x:c>
      <x:c r="Q31" s="14" t="str">
        <x:f>'Current inventory'!W31</x:f>
        <x:v>n.a.</x:v>
      </x:c>
      <x:c r="R31" s="10" t="n">
        <x:f>L31*P31</x:f>
        <x:v>0</x:v>
      </x:c>
      <x:c r="S31" s="10" t="n">
        <x:f>M31*P31</x:f>
        <x:v>0</x:v>
      </x:c>
      <x:c r="T31" s="10" t="n">
        <x:f>N31*P31</x:f>
        <x:v>0</x:v>
      </x:c>
      <x:c r="U31" s="10" t="n">
        <x:f>O31*P31</x:f>
        <x:v>0</x:v>
      </x:c>
      <x:c r="V31" s="10" t="str">
        <x:f>IF(ISNUMBER(Q31),O31*(Q31-P31),"n.a.")</x:f>
        <x:v>n.a.</x:v>
      </x:c>
      <x:c r="W31" s="10" t="n">
        <x:f>IF(ISNUMBER(Q31),U31,0)</x:f>
        <x:v>0</x:v>
      </x:c>
      <x:c r="X31" s="8" t="n">
        <x:f>MAX(0,K31-SUM(E31:J31))</x:f>
        <x:v>818.614866529774</x:v>
      </x:c>
      <x:c r="Y31" s="1" t="str">
        <x:f>IF(AND(O31&gt;0,NOT(ISNUMBER(Q31))),"No proposed replacement standard",IF(X31&gt;0,"Demand exceeds available stock",""))</x:f>
        <x:v>Demand exceeds available stock</x:v>
      </x:c>
      <x:c r="Z31" s="1" t="n">
        <x:f>IF(ISNUMBER(Q31),1,0)</x:f>
        <x:v>0</x:v>
      </x:c>
    </x:row>
    <x:row r="32" ht="21" customHeight="1">
      <x:c r="A32" s="17" t="n">
        <x:f>Summary!B15</x:f>
        <x:v>46327</x:v>
      </x:c>
      <x:c r="B32" s="1" t="str">
        <x:f>'Current inventory'!A32</x:f>
        <x:v>30</x:v>
      </x:c>
      <x:c r="C32" s="1" t="str">
        <x:f>'Current inventory'!B32</x:f>
        <x:v>800BBLKCSC</x:v>
      </x:c>
      <x:c r="D32" s="7" t="n">
        <x:f>Summary!$D$5</x:f>
        <x:v>46304</x:v>
      </x:c>
      <x:c r="E32" s="8" t="n">
        <x:f>'Current inventory'!M32</x:f>
        <x:v>0</x:v>
      </x:c>
      <x:c r="F32" s="8" t="n">
        <x:f>'Current inventory'!N32</x:f>
        <x:v>0</x:v>
      </x:c>
      <x:c r="G32" s="8" t="n">
        <x:f>'Current inventory'!O32</x:f>
        <x:v>3600</x:v>
      </x:c>
      <x:c r="H32" s="8" t="n">
        <x:f>SUMIFS('PO detail'!$U$2:$U$672,'PO detail'!$A$2:$A$672,B32,'PO detail'!$B$2:$B$672,C32,'PO detail'!$G$2:$G$672,"&gt;="&amp;D32,'PO detail'!$G$2:$G$672,"&lt;"&amp;A32)</x:f>
        <x:v>0</x:v>
      </x:c>
      <x:c r="I32" s="8" t="n">
        <x:f>SUMIFS('PO detail'!$V$2:$V$672,'PO detail'!$A$2:$A$672,B32,'PO detail'!$B$2:$B$672,C32,'PO detail'!$G$2:$G$672,"&gt;="&amp;D32,'PO detail'!$G$2:$G$672,"&lt;"&amp;A32)</x:f>
        <x:v>0</x:v>
      </x:c>
      <x:c r="J32" s="8" t="n">
        <x:f>SUMIFS('PO detail'!$W$2:$W$672,'PO detail'!$A$2:$A$672,B32,'PO detail'!$B$2:$B$672,C32,'PO detail'!$G$2:$G$672,"&gt;="&amp;D32,'PO detail'!$G$2:$G$672,"&lt;"&amp;A32)</x:f>
        <x:v>0</x:v>
      </x:c>
      <x:c r="K32" s="8" t="n">
        <x:f>'Current inventory'!E32*Summary!$D$6*(A32-D32)/30.4375</x:f>
        <x:v>711.5699383983573</x:v>
      </x:c>
      <x:c r="L32" s="8" t="n">
        <x:f>MAX(0,E32+H32-K32)</x:f>
        <x:v>0</x:v>
      </x:c>
      <x:c r="M32" s="8" t="n">
        <x:f>MAX(0,F32+I32-MAX(0,K32-E32-H32))</x:f>
        <x:v>0</x:v>
      </x:c>
      <x:c r="N32" s="8" t="n">
        <x:f>MAX(0,G32+J32-K32)</x:f>
        <x:v>2888.4300616016426</x:v>
      </x:c>
      <x:c r="O32" s="8" t="n">
        <x:f>SUM(L32:N32)</x:f>
        <x:v>2888.4300616016426</x:v>
      </x:c>
      <x:c r="P32" s="14" t="n">
        <x:f>'Current inventory'!V32</x:f>
        <x:v>0.1957</x:v>
      </x:c>
      <x:c r="Q32" s="14" t="str">
        <x:f>'Current inventory'!W32</x:f>
        <x:v>n.a.</x:v>
      </x:c>
      <x:c r="R32" s="10" t="n">
        <x:f>L32*P32</x:f>
        <x:v>0</x:v>
      </x:c>
      <x:c r="S32" s="10" t="n">
        <x:f>M32*P32</x:f>
        <x:v>0</x:v>
      </x:c>
      <x:c r="T32" s="10" t="n">
        <x:f>N32*P32</x:f>
        <x:v>565.2657630554415</x:v>
      </x:c>
      <x:c r="U32" s="10" t="n">
        <x:f>O32*P32</x:f>
        <x:v>565.2657630554415</x:v>
      </x:c>
      <x:c r="V32" s="10" t="str">
        <x:f>IF(ISNUMBER(Q32),O32*(Q32-P32),"n.a.")</x:f>
        <x:v>n.a.</x:v>
      </x:c>
      <x:c r="W32" s="10" t="n">
        <x:f>IF(ISNUMBER(Q32),U32,0)</x:f>
        <x:v>0</x:v>
      </x:c>
      <x:c r="X32" s="8" t="n">
        <x:f>MAX(0,K32-SUM(E32:J32))</x:f>
        <x:v>0</x:v>
      </x:c>
      <x:c r="Y32" s="1" t="str">
        <x:f>IF(AND(O32&gt;0,NOT(ISNUMBER(Q32))),"No proposed replacement standard",IF(X32&gt;0,"Demand exceeds available stock",""))</x:f>
        <x:v>No proposed replacement standard</x:v>
      </x:c>
      <x:c r="Z32" s="1" t="n">
        <x:f>IF(ISNUMBER(Q32),1,0)</x:f>
        <x:v>0</x:v>
      </x:c>
    </x:row>
    <x:row r="33" ht="21" customHeight="1">
      <x:c r="A33" s="17" t="n">
        <x:f>Summary!B15</x:f>
        <x:v>46327</x:v>
      </x:c>
      <x:c r="B33" s="1" t="str">
        <x:f>'Current inventory'!A33</x:f>
        <x:v>60</x:v>
      </x:c>
      <x:c r="C33" s="1" t="str">
        <x:f>'Current inventory'!B33</x:f>
        <x:v>800BNAVCSC</x:v>
      </x:c>
      <x:c r="D33" s="7" t="n">
        <x:f>Summary!$D$5</x:f>
        <x:v>46304</x:v>
      </x:c>
      <x:c r="E33" s="8" t="n">
        <x:f>'Current inventory'!M33</x:f>
        <x:v>0</x:v>
      </x:c>
      <x:c r="F33" s="8" t="n">
        <x:f>'Current inventory'!N33</x:f>
        <x:v>0</x:v>
      </x:c>
      <x:c r="G33" s="8" t="n">
        <x:f>'Current inventory'!O33</x:f>
        <x:v>4000</x:v>
      </x:c>
      <x:c r="H33" s="8" t="n">
        <x:f>SUMIFS('PO detail'!$U$2:$U$672,'PO detail'!$A$2:$A$672,B33,'PO detail'!$B$2:$B$672,C33,'PO detail'!$G$2:$G$672,"&gt;="&amp;D33,'PO detail'!$G$2:$G$672,"&lt;"&amp;A33)</x:f>
        <x:v>0</x:v>
      </x:c>
      <x:c r="I33" s="8" t="n">
        <x:f>SUMIFS('PO detail'!$V$2:$V$672,'PO detail'!$A$2:$A$672,B33,'PO detail'!$B$2:$B$672,C33,'PO detail'!$G$2:$G$672,"&gt;="&amp;D33,'PO detail'!$G$2:$G$672,"&lt;"&amp;A33)</x:f>
        <x:v>0</x:v>
      </x:c>
      <x:c r="J33" s="8" t="n">
        <x:f>SUMIFS('PO detail'!$W$2:$W$672,'PO detail'!$A$2:$A$672,B33,'PO detail'!$B$2:$B$672,C33,'PO detail'!$G$2:$G$672,"&gt;="&amp;D33,'PO detail'!$G$2:$G$672,"&lt;"&amp;A33)</x:f>
        <x:v>0</x:v>
      </x:c>
      <x:c r="K33" s="8" t="n">
        <x:f>'Current inventory'!E33*Summary!$D$6*(A33-D33)/30.4375</x:f>
        <x:v>604.517453798768</x:v>
      </x:c>
      <x:c r="L33" s="8" t="n">
        <x:f>MAX(0,E33+H33-K33)</x:f>
        <x:v>0</x:v>
      </x:c>
      <x:c r="M33" s="8" t="n">
        <x:f>MAX(0,F33+I33-MAX(0,K33-E33-H33))</x:f>
        <x:v>0</x:v>
      </x:c>
      <x:c r="N33" s="8" t="n">
        <x:f>MAX(0,G33+J33-K33)</x:f>
        <x:v>3395.4825462012323</x:v>
      </x:c>
      <x:c r="O33" s="8" t="n">
        <x:f>SUM(L33:N33)</x:f>
        <x:v>3395.4825462012323</x:v>
      </x:c>
      <x:c r="P33" s="14" t="n">
        <x:f>'Current inventory'!V33</x:f>
        <x:v>0.2022</x:v>
      </x:c>
      <x:c r="Q33" s="14" t="str">
        <x:f>'Current inventory'!W33</x:f>
        <x:v>n.a.</x:v>
      </x:c>
      <x:c r="R33" s="10" t="n">
        <x:f>L33*P33</x:f>
        <x:v>0</x:v>
      </x:c>
      <x:c r="S33" s="10" t="n">
        <x:f>M33*P33</x:f>
        <x:v>0</x:v>
      </x:c>
      <x:c r="T33" s="10" t="n">
        <x:f>N33*P33</x:f>
        <x:v>686.5665708418891</x:v>
      </x:c>
      <x:c r="U33" s="10" t="n">
        <x:f>O33*P33</x:f>
        <x:v>686.5665708418891</x:v>
      </x:c>
      <x:c r="V33" s="10" t="str">
        <x:f>IF(ISNUMBER(Q33),O33*(Q33-P33),"n.a.")</x:f>
        <x:v>n.a.</x:v>
      </x:c>
      <x:c r="W33" s="10" t="n">
        <x:f>IF(ISNUMBER(Q33),U33,0)</x:f>
        <x:v>0</x:v>
      </x:c>
      <x:c r="X33" s="8" t="n">
        <x:f>MAX(0,K33-SUM(E33:J33))</x:f>
        <x:v>0</x:v>
      </x:c>
      <x:c r="Y33" s="1" t="str">
        <x:f>IF(AND(O33&gt;0,NOT(ISNUMBER(Q33))),"No proposed replacement standard",IF(X33&gt;0,"Demand exceeds available stock",""))</x:f>
        <x:v>No proposed replacement standard</x:v>
      </x:c>
      <x:c r="Z33" s="1" t="n">
        <x:f>IF(ISNUMBER(Q33),1,0)</x:f>
        <x:v>0</x:v>
      </x:c>
    </x:row>
    <x:row r="34" ht="21" customHeight="1">
      <x:c r="A34" s="17" t="n">
        <x:f>Summary!B15</x:f>
        <x:v>46327</x:v>
      </x:c>
      <x:c r="B34" s="1" t="str">
        <x:f>'Current inventory'!A34</x:f>
        <x:v>30</x:v>
      </x:c>
      <x:c r="C34" s="1" t="str">
        <x:f>'Current inventory'!B34</x:f>
        <x:v>800BNAVISC</x:v>
      </x:c>
      <x:c r="D34" s="7" t="n">
        <x:f>Summary!$D$5</x:f>
        <x:v>46304</x:v>
      </x:c>
      <x:c r="E34" s="8" t="n">
        <x:f>'Current inventory'!M34</x:f>
        <x:v>0</x:v>
      </x:c>
      <x:c r="F34" s="8" t="n">
        <x:f>'Current inventory'!N34</x:f>
        <x:v>0</x:v>
      </x:c>
      <x:c r="G34" s="8" t="n">
        <x:f>'Current inventory'!O34</x:f>
        <x:v>0</x:v>
      </x:c>
      <x:c r="H34" s="8" t="n">
        <x:f>SUMIFS('PO detail'!$U$2:$U$672,'PO detail'!$A$2:$A$672,B34,'PO detail'!$B$2:$B$672,C34,'PO detail'!$G$2:$G$672,"&gt;="&amp;D34,'PO detail'!$G$2:$G$672,"&lt;"&amp;A34)</x:f>
        <x:v>0</x:v>
      </x:c>
      <x:c r="I34" s="8" t="n">
        <x:f>SUMIFS('PO detail'!$V$2:$V$672,'PO detail'!$A$2:$A$672,B34,'PO detail'!$B$2:$B$672,C34,'PO detail'!$G$2:$G$672,"&gt;="&amp;D34,'PO detail'!$G$2:$G$672,"&lt;"&amp;A34)</x:f>
        <x:v>0</x:v>
      </x:c>
      <x:c r="J34" s="8" t="n">
        <x:f>SUMIFS('PO detail'!$W$2:$W$672,'PO detail'!$A$2:$A$672,B34,'PO detail'!$B$2:$B$672,C34,'PO detail'!$G$2:$G$672,"&gt;="&amp;D34,'PO detail'!$G$2:$G$672,"&lt;"&amp;A34)</x:f>
        <x:v>0</x:v>
      </x:c>
      <x:c r="K34" s="8" t="n">
        <x:f>'Current inventory'!E34*Summary!$D$6*(A34-D34)/30.4375</x:f>
        <x:v>453.388090349076</x:v>
      </x:c>
      <x:c r="L34" s="8" t="n">
        <x:f>MAX(0,E34+H34-K34)</x:f>
        <x:v>0</x:v>
      </x:c>
      <x:c r="M34" s="8" t="n">
        <x:f>MAX(0,F34+I34-MAX(0,K34-E34-H34))</x:f>
        <x:v>0</x:v>
      </x:c>
      <x:c r="N34" s="8" t="n">
        <x:f>MAX(0,G34+J34-K34)</x:f>
        <x:v>0</x:v>
      </x:c>
      <x:c r="O34" s="8" t="n">
        <x:f>SUM(L34:N34)</x:f>
        <x:v>0</x:v>
      </x:c>
      <x:c r="P34" s="14" t="n">
        <x:f>'Current inventory'!V34</x:f>
        <x:v>0.16870000000000002</x:v>
      </x:c>
      <x:c r="Q34" s="14" t="str">
        <x:f>'Current inventory'!W34</x:f>
        <x:v>n.a.</x:v>
      </x:c>
      <x:c r="R34" s="10" t="n">
        <x:f>L34*P34</x:f>
        <x:v>0</x:v>
      </x:c>
      <x:c r="S34" s="10" t="n">
        <x:f>M34*P34</x:f>
        <x:v>0</x:v>
      </x:c>
      <x:c r="T34" s="10" t="n">
        <x:f>N34*P34</x:f>
        <x:v>0</x:v>
      </x:c>
      <x:c r="U34" s="10" t="n">
        <x:f>O34*P34</x:f>
        <x:v>0</x:v>
      </x:c>
      <x:c r="V34" s="10" t="str">
        <x:f>IF(ISNUMBER(Q34),O34*(Q34-P34),"n.a.")</x:f>
        <x:v>n.a.</x:v>
      </x:c>
      <x:c r="W34" s="10" t="n">
        <x:f>IF(ISNUMBER(Q34),U34,0)</x:f>
        <x:v>0</x:v>
      </x:c>
      <x:c r="X34" s="8" t="n">
        <x:f>MAX(0,K34-SUM(E34:J34))</x:f>
        <x:v>453.388090349076</x:v>
      </x:c>
      <x:c r="Y34" s="1" t="str">
        <x:f>IF(AND(O34&gt;0,NOT(ISNUMBER(Q34))),"No proposed replacement standard",IF(X34&gt;0,"Demand exceeds available stock",""))</x:f>
        <x:v>Demand exceeds available stock</x:v>
      </x:c>
      <x:c r="Z34" s="1" t="n">
        <x:f>IF(ISNUMBER(Q34),1,0)</x:f>
        <x:v>0</x:v>
      </x:c>
    </x:row>
    <x:row r="35" ht="21" customHeight="1">
      <x:c r="A35" s="17" t="n">
        <x:f>Summary!B15</x:f>
        <x:v>46327</x:v>
      </x:c>
      <x:c r="B35" s="1" t="str">
        <x:f>'Current inventory'!A35</x:f>
        <x:v>10</x:v>
      </x:c>
      <x:c r="C35" s="1" t="str">
        <x:f>'Current inventory'!B35</x:f>
        <x:v>800BMARDSC</x:v>
      </x:c>
      <x:c r="D35" s="7" t="n">
        <x:f>Summary!$D$5</x:f>
        <x:v>46304</x:v>
      </x:c>
      <x:c r="E35" s="8" t="n">
        <x:f>'Current inventory'!M35</x:f>
        <x:v>0</x:v>
      </x:c>
      <x:c r="F35" s="8" t="n">
        <x:f>'Current inventory'!N35</x:f>
        <x:v>0</x:v>
      </x:c>
      <x:c r="G35" s="8" t="n">
        <x:f>'Current inventory'!O35</x:f>
        <x:v>0</x:v>
      </x:c>
      <x:c r="H35" s="8" t="n">
        <x:f>SUMIFS('PO detail'!$U$2:$U$672,'PO detail'!$A$2:$A$672,B35,'PO detail'!$B$2:$B$672,C35,'PO detail'!$G$2:$G$672,"&gt;="&amp;D35,'PO detail'!$G$2:$G$672,"&lt;"&amp;A35)</x:f>
        <x:v>0</x:v>
      </x:c>
      <x:c r="I35" s="8" t="n">
        <x:f>SUMIFS('PO detail'!$V$2:$V$672,'PO detail'!$A$2:$A$672,B35,'PO detail'!$B$2:$B$672,C35,'PO detail'!$G$2:$G$672,"&gt;="&amp;D35,'PO detail'!$G$2:$G$672,"&lt;"&amp;A35)</x:f>
        <x:v>0</x:v>
      </x:c>
      <x:c r="J35" s="8" t="n">
        <x:f>SUMIFS('PO detail'!$W$2:$W$672,'PO detail'!$A$2:$A$672,B35,'PO detail'!$B$2:$B$672,C35,'PO detail'!$G$2:$G$672,"&gt;="&amp;D35,'PO detail'!$G$2:$G$672,"&lt;"&amp;A35)</x:f>
        <x:v>0</x:v>
      </x:c>
      <x:c r="K35" s="8" t="n">
        <x:f>'Current inventory'!E35*Summary!$D$6*(A35-D35)/30.4375</x:f>
        <x:v>346.34316221765914</x:v>
      </x:c>
      <x:c r="L35" s="8" t="n">
        <x:f>MAX(0,E35+H35-K35)</x:f>
        <x:v>0</x:v>
      </x:c>
      <x:c r="M35" s="8" t="n">
        <x:f>MAX(0,F35+I35-MAX(0,K35-E35-H35))</x:f>
        <x:v>0</x:v>
      </x:c>
      <x:c r="N35" s="8" t="n">
        <x:f>MAX(0,G35+J35-K35)</x:f>
        <x:v>0</x:v>
      </x:c>
      <x:c r="O35" s="8" t="n">
        <x:f>SUM(L35:N35)</x:f>
        <x:v>0</x:v>
      </x:c>
      <x:c r="P35" s="14" t="n">
        <x:f>'Current inventory'!V35</x:f>
        <x:v>0.3998</x:v>
      </x:c>
      <x:c r="Q35" s="14" t="str">
        <x:f>'Current inventory'!W35</x:f>
        <x:v>n.a.</x:v>
      </x:c>
      <x:c r="R35" s="10" t="n">
        <x:f>L35*P35</x:f>
        <x:v>0</x:v>
      </x:c>
      <x:c r="S35" s="10" t="n">
        <x:f>M35*P35</x:f>
        <x:v>0</x:v>
      </x:c>
      <x:c r="T35" s="10" t="n">
        <x:f>N35*P35</x:f>
        <x:v>0</x:v>
      </x:c>
      <x:c r="U35" s="10" t="n">
        <x:f>O35*P35</x:f>
        <x:v>0</x:v>
      </x:c>
      <x:c r="V35" s="10" t="str">
        <x:f>IF(ISNUMBER(Q35),O35*(Q35-P35),"n.a.")</x:f>
        <x:v>n.a.</x:v>
      </x:c>
      <x:c r="W35" s="10" t="n">
        <x:f>IF(ISNUMBER(Q35),U35,0)</x:f>
        <x:v>0</x:v>
      </x:c>
      <x:c r="X35" s="8" t="n">
        <x:f>MAX(0,K35-SUM(E35:J35))</x:f>
        <x:v>346.34316221765914</x:v>
      </x:c>
      <x:c r="Y35" s="1" t="str">
        <x:f>IF(AND(O35&gt;0,NOT(ISNUMBER(Q35))),"No proposed replacement standard",IF(X35&gt;0,"Demand exceeds available stock",""))</x:f>
        <x:v>Demand exceeds available stock</x:v>
      </x:c>
      <x:c r="Z35" s="1" t="n">
        <x:f>IF(ISNUMBER(Q35),1,0)</x:f>
        <x:v>0</x:v>
      </x:c>
    </x:row>
    <x:row r="36" ht="21" customHeight="1">
      <x:c r="A36" s="17" t="n">
        <x:f>Summary!B15</x:f>
        <x:v>46327</x:v>
      </x:c>
      <x:c r="B36" s="1" t="str">
        <x:f>'Current inventory'!A36</x:f>
        <x:v>10</x:v>
      </x:c>
      <x:c r="C36" s="1" t="str">
        <x:f>'Current inventory'!B36</x:f>
        <x:v>800BMARISC</x:v>
      </x:c>
      <x:c r="D36" s="7" t="n">
        <x:f>Summary!$D$5</x:f>
        <x:v>46304</x:v>
      </x:c>
      <x:c r="E36" s="8" t="n">
        <x:f>'Current inventory'!M36</x:f>
        <x:v>0</x:v>
      </x:c>
      <x:c r="F36" s="8" t="n">
        <x:f>'Current inventory'!N36</x:f>
        <x:v>0</x:v>
      </x:c>
      <x:c r="G36" s="8" t="n">
        <x:f>'Current inventory'!O36</x:f>
        <x:v>1900</x:v>
      </x:c>
      <x:c r="H36" s="8" t="n">
        <x:f>SUMIFS('PO detail'!$U$2:$U$672,'PO detail'!$A$2:$A$672,B36,'PO detail'!$B$2:$B$672,C36,'PO detail'!$G$2:$G$672,"&gt;="&amp;D36,'PO detail'!$G$2:$G$672,"&lt;"&amp;A36)</x:f>
        <x:v>0</x:v>
      </x:c>
      <x:c r="I36" s="8" t="n">
        <x:f>SUMIFS('PO detail'!$V$2:$V$672,'PO detail'!$A$2:$A$672,B36,'PO detail'!$B$2:$B$672,C36,'PO detail'!$G$2:$G$672,"&gt;="&amp;D36,'PO detail'!$G$2:$G$672,"&lt;"&amp;A36)</x:f>
        <x:v>0</x:v>
      </x:c>
      <x:c r="J36" s="8" t="n">
        <x:f>SUMIFS('PO detail'!$W$2:$W$672,'PO detail'!$A$2:$A$672,B36,'PO detail'!$B$2:$B$672,C36,'PO detail'!$G$2:$G$672,"&gt;="&amp;D36,'PO detail'!$G$2:$G$672,"&lt;"&amp;A36)</x:f>
        <x:v>0</x:v>
      </x:c>
      <x:c r="K36" s="8" t="n">
        <x:f>'Current inventory'!E36*Summary!$D$6*(A36-D36)/30.4375</x:f>
        <x:v>340.04106776180697</x:v>
      </x:c>
      <x:c r="L36" s="8" t="n">
        <x:f>MAX(0,E36+H36-K36)</x:f>
        <x:v>0</x:v>
      </x:c>
      <x:c r="M36" s="8" t="n">
        <x:f>MAX(0,F36+I36-MAX(0,K36-E36-H36))</x:f>
        <x:v>0</x:v>
      </x:c>
      <x:c r="N36" s="8" t="n">
        <x:f>MAX(0,G36+J36-K36)</x:f>
        <x:v>1559.958932238193</x:v>
      </x:c>
      <x:c r="O36" s="8" t="n">
        <x:f>SUM(L36:N36)</x:f>
        <x:v>1559.958932238193</x:v>
      </x:c>
      <x:c r="P36" s="14" t="n">
        <x:f>'Current inventory'!V36</x:f>
        <x:v>0.1946</x:v>
      </x:c>
      <x:c r="Q36" s="14" t="str">
        <x:f>'Current inventory'!W36</x:f>
        <x:v>n.a.</x:v>
      </x:c>
      <x:c r="R36" s="10" t="n">
        <x:f>L36*P36</x:f>
        <x:v>0</x:v>
      </x:c>
      <x:c r="S36" s="10" t="n">
        <x:f>M36*P36</x:f>
        <x:v>0</x:v>
      </x:c>
      <x:c r="T36" s="10" t="n">
        <x:f>N36*P36</x:f>
        <x:v>303.56800821355233</x:v>
      </x:c>
      <x:c r="U36" s="10" t="n">
        <x:f>O36*P36</x:f>
        <x:v>303.56800821355233</x:v>
      </x:c>
      <x:c r="V36" s="10" t="str">
        <x:f>IF(ISNUMBER(Q36),O36*(Q36-P36),"n.a.")</x:f>
        <x:v>n.a.</x:v>
      </x:c>
      <x:c r="W36" s="10" t="n">
        <x:f>IF(ISNUMBER(Q36),U36,0)</x:f>
        <x:v>0</x:v>
      </x:c>
      <x:c r="X36" s="8" t="n">
        <x:f>MAX(0,K36-SUM(E36:J36))</x:f>
        <x:v>0</x:v>
      </x:c>
      <x:c r="Y36" s="1" t="str">
        <x:f>IF(AND(O36&gt;0,NOT(ISNUMBER(Q36))),"No proposed replacement standard",IF(X36&gt;0,"Demand exceeds available stock",""))</x:f>
        <x:v>No proposed replacement standard</x:v>
      </x:c>
      <x:c r="Z36" s="1" t="n">
        <x:f>IF(ISNUMBER(Q36),1,0)</x:f>
        <x:v>0</x:v>
      </x:c>
    </x:row>
    <x:row r="37" ht="21" customHeight="1">
      <x:c r="A37" s="17" t="n">
        <x:f>Summary!B15</x:f>
        <x:v>46327</x:v>
      </x:c>
      <x:c r="B37" s="1" t="str">
        <x:f>'Current inventory'!A37</x:f>
        <x:v>30</x:v>
      </x:c>
      <x:c r="C37" s="1" t="str">
        <x:f>'Current inventory'!B37</x:f>
        <x:v>800BNAVBRC</x:v>
      </x:c>
      <x:c r="D37" s="7" t="n">
        <x:f>Summary!$D$5</x:f>
        <x:v>46304</x:v>
      </x:c>
      <x:c r="E37" s="8" t="n">
        <x:f>'Current inventory'!M37</x:f>
        <x:v>0</x:v>
      </x:c>
      <x:c r="F37" s="8" t="n">
        <x:f>'Current inventory'!N37</x:f>
        <x:v>0</x:v>
      </x:c>
      <x:c r="G37" s="8" t="n">
        <x:f>'Current inventory'!O37</x:f>
        <x:v>1700</x:v>
      </x:c>
      <x:c r="H37" s="8" t="n">
        <x:f>SUMIFS('PO detail'!$U$2:$U$672,'PO detail'!$A$2:$A$672,B37,'PO detail'!$B$2:$B$672,C37,'PO detail'!$G$2:$G$672,"&gt;="&amp;D37,'PO detail'!$G$2:$G$672,"&lt;"&amp;A37)</x:f>
        <x:v>0</x:v>
      </x:c>
      <x:c r="I37" s="8" t="n">
        <x:f>SUMIFS('PO detail'!$V$2:$V$672,'PO detail'!$A$2:$A$672,B37,'PO detail'!$B$2:$B$672,C37,'PO detail'!$G$2:$G$672,"&gt;="&amp;D37,'PO detail'!$G$2:$G$672,"&lt;"&amp;A37)</x:f>
        <x:v>0</x:v>
      </x:c>
      <x:c r="J37" s="8" t="n">
        <x:f>SUMIFS('PO detail'!$W$2:$W$672,'PO detail'!$A$2:$A$672,B37,'PO detail'!$B$2:$B$672,C37,'PO detail'!$G$2:$G$672,"&gt;="&amp;D37,'PO detail'!$G$2:$G$672,"&lt;"&amp;A37)</x:f>
        <x:v>0</x:v>
      </x:c>
      <x:c r="K37" s="8" t="n">
        <x:f>'Current inventory'!E37*Summary!$D$6*(A37-D37)/30.4375</x:f>
        <x:v>302.258726899384</x:v>
      </x:c>
      <x:c r="L37" s="8" t="n">
        <x:f>MAX(0,E37+H37-K37)</x:f>
        <x:v>0</x:v>
      </x:c>
      <x:c r="M37" s="8" t="n">
        <x:f>MAX(0,F37+I37-MAX(0,K37-E37-H37))</x:f>
        <x:v>0</x:v>
      </x:c>
      <x:c r="N37" s="8" t="n">
        <x:f>MAX(0,G37+J37-K37)</x:f>
        <x:v>1397.7412731006161</x:v>
      </x:c>
      <x:c r="O37" s="8" t="n">
        <x:f>SUM(L37:N37)</x:f>
        <x:v>1397.7412731006161</x:v>
      </x:c>
      <x:c r="P37" s="14" t="n">
        <x:f>'Current inventory'!V37</x:f>
        <x:v>0.17370000000000002</x:v>
      </x:c>
      <x:c r="Q37" s="14" t="str">
        <x:f>'Current inventory'!W37</x:f>
        <x:v>n.a.</x:v>
      </x:c>
      <x:c r="R37" s="10" t="n">
        <x:f>L37*P37</x:f>
        <x:v>0</x:v>
      </x:c>
      <x:c r="S37" s="10" t="n">
        <x:f>M37*P37</x:f>
        <x:v>0</x:v>
      </x:c>
      <x:c r="T37" s="10" t="n">
        <x:f>N37*P37</x:f>
        <x:v>242.78765913757704</x:v>
      </x:c>
      <x:c r="U37" s="10" t="n">
        <x:f>O37*P37</x:f>
        <x:v>242.78765913757704</x:v>
      </x:c>
      <x:c r="V37" s="10" t="str">
        <x:f>IF(ISNUMBER(Q37),O37*(Q37-P37),"n.a.")</x:f>
        <x:v>n.a.</x:v>
      </x:c>
      <x:c r="W37" s="10" t="n">
        <x:f>IF(ISNUMBER(Q37),U37,0)</x:f>
        <x:v>0</x:v>
      </x:c>
      <x:c r="X37" s="8" t="n">
        <x:f>MAX(0,K37-SUM(E37:J37))</x:f>
        <x:v>0</x:v>
      </x:c>
      <x:c r="Y37" s="1" t="str">
        <x:f>IF(AND(O37&gt;0,NOT(ISNUMBER(Q37))),"No proposed replacement standard",IF(X37&gt;0,"Demand exceeds available stock",""))</x:f>
        <x:v>No proposed replacement standard</x:v>
      </x:c>
      <x:c r="Z37" s="1" t="n">
        <x:f>IF(ISNUMBER(Q37),1,0)</x:f>
        <x:v>0</x:v>
      </x:c>
    </x:row>
    <x:row r="38" ht="21" customHeight="1">
      <x:c r="A38" s="17" t="n">
        <x:f>Summary!B15</x:f>
        <x:v>46327</x:v>
      </x:c>
      <x:c r="B38" s="1" t="str">
        <x:f>'Current inventory'!A38</x:f>
        <x:v>10</x:v>
      </x:c>
      <x:c r="C38" s="1" t="str">
        <x:f>'Current inventory'!B38</x:f>
        <x:v>800BMARBRC</x:v>
      </x:c>
      <x:c r="D38" s="7" t="n">
        <x:f>Summary!$D$5</x:f>
        <x:v>46304</x:v>
      </x:c>
      <x:c r="E38" s="8" t="n">
        <x:f>'Current inventory'!M38</x:f>
        <x:v>0</x:v>
      </x:c>
      <x:c r="F38" s="8" t="n">
        <x:f>'Current inventory'!N38</x:f>
        <x:v>0</x:v>
      </x:c>
      <x:c r="G38" s="8" t="n">
        <x:f>'Current inventory'!O38</x:f>
        <x:v>3400</x:v>
      </x:c>
      <x:c r="H38" s="8" t="n">
        <x:f>SUMIFS('PO detail'!$U$2:$U$672,'PO detail'!$A$2:$A$672,B38,'PO detail'!$B$2:$B$672,C38,'PO detail'!$G$2:$G$672,"&gt;="&amp;D38,'PO detail'!$G$2:$G$672,"&lt;"&amp;A38)</x:f>
        <x:v>0</x:v>
      </x:c>
      <x:c r="I38" s="8" t="n">
        <x:f>SUMIFS('PO detail'!$V$2:$V$672,'PO detail'!$A$2:$A$672,B38,'PO detail'!$B$2:$B$672,C38,'PO detail'!$G$2:$G$672,"&gt;="&amp;D38,'PO detail'!$G$2:$G$672,"&lt;"&amp;A38)</x:f>
        <x:v>0</x:v>
      </x:c>
      <x:c r="J38" s="8" t="n">
        <x:f>SUMIFS('PO detail'!$W$2:$W$672,'PO detail'!$A$2:$A$672,B38,'PO detail'!$B$2:$B$672,C38,'PO detail'!$G$2:$G$672,"&gt;="&amp;D38,'PO detail'!$G$2:$G$672,"&lt;"&amp;A38)</x:f>
        <x:v>0</x:v>
      </x:c>
      <x:c r="K38" s="8" t="n">
        <x:f>'Current inventory'!E38*Summary!$D$6*(A38-D38)/30.4375</x:f>
        <x:v>283.3675564681725</x:v>
      </x:c>
      <x:c r="L38" s="8" t="n">
        <x:f>MAX(0,E38+H38-K38)</x:f>
        <x:v>0</x:v>
      </x:c>
      <x:c r="M38" s="8" t="n">
        <x:f>MAX(0,F38+I38-MAX(0,K38-E38-H38))</x:f>
        <x:v>0</x:v>
      </x:c>
      <x:c r="N38" s="8" t="n">
        <x:f>MAX(0,G38+J38-K38)</x:f>
        <x:v>3116.6324435318274</x:v>
      </x:c>
      <x:c r="O38" s="8" t="n">
        <x:f>SUM(L38:N38)</x:f>
        <x:v>3116.6324435318274</x:v>
      </x:c>
      <x:c r="P38" s="14" t="n">
        <x:f>'Current inventory'!V38</x:f>
        <x:v>0.1996</x:v>
      </x:c>
      <x:c r="Q38" s="14" t="str">
        <x:f>'Current inventory'!W38</x:f>
        <x:v>n.a.</x:v>
      </x:c>
      <x:c r="R38" s="10" t="n">
        <x:f>L38*P38</x:f>
        <x:v>0</x:v>
      </x:c>
      <x:c r="S38" s="10" t="n">
        <x:f>M38*P38</x:f>
        <x:v>0</x:v>
      </x:c>
      <x:c r="T38" s="10" t="n">
        <x:f>N38*P38</x:f>
        <x:v>622.0798357289527</x:v>
      </x:c>
      <x:c r="U38" s="10" t="n">
        <x:f>O38*P38</x:f>
        <x:v>622.0798357289527</x:v>
      </x:c>
      <x:c r="V38" s="10" t="str">
        <x:f>IF(ISNUMBER(Q38),O38*(Q38-P38),"n.a.")</x:f>
        <x:v>n.a.</x:v>
      </x:c>
      <x:c r="W38" s="10" t="n">
        <x:f>IF(ISNUMBER(Q38),U38,0)</x:f>
        <x:v>0</x:v>
      </x:c>
      <x:c r="X38" s="8" t="n">
        <x:f>MAX(0,K38-SUM(E38:J38))</x:f>
        <x:v>0</x:v>
      </x:c>
      <x:c r="Y38" s="1" t="str">
        <x:f>IF(AND(O38&gt;0,NOT(ISNUMBER(Q38))),"No proposed replacement standard",IF(X38&gt;0,"Demand exceeds available stock",""))</x:f>
        <x:v>No proposed replacement standard</x:v>
      </x:c>
      <x:c r="Z38" s="1" t="n">
        <x:f>IF(ISNUMBER(Q38),1,0)</x:f>
        <x:v>0</x:v>
      </x:c>
    </x:row>
    <x:row r="39" ht="21" customHeight="1">
      <x:c r="A39" s="17" t="n">
        <x:f>Summary!B15</x:f>
        <x:v>46327</x:v>
      </x:c>
      <x:c r="B39" s="1" t="str">
        <x:f>'Current inventory'!A39</x:f>
        <x:v>30</x:v>
      </x:c>
      <x:c r="C39" s="1" t="str">
        <x:f>'Current inventory'!B39</x:f>
        <x:v>800BBLKBRC</x:v>
      </x:c>
      <x:c r="D39" s="7" t="n">
        <x:f>Summary!$D$5</x:f>
        <x:v>46304</x:v>
      </x:c>
      <x:c r="E39" s="8" t="n">
        <x:f>'Current inventory'!M39</x:f>
        <x:v>0</x:v>
      </x:c>
      <x:c r="F39" s="8" t="n">
        <x:f>'Current inventory'!N39</x:f>
        <x:v>0</x:v>
      </x:c>
      <x:c r="G39" s="8" t="n">
        <x:f>'Current inventory'!O39</x:f>
        <x:v>1900</x:v>
      </x:c>
      <x:c r="H39" s="8" t="n">
        <x:f>SUMIFS('PO detail'!$U$2:$U$672,'PO detail'!$A$2:$A$672,B39,'PO detail'!$B$2:$B$672,C39,'PO detail'!$G$2:$G$672,"&gt;="&amp;D39,'PO detail'!$G$2:$G$672,"&lt;"&amp;A39)</x:f>
        <x:v>0</x:v>
      </x:c>
      <x:c r="I39" s="8" t="n">
        <x:f>SUMIFS('PO detail'!$V$2:$V$672,'PO detail'!$A$2:$A$672,B39,'PO detail'!$B$2:$B$672,C39,'PO detail'!$G$2:$G$672,"&gt;="&amp;D39,'PO detail'!$G$2:$G$672,"&lt;"&amp;A39)</x:f>
        <x:v>0</x:v>
      </x:c>
      <x:c r="J39" s="8" t="n">
        <x:f>SUMIFS('PO detail'!$W$2:$W$672,'PO detail'!$A$2:$A$672,B39,'PO detail'!$B$2:$B$672,C39,'PO detail'!$G$2:$G$672,"&gt;="&amp;D39,'PO detail'!$G$2:$G$672,"&lt;"&amp;A39)</x:f>
        <x:v>0</x:v>
      </x:c>
      <x:c r="K39" s="8" t="n">
        <x:f>'Current inventory'!E39*Summary!$D$6*(A39-D39)/30.4375</x:f>
        <x:v>151.129363449692</x:v>
      </x:c>
      <x:c r="L39" s="8" t="n">
        <x:f>MAX(0,E39+H39-K39)</x:f>
        <x:v>0</x:v>
      </x:c>
      <x:c r="M39" s="8" t="n">
        <x:f>MAX(0,F39+I39-MAX(0,K39-E39-H39))</x:f>
        <x:v>0</x:v>
      </x:c>
      <x:c r="N39" s="8" t="n">
        <x:f>MAX(0,G39+J39-K39)</x:f>
        <x:v>1748.870636550308</x:v>
      </x:c>
      <x:c r="O39" s="8" t="n">
        <x:f>SUM(L39:N39)</x:f>
        <x:v>1748.870636550308</x:v>
      </x:c>
      <x:c r="P39" s="14" t="n">
        <x:f>'Current inventory'!V39</x:f>
        <x:v>0.16829999999999998</x:v>
      </x:c>
      <x:c r="Q39" s="14" t="str">
        <x:f>'Current inventory'!W39</x:f>
        <x:v>n.a.</x:v>
      </x:c>
      <x:c r="R39" s="10" t="n">
        <x:f>L39*P39</x:f>
        <x:v>0</x:v>
      </x:c>
      <x:c r="S39" s="10" t="n">
        <x:f>M39*P39</x:f>
        <x:v>0</x:v>
      </x:c>
      <x:c r="T39" s="10" t="n">
        <x:f>N39*P39</x:f>
        <x:v>294.3349281314168</x:v>
      </x:c>
      <x:c r="U39" s="10" t="n">
        <x:f>O39*P39</x:f>
        <x:v>294.3349281314168</x:v>
      </x:c>
      <x:c r="V39" s="10" t="str">
        <x:f>IF(ISNUMBER(Q39),O39*(Q39-P39),"n.a.")</x:f>
        <x:v>n.a.</x:v>
      </x:c>
      <x:c r="W39" s="10" t="n">
        <x:f>IF(ISNUMBER(Q39),U39,0)</x:f>
        <x:v>0</x:v>
      </x:c>
      <x:c r="X39" s="8" t="n">
        <x:f>MAX(0,K39-SUM(E39:J39))</x:f>
        <x:v>0</x:v>
      </x:c>
      <x:c r="Y39" s="1" t="str">
        <x:f>IF(AND(O39&gt;0,NOT(ISNUMBER(Q39))),"No proposed replacement standard",IF(X39&gt;0,"Demand exceeds available stock",""))</x:f>
        <x:v>No proposed replacement standard</x:v>
      </x:c>
      <x:c r="Z39" s="1" t="n">
        <x:f>IF(ISNUMBER(Q39),1,0)</x:f>
        <x:v>0</x:v>
      </x:c>
    </x:row>
    <x:row r="40" ht="21" customHeight="1">
      <x:c r="A40" s="17" t="n">
        <x:f>Summary!B15</x:f>
        <x:v>46327</x:v>
      </x:c>
      <x:c r="B40" s="1" t="str">
        <x:f>'Current inventory'!A40</x:f>
        <x:v>30</x:v>
      </x:c>
      <x:c r="C40" s="1" t="str">
        <x:f>'Current inventory'!B40</x:f>
        <x:v>800BNAVCSC</x:v>
      </x:c>
      <x:c r="D40" s="7" t="n">
        <x:f>Summary!$D$5</x:f>
        <x:v>46304</x:v>
      </x:c>
      <x:c r="E40" s="8" t="n">
        <x:f>'Current inventory'!M40</x:f>
        <x:v>0</x:v>
      </x:c>
      <x:c r="F40" s="8" t="n">
        <x:f>'Current inventory'!N40</x:f>
        <x:v>0</x:v>
      </x:c>
      <x:c r="G40" s="8" t="n">
        <x:f>'Current inventory'!O40</x:f>
        <x:v>200</x:v>
      </x:c>
      <x:c r="H40" s="8" t="n">
        <x:f>SUMIFS('PO detail'!$U$2:$U$672,'PO detail'!$A$2:$A$672,B40,'PO detail'!$B$2:$B$672,C40,'PO detail'!$G$2:$G$672,"&gt;="&amp;D40,'PO detail'!$G$2:$G$672,"&lt;"&amp;A40)</x:f>
        <x:v>0</x:v>
      </x:c>
      <x:c r="I40" s="8" t="n">
        <x:f>SUMIFS('PO detail'!$V$2:$V$672,'PO detail'!$A$2:$A$672,B40,'PO detail'!$B$2:$B$672,C40,'PO detail'!$G$2:$G$672,"&gt;="&amp;D40,'PO detail'!$G$2:$G$672,"&lt;"&amp;A40)</x:f>
        <x:v>0</x:v>
      </x:c>
      <x:c r="J40" s="8" t="n">
        <x:f>SUMIFS('PO detail'!$W$2:$W$672,'PO detail'!$A$2:$A$672,B40,'PO detail'!$B$2:$B$672,C40,'PO detail'!$G$2:$G$672,"&gt;="&amp;D40,'PO detail'!$G$2:$G$672,"&lt;"&amp;A40)</x:f>
        <x:v>0</x:v>
      </x:c>
      <x:c r="K40" s="8" t="n">
        <x:f>'Current inventory'!E40*Summary!$D$6*(A40-D40)/30.4375</x:f>
        <x:v>138.53273100616016</x:v>
      </x:c>
      <x:c r="L40" s="8" t="n">
        <x:f>MAX(0,E40+H40-K40)</x:f>
        <x:v>0</x:v>
      </x:c>
      <x:c r="M40" s="8" t="n">
        <x:f>MAX(0,F40+I40-MAX(0,K40-E40-H40))</x:f>
        <x:v>0</x:v>
      </x:c>
      <x:c r="N40" s="8" t="n">
        <x:f>MAX(0,G40+J40-K40)</x:f>
        <x:v>61.46726899383984</x:v>
      </x:c>
      <x:c r="O40" s="8" t="n">
        <x:f>SUM(L40:N40)</x:f>
        <x:v>61.46726899383984</x:v>
      </x:c>
      <x:c r="P40" s="14" t="n">
        <x:f>'Current inventory'!V40</x:f>
        <x:v>0.2022</x:v>
      </x:c>
      <x:c r="Q40" s="14" t="str">
        <x:f>'Current inventory'!W40</x:f>
        <x:v>n.a.</x:v>
      </x:c>
      <x:c r="R40" s="10" t="n">
        <x:f>L40*P40</x:f>
        <x:v>0</x:v>
      </x:c>
      <x:c r="S40" s="10" t="n">
        <x:f>M40*P40</x:f>
        <x:v>0</x:v>
      </x:c>
      <x:c r="T40" s="10" t="n">
        <x:f>N40*P40</x:f>
        <x:v>12.428681790554414</x:v>
      </x:c>
      <x:c r="U40" s="10" t="n">
        <x:f>O40*P40</x:f>
        <x:v>12.428681790554414</x:v>
      </x:c>
      <x:c r="V40" s="10" t="str">
        <x:f>IF(ISNUMBER(Q40),O40*(Q40-P40),"n.a.")</x:f>
        <x:v>n.a.</x:v>
      </x:c>
      <x:c r="W40" s="10" t="n">
        <x:f>IF(ISNUMBER(Q40),U40,0)</x:f>
        <x:v>0</x:v>
      </x:c>
      <x:c r="X40" s="8" t="n">
        <x:f>MAX(0,K40-SUM(E40:J40))</x:f>
        <x:v>0</x:v>
      </x:c>
      <x:c r="Y40" s="1" t="str">
        <x:f>IF(AND(O40&gt;0,NOT(ISNUMBER(Q40))),"No proposed replacement standard",IF(X40&gt;0,"Demand exceeds available stock",""))</x:f>
        <x:v>No proposed replacement standard</x:v>
      </x:c>
      <x:c r="Z40" s="1" t="n">
        <x:f>IF(ISNUMBER(Q40),1,0)</x:f>
        <x:v>0</x:v>
      </x:c>
    </x:row>
    <x:row r="41" ht="21" customHeight="1">
      <x:c r="A41" s="17" t="n">
        <x:f>Summary!B15</x:f>
        <x:v>46327</x:v>
      </x:c>
      <x:c r="B41" s="1" t="str">
        <x:f>'Current inventory'!A41</x:f>
        <x:v>10</x:v>
      </x:c>
      <x:c r="C41" s="1" t="str">
        <x:f>'Current inventory'!B41</x:f>
        <x:v>800MARE</x:v>
      </x:c>
      <x:c r="D41" s="7" t="n">
        <x:f>Summary!$D$5</x:f>
        <x:v>46304</x:v>
      </x:c>
      <x:c r="E41" s="8" t="n">
        <x:f>'Current inventory'!M41</x:f>
        <x:v>1166</x:v>
      </x:c>
      <x:c r="F41" s="8" t="n">
        <x:f>'Current inventory'!N41</x:f>
        <x:v>0</x:v>
      </x:c>
      <x:c r="G41" s="8" t="n">
        <x:f>'Current inventory'!O41</x:f>
        <x:v>0</x:v>
      </x:c>
      <x:c r="H41" s="8" t="n">
        <x:f>SUMIFS('PO detail'!$U$2:$U$672,'PO detail'!$A$2:$A$672,B41,'PO detail'!$B$2:$B$672,C41,'PO detail'!$G$2:$G$672,"&gt;="&amp;D41,'PO detail'!$G$2:$G$672,"&lt;"&amp;A41)</x:f>
        <x:v>0</x:v>
      </x:c>
      <x:c r="I41" s="8" t="n">
        <x:f>SUMIFS('PO detail'!$V$2:$V$672,'PO detail'!$A$2:$A$672,B41,'PO detail'!$B$2:$B$672,C41,'PO detail'!$G$2:$G$672,"&gt;="&amp;D41,'PO detail'!$G$2:$G$672,"&lt;"&amp;A41)</x:f>
        <x:v>0</x:v>
      </x:c>
      <x:c r="J41" s="8" t="n">
        <x:f>SUMIFS('PO detail'!$W$2:$W$672,'PO detail'!$A$2:$A$672,B41,'PO detail'!$B$2:$B$672,C41,'PO detail'!$G$2:$G$672,"&gt;="&amp;D41,'PO detail'!$G$2:$G$672,"&lt;"&amp;A41)</x:f>
        <x:v>0</x:v>
      </x:c>
      <x:c r="K41" s="8" t="n">
        <x:f>'Current inventory'!E41*Summary!$D$6*(A41-D41)/30.4375</x:f>
        <x:v>130.2206160164271</x:v>
      </x:c>
      <x:c r="L41" s="8" t="n">
        <x:f>MAX(0,E41+H41-K41)</x:f>
        <x:v>1035.7793839835729</x:v>
      </x:c>
      <x:c r="M41" s="8" t="n">
        <x:f>MAX(0,F41+I41-MAX(0,K41-E41-H41))</x:f>
        <x:v>0</x:v>
      </x:c>
      <x:c r="N41" s="8" t="n">
        <x:f>MAX(0,G41+J41-K41)</x:f>
        <x:v>0</x:v>
      </x:c>
      <x:c r="O41" s="8" t="n">
        <x:f>SUM(L41:N41)</x:f>
        <x:v>1035.7793839835729</x:v>
      </x:c>
      <x:c r="P41" s="14" t="n">
        <x:f>'Current inventory'!V41</x:f>
        <x:v>1.29129</x:v>
      </x:c>
      <x:c r="Q41" s="14" t="n">
        <x:f>'Current inventory'!W41</x:f>
        <x:v>1.349355</x:v>
      </x:c>
      <x:c r="R41" s="10" t="n">
        <x:f>L41*P41</x:f>
        <x:v>1337.4915607441478</x:v>
      </x:c>
      <x:c r="S41" s="10" t="n">
        <x:f>M41*P41</x:f>
        <x:v>0</x:v>
      </x:c>
      <x:c r="T41" s="10" t="n">
        <x:f>N41*P41</x:f>
        <x:v>0</x:v>
      </x:c>
      <x:c r="U41" s="10" t="n">
        <x:f>O41*P41</x:f>
        <x:v>1337.4915607441478</x:v>
      </x:c>
      <x:c r="V41" s="10" t="n">
        <x:f>IF(ISNUMBER(Q41),O41*(Q41-P41),"n.a.")</x:f>
        <x:v>60.142529931006194</x:v>
      </x:c>
      <x:c r="W41" s="10" t="n">
        <x:f>IF(ISNUMBER(Q41),U41,0)</x:f>
        <x:v>1337.4915607441478</x:v>
      </x:c>
      <x:c r="X41" s="8" t="n">
        <x:f>MAX(0,K41-SUM(E41:J41))</x:f>
        <x:v>0</x:v>
      </x:c>
      <x:c r="Y41" s="1" t="str">
        <x:f>IF(AND(O41&gt;0,NOT(ISNUMBER(Q41))),"No proposed replacement standard",IF(X41&gt;0,"Demand exceeds available stock",""))</x:f>
      </x:c>
      <x:c r="Z41" s="1" t="n">
        <x:f>IF(ISNUMBER(Q41),1,0)</x:f>
        <x:v>1</x:v>
      </x:c>
    </x:row>
    <x:row r="42" ht="21" customHeight="1">
      <x:c r="A42" s="17" t="n">
        <x:f>Summary!B15</x:f>
        <x:v>46327</x:v>
      </x:c>
      <x:c r="B42" s="1" t="str">
        <x:f>'Current inventory'!A42</x:f>
        <x:v>30</x:v>
      </x:c>
      <x:c r="C42" s="1" t="str">
        <x:f>'Current inventory'!B42</x:f>
        <x:v>800BMARBRC</x:v>
      </x:c>
      <x:c r="D42" s="7" t="n">
        <x:f>Summary!$D$5</x:f>
        <x:v>46304</x:v>
      </x:c>
      <x:c r="E42" s="8" t="n">
        <x:f>'Current inventory'!M42</x:f>
        <x:v>0</x:v>
      </x:c>
      <x:c r="F42" s="8" t="n">
        <x:f>'Current inventory'!N42</x:f>
        <x:v>0</x:v>
      </x:c>
      <x:c r="G42" s="8" t="n">
        <x:f>'Current inventory'!O42</x:f>
        <x:v>700</x:v>
      </x:c>
      <x:c r="H42" s="8" t="n">
        <x:f>SUMIFS('PO detail'!$U$2:$U$672,'PO detail'!$A$2:$A$672,B42,'PO detail'!$B$2:$B$672,C42,'PO detail'!$G$2:$G$672,"&gt;="&amp;D42,'PO detail'!$G$2:$G$672,"&lt;"&amp;A42)</x:f>
        <x:v>0</x:v>
      </x:c>
      <x:c r="I42" s="8" t="n">
        <x:f>SUMIFS('PO detail'!$V$2:$V$672,'PO detail'!$A$2:$A$672,B42,'PO detail'!$B$2:$B$672,C42,'PO detail'!$G$2:$G$672,"&gt;="&amp;D42,'PO detail'!$G$2:$G$672,"&lt;"&amp;A42)</x:f>
        <x:v>0</x:v>
      </x:c>
      <x:c r="J42" s="8" t="n">
        <x:f>SUMIFS('PO detail'!$W$2:$W$672,'PO detail'!$A$2:$A$672,B42,'PO detail'!$B$2:$B$672,C42,'PO detail'!$G$2:$G$672,"&gt;="&amp;D42,'PO detail'!$G$2:$G$672,"&lt;"&amp;A42)</x:f>
        <x:v>0</x:v>
      </x:c>
      <x:c r="K42" s="8" t="n">
        <x:f>'Current inventory'!E42*Summary!$D$6*(A42-D42)/30.4375</x:f>
        <x:v>125.94365503080081</x:v>
      </x:c>
      <x:c r="L42" s="8" t="n">
        <x:f>MAX(0,E42+H42-K42)</x:f>
        <x:v>0</x:v>
      </x:c>
      <x:c r="M42" s="8" t="n">
        <x:f>MAX(0,F42+I42-MAX(0,K42-E42-H42))</x:f>
        <x:v>0</x:v>
      </x:c>
      <x:c r="N42" s="8" t="n">
        <x:f>MAX(0,G42+J42-K42)</x:f>
        <x:v>574.0563449691992</x:v>
      </x:c>
      <x:c r="O42" s="8" t="n">
        <x:f>SUM(L42:N42)</x:f>
        <x:v>574.0563449691992</x:v>
      </x:c>
      <x:c r="P42" s="14" t="n">
        <x:f>'Current inventory'!V42</x:f>
        <x:v>0.1996</x:v>
      </x:c>
      <x:c r="Q42" s="14" t="str">
        <x:f>'Current inventory'!W42</x:f>
        <x:v>n.a.</x:v>
      </x:c>
      <x:c r="R42" s="10" t="n">
        <x:f>L42*P42</x:f>
        <x:v>0</x:v>
      </x:c>
      <x:c r="S42" s="10" t="n">
        <x:f>M42*P42</x:f>
        <x:v>0</x:v>
      </x:c>
      <x:c r="T42" s="10" t="n">
        <x:f>N42*P42</x:f>
        <x:v>114.58164645585217</x:v>
      </x:c>
      <x:c r="U42" s="10" t="n">
        <x:f>O42*P42</x:f>
        <x:v>114.58164645585217</x:v>
      </x:c>
      <x:c r="V42" s="10" t="str">
        <x:f>IF(ISNUMBER(Q42),O42*(Q42-P42),"n.a.")</x:f>
        <x:v>n.a.</x:v>
      </x:c>
      <x:c r="W42" s="10" t="n">
        <x:f>IF(ISNUMBER(Q42),U42,0)</x:f>
        <x:v>0</x:v>
      </x:c>
      <x:c r="X42" s="8" t="n">
        <x:f>MAX(0,K42-SUM(E42:J42))</x:f>
        <x:v>0</x:v>
      </x:c>
      <x:c r="Y42" s="1" t="str">
        <x:f>IF(AND(O42&gt;0,NOT(ISNUMBER(Q42))),"No proposed replacement standard",IF(X42&gt;0,"Demand exceeds available stock",""))</x:f>
        <x:v>No proposed replacement standard</x:v>
      </x:c>
      <x:c r="Z42" s="1" t="n">
        <x:f>IF(ISNUMBER(Q42),1,0)</x:f>
        <x:v>0</x:v>
      </x:c>
    </x:row>
    <x:row r="43" ht="21" customHeight="1">
      <x:c r="A43" s="17" t="n">
        <x:f>Summary!B15</x:f>
        <x:v>46327</x:v>
      </x:c>
      <x:c r="B43" s="1" t="str">
        <x:f>'Current inventory'!A43</x:f>
        <x:v>10</x:v>
      </x:c>
      <x:c r="C43" s="1" t="str">
        <x:f>'Current inventory'!B43</x:f>
        <x:v>800BMARCSC</x:v>
      </x:c>
      <x:c r="D43" s="7" t="n">
        <x:f>Summary!$D$5</x:f>
        <x:v>46304</x:v>
      </x:c>
      <x:c r="E43" s="8" t="n">
        <x:f>'Current inventory'!M43</x:f>
        <x:v>0</x:v>
      </x:c>
      <x:c r="F43" s="8" t="n">
        <x:f>'Current inventory'!N43</x:f>
        <x:v>0</x:v>
      </x:c>
      <x:c r="G43" s="8" t="n">
        <x:f>'Current inventory'!O43</x:f>
        <x:v>1400</x:v>
      </x:c>
      <x:c r="H43" s="8" t="n">
        <x:f>SUMIFS('PO detail'!$U$2:$U$672,'PO detail'!$A$2:$A$672,B43,'PO detail'!$B$2:$B$672,C43,'PO detail'!$G$2:$G$672,"&gt;="&amp;D43,'PO detail'!$G$2:$G$672,"&lt;"&amp;A43)</x:f>
        <x:v>0</x:v>
      </x:c>
      <x:c r="I43" s="8" t="n">
        <x:f>SUMIFS('PO detail'!$V$2:$V$672,'PO detail'!$A$2:$A$672,B43,'PO detail'!$B$2:$B$672,C43,'PO detail'!$G$2:$G$672,"&gt;="&amp;D43,'PO detail'!$G$2:$G$672,"&lt;"&amp;A43)</x:f>
        <x:v>0</x:v>
      </x:c>
      <x:c r="J43" s="8" t="n">
        <x:f>SUMIFS('PO detail'!$W$2:$W$672,'PO detail'!$A$2:$A$672,B43,'PO detail'!$B$2:$B$672,C43,'PO detail'!$G$2:$G$672,"&gt;="&amp;D43,'PO detail'!$G$2:$G$672,"&lt;"&amp;A43)</x:f>
        <x:v>0</x:v>
      </x:c>
      <x:c r="K43" s="8" t="n">
        <x:f>'Current inventory'!E43*Summary!$D$6*(A43-D43)/30.4375</x:f>
        <x:v>94.45585215605749</x:v>
      </x:c>
      <x:c r="L43" s="8" t="n">
        <x:f>MAX(0,E43+H43-K43)</x:f>
        <x:v>0</x:v>
      </x:c>
      <x:c r="M43" s="8" t="n">
        <x:f>MAX(0,F43+I43-MAX(0,K43-E43-H43))</x:f>
        <x:v>0</x:v>
      </x:c>
      <x:c r="N43" s="8" t="n">
        <x:f>MAX(0,G43+J43-K43)</x:f>
        <x:v>1305.5441478439425</x:v>
      </x:c>
      <x:c r="O43" s="8" t="n">
        <x:f>SUM(L43:N43)</x:f>
        <x:v>1305.5441478439425</x:v>
      </x:c>
      <x:c r="P43" s="14" t="n">
        <x:f>'Current inventory'!V43</x:f>
        <x:v>0.23329999999999998</x:v>
      </x:c>
      <x:c r="Q43" s="14" t="str">
        <x:f>'Current inventory'!W43</x:f>
        <x:v>n.a.</x:v>
      </x:c>
      <x:c r="R43" s="10" t="n">
        <x:f>L43*P43</x:f>
        <x:v>0</x:v>
      </x:c>
      <x:c r="S43" s="10" t="n">
        <x:f>M43*P43</x:f>
        <x:v>0</x:v>
      </x:c>
      <x:c r="T43" s="10" t="n">
        <x:f>N43*P43</x:f>
        <x:v>304.58344969199175</x:v>
      </x:c>
      <x:c r="U43" s="10" t="n">
        <x:f>O43*P43</x:f>
        <x:v>304.58344969199175</x:v>
      </x:c>
      <x:c r="V43" s="10" t="str">
        <x:f>IF(ISNUMBER(Q43),O43*(Q43-P43),"n.a.")</x:f>
        <x:v>n.a.</x:v>
      </x:c>
      <x:c r="W43" s="10" t="n">
        <x:f>IF(ISNUMBER(Q43),U43,0)</x:f>
        <x:v>0</x:v>
      </x:c>
      <x:c r="X43" s="8" t="n">
        <x:f>MAX(0,K43-SUM(E43:J43))</x:f>
        <x:v>0</x:v>
      </x:c>
      <x:c r="Y43" s="1" t="str">
        <x:f>IF(AND(O43&gt;0,NOT(ISNUMBER(Q43))),"No proposed replacement standard",IF(X43&gt;0,"Demand exceeds available stock",""))</x:f>
        <x:v>No proposed replacement standard</x:v>
      </x:c>
      <x:c r="Z43" s="1" t="n">
        <x:f>IF(ISNUMBER(Q43),1,0)</x:f>
        <x:v>0</x:v>
      </x:c>
    </x:row>
    <x:row r="44" ht="21" customHeight="1">
      <x:c r="A44" s="17" t="n">
        <x:f>Summary!B15</x:f>
        <x:v>46327</x:v>
      </x:c>
      <x:c r="B44" s="1" t="str">
        <x:f>'Current inventory'!A44</x:f>
        <x:v>30</x:v>
      </x:c>
      <x:c r="C44" s="1" t="str">
        <x:f>'Current inventory'!B44</x:f>
        <x:v>800BMARISC</x:v>
      </x:c>
      <x:c r="D44" s="7" t="n">
        <x:f>Summary!$D$5</x:f>
        <x:v>46304</x:v>
      </x:c>
      <x:c r="E44" s="8" t="n">
        <x:f>'Current inventory'!M44</x:f>
        <x:v>0</x:v>
      </x:c>
      <x:c r="F44" s="8" t="n">
        <x:f>'Current inventory'!N44</x:f>
        <x:v>0</x:v>
      </x:c>
      <x:c r="G44" s="8" t="n">
        <x:f>'Current inventory'!O44</x:f>
        <x:v>2300</x:v>
      </x:c>
      <x:c r="H44" s="8" t="n">
        <x:f>SUMIFS('PO detail'!$U$2:$U$672,'PO detail'!$A$2:$A$672,B44,'PO detail'!$B$2:$B$672,C44,'PO detail'!$G$2:$G$672,"&gt;="&amp;D44,'PO detail'!$G$2:$G$672,"&lt;"&amp;A44)</x:f>
        <x:v>0</x:v>
      </x:c>
      <x:c r="I44" s="8" t="n">
        <x:f>SUMIFS('PO detail'!$V$2:$V$672,'PO detail'!$A$2:$A$672,B44,'PO detail'!$B$2:$B$672,C44,'PO detail'!$G$2:$G$672,"&gt;="&amp;D44,'PO detail'!$G$2:$G$672,"&lt;"&amp;A44)</x:f>
        <x:v>0</x:v>
      </x:c>
      <x:c r="J44" s="8" t="n">
        <x:f>SUMIFS('PO detail'!$W$2:$W$672,'PO detail'!$A$2:$A$672,B44,'PO detail'!$B$2:$B$672,C44,'PO detail'!$G$2:$G$672,"&gt;="&amp;D44,'PO detail'!$G$2:$G$672,"&lt;"&amp;A44)</x:f>
        <x:v>0</x:v>
      </x:c>
      <x:c r="K44" s="8" t="n">
        <x:f>'Current inventory'!E44*Summary!$D$6*(A44-D44)/30.4375</x:f>
        <x:v>81.85921971252567</x:v>
      </x:c>
      <x:c r="L44" s="8" t="n">
        <x:f>MAX(0,E44+H44-K44)</x:f>
        <x:v>0</x:v>
      </x:c>
      <x:c r="M44" s="8" t="n">
        <x:f>MAX(0,F44+I44-MAX(0,K44-E44-H44))</x:f>
        <x:v>0</x:v>
      </x:c>
      <x:c r="N44" s="8" t="n">
        <x:f>MAX(0,G44+J44-K44)</x:f>
        <x:v>2218.140780287474</x:v>
      </x:c>
      <x:c r="O44" s="8" t="n">
        <x:f>SUM(L44:N44)</x:f>
        <x:v>2218.140780287474</x:v>
      </x:c>
      <x:c r="P44" s="14" t="n">
        <x:f>'Current inventory'!V44</x:f>
        <x:v>0.1946</x:v>
      </x:c>
      <x:c r="Q44" s="14" t="str">
        <x:f>'Current inventory'!W44</x:f>
        <x:v>n.a.</x:v>
      </x:c>
      <x:c r="R44" s="10" t="n">
        <x:f>L44*P44</x:f>
        <x:v>0</x:v>
      </x:c>
      <x:c r="S44" s="10" t="n">
        <x:f>M44*P44</x:f>
        <x:v>0</x:v>
      </x:c>
      <x:c r="T44" s="10" t="n">
        <x:f>N44*P44</x:f>
        <x:v>431.65019584394247</x:v>
      </x:c>
      <x:c r="U44" s="10" t="n">
        <x:f>O44*P44</x:f>
        <x:v>431.65019584394247</x:v>
      </x:c>
      <x:c r="V44" s="10" t="str">
        <x:f>IF(ISNUMBER(Q44),O44*(Q44-P44),"n.a.")</x:f>
        <x:v>n.a.</x:v>
      </x:c>
      <x:c r="W44" s="10" t="n">
        <x:f>IF(ISNUMBER(Q44),U44,0)</x:f>
        <x:v>0</x:v>
      </x:c>
      <x:c r="X44" s="8" t="n">
        <x:f>MAX(0,K44-SUM(E44:J44))</x:f>
        <x:v>0</x:v>
      </x:c>
      <x:c r="Y44" s="1" t="str">
        <x:f>IF(AND(O44&gt;0,NOT(ISNUMBER(Q44))),"No proposed replacement standard",IF(X44&gt;0,"Demand exceeds available stock",""))</x:f>
        <x:v>No proposed replacement standard</x:v>
      </x:c>
      <x:c r="Z44" s="1" t="n">
        <x:f>IF(ISNUMBER(Q44),1,0)</x:f>
        <x:v>0</x:v>
      </x:c>
    </x:row>
    <x:row r="45" ht="21" customHeight="1">
      <x:c r="A45" s="17" t="n">
        <x:f>Summary!B15</x:f>
        <x:v>46327</x:v>
      </x:c>
      <x:c r="B45" s="1" t="str">
        <x:f>'Current inventory'!A45</x:f>
        <x:v>30</x:v>
      </x:c>
      <x:c r="C45" s="1" t="str">
        <x:f>'Current inventory'!B45</x:f>
        <x:v>800BNAVDSC</x:v>
      </x:c>
      <x:c r="D45" s="7" t="n">
        <x:f>Summary!$D$5</x:f>
        <x:v>46304</x:v>
      </x:c>
      <x:c r="E45" s="8" t="n">
        <x:f>'Current inventory'!M45</x:f>
        <x:v>0</x:v>
      </x:c>
      <x:c r="F45" s="8" t="n">
        <x:f>'Current inventory'!N45</x:f>
        <x:v>0</x:v>
      </x:c>
      <x:c r="G45" s="8" t="n">
        <x:f>'Current inventory'!O45</x:f>
        <x:v>1200</x:v>
      </x:c>
      <x:c r="H45" s="8" t="n">
        <x:f>SUMIFS('PO detail'!$U$2:$U$672,'PO detail'!$A$2:$A$672,B45,'PO detail'!$B$2:$B$672,C45,'PO detail'!$G$2:$G$672,"&gt;="&amp;D45,'PO detail'!$G$2:$G$672,"&lt;"&amp;A45)</x:f>
        <x:v>0</x:v>
      </x:c>
      <x:c r="I45" s="8" t="n">
        <x:f>SUMIFS('PO detail'!$V$2:$V$672,'PO detail'!$A$2:$A$672,B45,'PO detail'!$B$2:$B$672,C45,'PO detail'!$G$2:$G$672,"&gt;="&amp;D45,'PO detail'!$G$2:$G$672,"&lt;"&amp;A45)</x:f>
        <x:v>0</x:v>
      </x:c>
      <x:c r="J45" s="8" t="n">
        <x:f>SUMIFS('PO detail'!$W$2:$W$672,'PO detail'!$A$2:$A$672,B45,'PO detail'!$B$2:$B$672,C45,'PO detail'!$G$2:$G$672,"&gt;="&amp;D45,'PO detail'!$G$2:$G$672,"&lt;"&amp;A45)</x:f>
        <x:v>0</x:v>
      </x:c>
      <x:c r="K45" s="8" t="n">
        <x:f>'Current inventory'!E45*Summary!$D$6*(A45-D45)/30.4375</x:f>
        <x:v>81.85921971252567</x:v>
      </x:c>
      <x:c r="L45" s="8" t="n">
        <x:f>MAX(0,E45+H45-K45)</x:f>
        <x:v>0</x:v>
      </x:c>
      <x:c r="M45" s="8" t="n">
        <x:f>MAX(0,F45+I45-MAX(0,K45-E45-H45))</x:f>
        <x:v>0</x:v>
      </x:c>
      <x:c r="N45" s="8" t="n">
        <x:f>MAX(0,G45+J45-K45)</x:f>
        <x:v>1118.1407802874744</x:v>
      </x:c>
      <x:c r="O45" s="8" t="n">
        <x:f>SUM(L45:N45)</x:f>
        <x:v>1118.1407802874744</x:v>
      </x:c>
      <x:c r="P45" s="14" t="n">
        <x:f>'Current inventory'!V45</x:f>
        <x:v>0.34509999999999996</x:v>
      </x:c>
      <x:c r="Q45" s="14" t="str">
        <x:f>'Current inventory'!W45</x:f>
        <x:v>n.a.</x:v>
      </x:c>
      <x:c r="R45" s="10" t="n">
        <x:f>L45*P45</x:f>
        <x:v>0</x:v>
      </x:c>
      <x:c r="S45" s="10" t="n">
        <x:f>M45*P45</x:f>
        <x:v>0</x:v>
      </x:c>
      <x:c r="T45" s="10" t="n">
        <x:f>N45*P45</x:f>
        <x:v>385.8703832772074</x:v>
      </x:c>
      <x:c r="U45" s="10" t="n">
        <x:f>O45*P45</x:f>
        <x:v>385.8703832772074</x:v>
      </x:c>
      <x:c r="V45" s="10" t="str">
        <x:f>IF(ISNUMBER(Q45),O45*(Q45-P45),"n.a.")</x:f>
        <x:v>n.a.</x:v>
      </x:c>
      <x:c r="W45" s="10" t="n">
        <x:f>IF(ISNUMBER(Q45),U45,0)</x:f>
        <x:v>0</x:v>
      </x:c>
      <x:c r="X45" s="8" t="n">
        <x:f>MAX(0,K45-SUM(E45:J45))</x:f>
        <x:v>0</x:v>
      </x:c>
      <x:c r="Y45" s="1" t="str">
        <x:f>IF(AND(O45&gt;0,NOT(ISNUMBER(Q45))),"No proposed replacement standard",IF(X45&gt;0,"Demand exceeds available stock",""))</x:f>
        <x:v>No proposed replacement standard</x:v>
      </x:c>
      <x:c r="Z45" s="1" t="n">
        <x:f>IF(ISNUMBER(Q45),1,0)</x:f>
        <x:v>0</x:v>
      </x:c>
    </x:row>
    <x:row r="46" ht="21" customHeight="1">
      <x:c r="A46" s="17" t="n">
        <x:f>Summary!B15</x:f>
        <x:v>46327</x:v>
      </x:c>
      <x:c r="B46" s="1" t="str">
        <x:f>'Current inventory'!A46</x:f>
        <x:v>60</x:v>
      </x:c>
      <x:c r="C46" s="1" t="str">
        <x:f>'Current inventory'!B46</x:f>
        <x:v>800BMARBRC</x:v>
      </x:c>
      <x:c r="D46" s="7" t="n">
        <x:f>Summary!$D$5</x:f>
        <x:v>46304</x:v>
      </x:c>
      <x:c r="E46" s="8" t="n">
        <x:f>'Current inventory'!M46</x:f>
        <x:v>0</x:v>
      </x:c>
      <x:c r="F46" s="8" t="n">
        <x:f>'Current inventory'!N46</x:f>
        <x:v>0</x:v>
      </x:c>
      <x:c r="G46" s="8" t="n">
        <x:f>'Current inventory'!O46</x:f>
        <x:v>1400</x:v>
      </x:c>
      <x:c r="H46" s="8" t="n">
        <x:f>SUMIFS('PO detail'!$U$2:$U$672,'PO detail'!$A$2:$A$672,B46,'PO detail'!$B$2:$B$672,C46,'PO detail'!$G$2:$G$672,"&gt;="&amp;D46,'PO detail'!$G$2:$G$672,"&lt;"&amp;A46)</x:f>
        <x:v>0</x:v>
      </x:c>
      <x:c r="I46" s="8" t="n">
        <x:f>SUMIFS('PO detail'!$V$2:$V$672,'PO detail'!$A$2:$A$672,B46,'PO detail'!$B$2:$B$672,C46,'PO detail'!$G$2:$G$672,"&gt;="&amp;D46,'PO detail'!$G$2:$G$672,"&lt;"&amp;A46)</x:f>
        <x:v>0</x:v>
      </x:c>
      <x:c r="J46" s="8" t="n">
        <x:f>SUMIFS('PO detail'!$W$2:$W$672,'PO detail'!$A$2:$A$672,B46,'PO detail'!$B$2:$B$672,C46,'PO detail'!$G$2:$G$672,"&gt;="&amp;D46,'PO detail'!$G$2:$G$672,"&lt;"&amp;A46)</x:f>
        <x:v>0</x:v>
      </x:c>
      <x:c r="K46" s="8" t="n">
        <x:f>'Current inventory'!E46*Summary!$D$6*(A46-D46)/30.4375</x:f>
        <x:v>81.85921971252567</x:v>
      </x:c>
      <x:c r="L46" s="8" t="n">
        <x:f>MAX(0,E46+H46-K46)</x:f>
        <x:v>0</x:v>
      </x:c>
      <x:c r="M46" s="8" t="n">
        <x:f>MAX(0,F46+I46-MAX(0,K46-E46-H46))</x:f>
        <x:v>0</x:v>
      </x:c>
      <x:c r="N46" s="8" t="n">
        <x:f>MAX(0,G46+J46-K46)</x:f>
        <x:v>1318.1407802874744</x:v>
      </x:c>
      <x:c r="O46" s="8" t="n">
        <x:f>SUM(L46:N46)</x:f>
        <x:v>1318.1407802874744</x:v>
      </x:c>
      <x:c r="P46" s="14" t="n">
        <x:f>'Current inventory'!V46</x:f>
        <x:v>0.1996</x:v>
      </x:c>
      <x:c r="Q46" s="14" t="str">
        <x:f>'Current inventory'!W46</x:f>
        <x:v>n.a.</x:v>
      </x:c>
      <x:c r="R46" s="10" t="n">
        <x:f>L46*P46</x:f>
        <x:v>0</x:v>
      </x:c>
      <x:c r="S46" s="10" t="n">
        <x:f>M46*P46</x:f>
        <x:v>0</x:v>
      </x:c>
      <x:c r="T46" s="10" t="n">
        <x:f>N46*P46</x:f>
        <x:v>263.1008997453799</x:v>
      </x:c>
      <x:c r="U46" s="10" t="n">
        <x:f>O46*P46</x:f>
        <x:v>263.1008997453799</x:v>
      </x:c>
      <x:c r="V46" s="10" t="str">
        <x:f>IF(ISNUMBER(Q46),O46*(Q46-P46),"n.a.")</x:f>
        <x:v>n.a.</x:v>
      </x:c>
      <x:c r="W46" s="10" t="n">
        <x:f>IF(ISNUMBER(Q46),U46,0)</x:f>
        <x:v>0</x:v>
      </x:c>
      <x:c r="X46" s="8" t="n">
        <x:f>MAX(0,K46-SUM(E46:J46))</x:f>
        <x:v>0</x:v>
      </x:c>
      <x:c r="Y46" s="1" t="str">
        <x:f>IF(AND(O46&gt;0,NOT(ISNUMBER(Q46))),"No proposed replacement standard",IF(X46&gt;0,"Demand exceeds available stock",""))</x:f>
        <x:v>No proposed replacement standard</x:v>
      </x:c>
      <x:c r="Z46" s="1" t="n">
        <x:f>IF(ISNUMBER(Q46),1,0)</x:f>
        <x:v>0</x:v>
      </x:c>
    </x:row>
    <x:row r="47" ht="21" customHeight="1">
      <x:c r="A47" s="17" t="n">
        <x:f>Summary!B15</x:f>
        <x:v>46327</x:v>
      </x:c>
      <x:c r="B47" s="1" t="str">
        <x:f>'Current inventory'!A47</x:f>
        <x:v>60</x:v>
      </x:c>
      <x:c r="C47" s="1" t="str">
        <x:f>'Current inventory'!B47</x:f>
        <x:v>800MARE</x:v>
      </x:c>
      <x:c r="D47" s="7" t="n">
        <x:f>Summary!$D$5</x:f>
        <x:v>46304</x:v>
      </x:c>
      <x:c r="E47" s="8" t="n">
        <x:f>'Current inventory'!M47</x:f>
        <x:v>2682</x:v>
      </x:c>
      <x:c r="F47" s="8" t="n">
        <x:f>'Current inventory'!N47</x:f>
        <x:v>0</x:v>
      </x:c>
      <x:c r="G47" s="8" t="n">
        <x:f>'Current inventory'!O47</x:f>
        <x:v>0</x:v>
      </x:c>
      <x:c r="H47" s="8" t="n">
        <x:f>SUMIFS('PO detail'!$U$2:$U$672,'PO detail'!$A$2:$A$672,B47,'PO detail'!$B$2:$B$672,C47,'PO detail'!$G$2:$G$672,"&gt;="&amp;D47,'PO detail'!$G$2:$G$672,"&lt;"&amp;A47)</x:f>
        <x:v>0</x:v>
      </x:c>
      <x:c r="I47" s="8" t="n">
        <x:f>SUMIFS('PO detail'!$V$2:$V$672,'PO detail'!$A$2:$A$672,B47,'PO detail'!$B$2:$B$672,C47,'PO detail'!$G$2:$G$672,"&gt;="&amp;D47,'PO detail'!$G$2:$G$672,"&lt;"&amp;A47)</x:f>
        <x:v>0</x:v>
      </x:c>
      <x:c r="J47" s="8" t="n">
        <x:f>SUMIFS('PO detail'!$W$2:$W$672,'PO detail'!$A$2:$A$672,B47,'PO detail'!$B$2:$B$672,C47,'PO detail'!$G$2:$G$672,"&gt;="&amp;D47,'PO detail'!$G$2:$G$672,"&lt;"&amp;A47)</x:f>
        <x:v>0</x:v>
      </x:c>
      <x:c r="K47" s="8" t="n">
        <x:f>'Current inventory'!E47*Summary!$D$6*(A47-D47)/30.4375</x:f>
        <x:v>75.564681724846</x:v>
      </x:c>
      <x:c r="L47" s="8" t="n">
        <x:f>MAX(0,E47+H47-K47)</x:f>
        <x:v>2606.435318275154</x:v>
      </x:c>
      <x:c r="M47" s="8" t="n">
        <x:f>MAX(0,F47+I47-MAX(0,K47-E47-H47))</x:f>
        <x:v>0</x:v>
      </x:c>
      <x:c r="N47" s="8" t="n">
        <x:f>MAX(0,G47+J47-K47)</x:f>
        <x:v>0</x:v>
      </x:c>
      <x:c r="O47" s="8" t="n">
        <x:f>SUM(L47:N47)</x:f>
        <x:v>2606.435318275154</x:v>
      </x:c>
      <x:c r="P47" s="14" t="n">
        <x:f>'Current inventory'!V47</x:f>
        <x:v>1.29129</x:v>
      </x:c>
      <x:c r="Q47" s="14" t="n">
        <x:f>'Current inventory'!W47</x:f>
        <x:v>1.349355</x:v>
      </x:c>
      <x:c r="R47" s="10" t="n">
        <x:f>L47*P47</x:f>
        <x:v>3365.6638621355237</x:v>
      </x:c>
      <x:c r="S47" s="10" t="n">
        <x:f>M47*P47</x:f>
        <x:v>0</x:v>
      </x:c>
      <x:c r="T47" s="10" t="n">
        <x:f>N47*P47</x:f>
        <x:v>0</x:v>
      </x:c>
      <x:c r="U47" s="10" t="n">
        <x:f>O47*P47</x:f>
        <x:v>3365.6638621355237</x:v>
      </x:c>
      <x:c r="V47" s="10" t="n">
        <x:f>IF(ISNUMBER(Q47),O47*(Q47-P47),"n.a.")</x:f>
        <x:v>151.3426667556469</x:v>
      </x:c>
      <x:c r="W47" s="10" t="n">
        <x:f>IF(ISNUMBER(Q47),U47,0)</x:f>
        <x:v>3365.6638621355237</x:v>
      </x:c>
      <x:c r="X47" s="8" t="n">
        <x:f>MAX(0,K47-SUM(E47:J47))</x:f>
        <x:v>0</x:v>
      </x:c>
      <x:c r="Y47" s="1" t="str">
        <x:f>IF(AND(O47&gt;0,NOT(ISNUMBER(Q47))),"No proposed replacement standard",IF(X47&gt;0,"Demand exceeds available stock",""))</x:f>
      </x:c>
      <x:c r="Z47" s="1" t="n">
        <x:f>IF(ISNUMBER(Q47),1,0)</x:f>
        <x:v>1</x:v>
      </x:c>
    </x:row>
    <x:row r="48" ht="21" customHeight="1">
      <x:c r="A48" s="17" t="n">
        <x:f>Summary!B15</x:f>
        <x:v>46327</x:v>
      </x:c>
      <x:c r="B48" s="1" t="str">
        <x:f>'Current inventory'!A48</x:f>
        <x:v>60</x:v>
      </x:c>
      <x:c r="C48" s="1" t="str">
        <x:f>'Current inventory'!B48</x:f>
        <x:v>800BMARISC</x:v>
      </x:c>
      <x:c r="D48" s="7" t="n">
        <x:f>Summary!$D$5</x:f>
        <x:v>46304</x:v>
      </x:c>
      <x:c r="E48" s="8" t="n">
        <x:f>'Current inventory'!M48</x:f>
        <x:v>0</x:v>
      </x:c>
      <x:c r="F48" s="8" t="n">
        <x:f>'Current inventory'!N48</x:f>
        <x:v>0</x:v>
      </x:c>
      <x:c r="G48" s="8" t="n">
        <x:f>'Current inventory'!O48</x:f>
        <x:v>800</x:v>
      </x:c>
      <x:c r="H48" s="8" t="n">
        <x:f>SUMIFS('PO detail'!$U$2:$U$672,'PO detail'!$A$2:$A$672,B48,'PO detail'!$B$2:$B$672,C48,'PO detail'!$G$2:$G$672,"&gt;="&amp;D48,'PO detail'!$G$2:$G$672,"&lt;"&amp;A48)</x:f>
        <x:v>0</x:v>
      </x:c>
      <x:c r="I48" s="8" t="n">
        <x:f>SUMIFS('PO detail'!$V$2:$V$672,'PO detail'!$A$2:$A$672,B48,'PO detail'!$B$2:$B$672,C48,'PO detail'!$G$2:$G$672,"&gt;="&amp;D48,'PO detail'!$G$2:$G$672,"&lt;"&amp;A48)</x:f>
        <x:v>0</x:v>
      </x:c>
      <x:c r="J48" s="8" t="n">
        <x:f>SUMIFS('PO detail'!$W$2:$W$672,'PO detail'!$A$2:$A$672,B48,'PO detail'!$B$2:$B$672,C48,'PO detail'!$G$2:$G$672,"&gt;="&amp;D48,'PO detail'!$G$2:$G$672,"&lt;"&amp;A48)</x:f>
        <x:v>0</x:v>
      </x:c>
      <x:c r="K48" s="8" t="n">
        <x:f>'Current inventory'!E48*Summary!$D$6*(A48-D48)/30.4375</x:f>
        <x:v>44.076878850102666</x:v>
      </x:c>
      <x:c r="L48" s="8" t="n">
        <x:f>MAX(0,E48+H48-K48)</x:f>
        <x:v>0</x:v>
      </x:c>
      <x:c r="M48" s="8" t="n">
        <x:f>MAX(0,F48+I48-MAX(0,K48-E48-H48))</x:f>
        <x:v>0</x:v>
      </x:c>
      <x:c r="N48" s="8" t="n">
        <x:f>MAX(0,G48+J48-K48)</x:f>
        <x:v>755.9231211498974</x:v>
      </x:c>
      <x:c r="O48" s="8" t="n">
        <x:f>SUM(L48:N48)</x:f>
        <x:v>755.9231211498974</x:v>
      </x:c>
      <x:c r="P48" s="14" t="n">
        <x:f>'Current inventory'!V48</x:f>
        <x:v>0.1946</x:v>
      </x:c>
      <x:c r="Q48" s="14" t="str">
        <x:f>'Current inventory'!W48</x:f>
        <x:v>n.a.</x:v>
      </x:c>
      <x:c r="R48" s="10" t="n">
        <x:f>L48*P48</x:f>
        <x:v>0</x:v>
      </x:c>
      <x:c r="S48" s="10" t="n">
        <x:f>M48*P48</x:f>
        <x:v>0</x:v>
      </x:c>
      <x:c r="T48" s="10" t="n">
        <x:f>N48*P48</x:f>
        <x:v>147.10263937577002</x:v>
      </x:c>
      <x:c r="U48" s="10" t="n">
        <x:f>O48*P48</x:f>
        <x:v>147.10263937577002</x:v>
      </x:c>
      <x:c r="V48" s="10" t="str">
        <x:f>IF(ISNUMBER(Q48),O48*(Q48-P48),"n.a.")</x:f>
        <x:v>n.a.</x:v>
      </x:c>
      <x:c r="W48" s="10" t="n">
        <x:f>IF(ISNUMBER(Q48),U48,0)</x:f>
        <x:v>0</x:v>
      </x:c>
      <x:c r="X48" s="8" t="n">
        <x:f>MAX(0,K48-SUM(E48:J48))</x:f>
        <x:v>0</x:v>
      </x:c>
      <x:c r="Y48" s="1" t="str">
        <x:f>IF(AND(O48&gt;0,NOT(ISNUMBER(Q48))),"No proposed replacement standard",IF(X48&gt;0,"Demand exceeds available stock",""))</x:f>
        <x:v>No proposed replacement standard</x:v>
      </x:c>
      <x:c r="Z48" s="1" t="n">
        <x:f>IF(ISNUMBER(Q48),1,0)</x:f>
        <x:v>0</x:v>
      </x:c>
    </x:row>
    <x:row r="49" ht="21" customHeight="1">
      <x:c r="A49" s="17" t="n">
        <x:f>Summary!B15</x:f>
        <x:v>46327</x:v>
      </x:c>
      <x:c r="B49" s="1" t="str">
        <x:f>'Current inventory'!A49</x:f>
        <x:v>10</x:v>
      </x:c>
      <x:c r="C49" s="1" t="str">
        <x:f>'Current inventory'!B49</x:f>
        <x:v>800WBLKASC</x:v>
      </x:c>
      <x:c r="D49" s="7" t="n">
        <x:f>Summary!$D$5</x:f>
        <x:v>46304</x:v>
      </x:c>
      <x:c r="E49" s="8" t="n">
        <x:f>'Current inventory'!M49</x:f>
        <x:v>0</x:v>
      </x:c>
      <x:c r="F49" s="8" t="n">
        <x:f>'Current inventory'!N49</x:f>
        <x:v>0</x:v>
      </x:c>
      <x:c r="G49" s="8" t="n">
        <x:f>'Current inventory'!O49</x:f>
        <x:v>1300</x:v>
      </x:c>
      <x:c r="H49" s="8" t="n">
        <x:f>SUMIFS('PO detail'!$U$2:$U$672,'PO detail'!$A$2:$A$672,B49,'PO detail'!$B$2:$B$672,C49,'PO detail'!$G$2:$G$672,"&gt;="&amp;D49,'PO detail'!$G$2:$G$672,"&lt;"&amp;A49)</x:f>
        <x:v>0</x:v>
      </x:c>
      <x:c r="I49" s="8" t="n">
        <x:f>SUMIFS('PO detail'!$V$2:$V$672,'PO detail'!$A$2:$A$672,B49,'PO detail'!$B$2:$B$672,C49,'PO detail'!$G$2:$G$672,"&gt;="&amp;D49,'PO detail'!$G$2:$G$672,"&lt;"&amp;A49)</x:f>
        <x:v>0</x:v>
      </x:c>
      <x:c r="J49" s="8" t="n">
        <x:f>SUMIFS('PO detail'!$W$2:$W$672,'PO detail'!$A$2:$A$672,B49,'PO detail'!$B$2:$B$672,C49,'PO detail'!$G$2:$G$672,"&gt;="&amp;D49,'PO detail'!$G$2:$G$672,"&lt;"&amp;A49)</x:f>
        <x:v>0</x:v>
      </x:c>
      <x:c r="K49" s="8" t="n">
        <x:f>'Current inventory'!E49*Summary!$D$6*(A49-D49)/30.4375</x:f>
        <x:v>37.782340862423</x:v>
      </x:c>
      <x:c r="L49" s="8" t="n">
        <x:f>MAX(0,E49+H49-K49)</x:f>
        <x:v>0</x:v>
      </x:c>
      <x:c r="M49" s="8" t="n">
        <x:f>MAX(0,F49+I49-MAX(0,K49-E49-H49))</x:f>
        <x:v>0</x:v>
      </x:c>
      <x:c r="N49" s="8" t="n">
        <x:f>MAX(0,G49+J49-K49)</x:f>
        <x:v>1262.217659137577</x:v>
      </x:c>
      <x:c r="O49" s="8" t="n">
        <x:f>SUM(L49:N49)</x:f>
        <x:v>1262.217659137577</x:v>
      </x:c>
      <x:c r="P49" s="14" t="n">
        <x:f>'Current inventory'!V49</x:f>
        <x:v>0.111</x:v>
      </x:c>
      <x:c r="Q49" s="14" t="str">
        <x:f>'Current inventory'!W49</x:f>
        <x:v>n.a.</x:v>
      </x:c>
      <x:c r="R49" s="10" t="n">
        <x:f>L49*P49</x:f>
        <x:v>0</x:v>
      </x:c>
      <x:c r="S49" s="10" t="n">
        <x:f>M49*P49</x:f>
        <x:v>0</x:v>
      </x:c>
      <x:c r="T49" s="10" t="n">
        <x:f>N49*P49</x:f>
        <x:v>140.10616016427105</x:v>
      </x:c>
      <x:c r="U49" s="10" t="n">
        <x:f>O49*P49</x:f>
        <x:v>140.10616016427105</x:v>
      </x:c>
      <x:c r="V49" s="10" t="str">
        <x:f>IF(ISNUMBER(Q49),O49*(Q49-P49),"n.a.")</x:f>
        <x:v>n.a.</x:v>
      </x:c>
      <x:c r="W49" s="10" t="n">
        <x:f>IF(ISNUMBER(Q49),U49,0)</x:f>
        <x:v>0</x:v>
      </x:c>
      <x:c r="X49" s="8" t="n">
        <x:f>MAX(0,K49-SUM(E49:J49))</x:f>
        <x:v>0</x:v>
      </x:c>
      <x:c r="Y49" s="1" t="str">
        <x:f>IF(AND(O49&gt;0,NOT(ISNUMBER(Q49))),"No proposed replacement standard",IF(X49&gt;0,"Demand exceeds available stock",""))</x:f>
        <x:v>No proposed replacement standard</x:v>
      </x:c>
      <x:c r="Z49" s="1" t="n">
        <x:f>IF(ISNUMBER(Q49),1,0)</x:f>
        <x:v>0</x:v>
      </x:c>
    </x:row>
    <x:row r="50" ht="21" customHeight="1">
      <x:c r="A50" s="17" t="n">
        <x:f>Summary!B15</x:f>
        <x:v>46327</x:v>
      </x:c>
      <x:c r="B50" s="1" t="str">
        <x:f>'Current inventory'!A50</x:f>
        <x:v>30</x:v>
      </x:c>
      <x:c r="C50" s="1" t="str">
        <x:f>'Current inventory'!B50</x:f>
        <x:v>800BMARCSC</x:v>
      </x:c>
      <x:c r="D50" s="7" t="n">
        <x:f>Summary!$D$5</x:f>
        <x:v>46304</x:v>
      </x:c>
      <x:c r="E50" s="8" t="n">
        <x:f>'Current inventory'!M50</x:f>
        <x:v>0</x:v>
      </x:c>
      <x:c r="F50" s="8" t="n">
        <x:f>'Current inventory'!N50</x:f>
        <x:v>0</x:v>
      </x:c>
      <x:c r="G50" s="8" t="n">
        <x:f>'Current inventory'!O50</x:f>
        <x:v>1100</x:v>
      </x:c>
      <x:c r="H50" s="8" t="n">
        <x:f>SUMIFS('PO detail'!$U$2:$U$672,'PO detail'!$A$2:$A$672,B50,'PO detail'!$B$2:$B$672,C50,'PO detail'!$G$2:$G$672,"&gt;="&amp;D50,'PO detail'!$G$2:$G$672,"&lt;"&amp;A50)</x:f>
        <x:v>0</x:v>
      </x:c>
      <x:c r="I50" s="8" t="n">
        <x:f>SUMIFS('PO detail'!$V$2:$V$672,'PO detail'!$A$2:$A$672,B50,'PO detail'!$B$2:$B$672,C50,'PO detail'!$G$2:$G$672,"&gt;="&amp;D50,'PO detail'!$G$2:$G$672,"&lt;"&amp;A50)</x:f>
        <x:v>0</x:v>
      </x:c>
      <x:c r="J50" s="8" t="n">
        <x:f>SUMIFS('PO detail'!$W$2:$W$672,'PO detail'!$A$2:$A$672,B50,'PO detail'!$B$2:$B$672,C50,'PO detail'!$G$2:$G$672,"&gt;="&amp;D50,'PO detail'!$G$2:$G$672,"&lt;"&amp;A50)</x:f>
        <x:v>0</x:v>
      </x:c>
      <x:c r="K50" s="8" t="n">
        <x:f>'Current inventory'!E50*Summary!$D$6*(A50-D50)/30.4375</x:f>
        <x:v>25.185708418891167</x:v>
      </x:c>
      <x:c r="L50" s="8" t="n">
        <x:f>MAX(0,E50+H50-K50)</x:f>
        <x:v>0</x:v>
      </x:c>
      <x:c r="M50" s="8" t="n">
        <x:f>MAX(0,F50+I50-MAX(0,K50-E50-H50))</x:f>
        <x:v>0</x:v>
      </x:c>
      <x:c r="N50" s="8" t="n">
        <x:f>MAX(0,G50+J50-K50)</x:f>
        <x:v>1074.8142915811088</x:v>
      </x:c>
      <x:c r="O50" s="8" t="n">
        <x:f>SUM(L50:N50)</x:f>
        <x:v>1074.8142915811088</x:v>
      </x:c>
      <x:c r="P50" s="14" t="n">
        <x:f>'Current inventory'!V50</x:f>
        <x:v>0.23329999999999998</x:v>
      </x:c>
      <x:c r="Q50" s="14" t="str">
        <x:f>'Current inventory'!W50</x:f>
        <x:v>n.a.</x:v>
      </x:c>
      <x:c r="R50" s="10" t="n">
        <x:f>L50*P50</x:f>
        <x:v>0</x:v>
      </x:c>
      <x:c r="S50" s="10" t="n">
        <x:f>M50*P50</x:f>
        <x:v>0</x:v>
      </x:c>
      <x:c r="T50" s="10" t="n">
        <x:f>N50*P50</x:f>
        <x:v>250.75417422587267</x:v>
      </x:c>
      <x:c r="U50" s="10" t="n">
        <x:f>O50*P50</x:f>
        <x:v>250.75417422587267</x:v>
      </x:c>
      <x:c r="V50" s="10" t="str">
        <x:f>IF(ISNUMBER(Q50),O50*(Q50-P50),"n.a.")</x:f>
        <x:v>n.a.</x:v>
      </x:c>
      <x:c r="W50" s="10" t="n">
        <x:f>IF(ISNUMBER(Q50),U50,0)</x:f>
        <x:v>0</x:v>
      </x:c>
      <x:c r="X50" s="8" t="n">
        <x:f>MAX(0,K50-SUM(E50:J50))</x:f>
        <x:v>0</x:v>
      </x:c>
      <x:c r="Y50" s="1" t="str">
        <x:f>IF(AND(O50&gt;0,NOT(ISNUMBER(Q50))),"No proposed replacement standard",IF(X50&gt;0,"Demand exceeds available stock",""))</x:f>
        <x:v>No proposed replacement standard</x:v>
      </x:c>
      <x:c r="Z50" s="1" t="n">
        <x:f>IF(ISNUMBER(Q50),1,0)</x:f>
        <x:v>0</x:v>
      </x:c>
    </x:row>
    <x:row r="51" ht="21" customHeight="1">
      <x:c r="A51" s="17" t="n">
        <x:f>Summary!B15</x:f>
        <x:v>46327</x:v>
      </x:c>
      <x:c r="B51" s="1" t="str">
        <x:f>'Current inventory'!A51</x:f>
        <x:v>60</x:v>
      </x:c>
      <x:c r="C51" s="1" t="str">
        <x:f>'Current inventory'!B51</x:f>
        <x:v>800WBLKASC</x:v>
      </x:c>
      <x:c r="D51" s="7" t="n">
        <x:f>Summary!$D$5</x:f>
        <x:v>46304</x:v>
      </x:c>
      <x:c r="E51" s="8" t="n">
        <x:f>'Current inventory'!M51</x:f>
        <x:v>0</x:v>
      </x:c>
      <x:c r="F51" s="8" t="n">
        <x:f>'Current inventory'!N51</x:f>
        <x:v>0</x:v>
      </x:c>
      <x:c r="G51" s="8" t="n">
        <x:f>'Current inventory'!O51</x:f>
        <x:v>1500</x:v>
      </x:c>
      <x:c r="H51" s="8" t="n">
        <x:f>SUMIFS('PO detail'!$U$2:$U$672,'PO detail'!$A$2:$A$672,B51,'PO detail'!$B$2:$B$672,C51,'PO detail'!$G$2:$G$672,"&gt;="&amp;D51,'PO detail'!$G$2:$G$672,"&lt;"&amp;A51)</x:f>
        <x:v>0</x:v>
      </x:c>
      <x:c r="I51" s="8" t="n">
        <x:f>SUMIFS('PO detail'!$V$2:$V$672,'PO detail'!$A$2:$A$672,B51,'PO detail'!$B$2:$B$672,C51,'PO detail'!$G$2:$G$672,"&gt;="&amp;D51,'PO detail'!$G$2:$G$672,"&lt;"&amp;A51)</x:f>
        <x:v>0</x:v>
      </x:c>
      <x:c r="J51" s="8" t="n">
        <x:f>SUMIFS('PO detail'!$W$2:$W$672,'PO detail'!$A$2:$A$672,B51,'PO detail'!$B$2:$B$672,C51,'PO detail'!$G$2:$G$672,"&gt;="&amp;D51,'PO detail'!$G$2:$G$672,"&lt;"&amp;A51)</x:f>
        <x:v>0</x:v>
      </x:c>
      <x:c r="K51" s="8" t="n">
        <x:f>'Current inventory'!E51*Summary!$D$6*(A51-D51)/30.4375</x:f>
        <x:v>25.185708418891167</x:v>
      </x:c>
      <x:c r="L51" s="8" t="n">
        <x:f>MAX(0,E51+H51-K51)</x:f>
        <x:v>0</x:v>
      </x:c>
      <x:c r="M51" s="8" t="n">
        <x:f>MAX(0,F51+I51-MAX(0,K51-E51-H51))</x:f>
        <x:v>0</x:v>
      </x:c>
      <x:c r="N51" s="8" t="n">
        <x:f>MAX(0,G51+J51-K51)</x:f>
        <x:v>1474.8142915811088</x:v>
      </x:c>
      <x:c r="O51" s="8" t="n">
        <x:f>SUM(L51:N51)</x:f>
        <x:v>1474.8142915811088</x:v>
      </x:c>
      <x:c r="P51" s="14" t="n">
        <x:f>'Current inventory'!V51</x:f>
        <x:v>0.111</x:v>
      </x:c>
      <x:c r="Q51" s="14" t="str">
        <x:f>'Current inventory'!W51</x:f>
        <x:v>n.a.</x:v>
      </x:c>
      <x:c r="R51" s="10" t="n">
        <x:f>L51*P51</x:f>
        <x:v>0</x:v>
      </x:c>
      <x:c r="S51" s="10" t="n">
        <x:f>M51*P51</x:f>
        <x:v>0</x:v>
      </x:c>
      <x:c r="T51" s="10" t="n">
        <x:f>N51*P51</x:f>
        <x:v>163.70438636550307</x:v>
      </x:c>
      <x:c r="U51" s="10" t="n">
        <x:f>O51*P51</x:f>
        <x:v>163.70438636550307</x:v>
      </x:c>
      <x:c r="V51" s="10" t="str">
        <x:f>IF(ISNUMBER(Q51),O51*(Q51-P51),"n.a.")</x:f>
        <x:v>n.a.</x:v>
      </x:c>
      <x:c r="W51" s="10" t="n">
        <x:f>IF(ISNUMBER(Q51),U51,0)</x:f>
        <x:v>0</x:v>
      </x:c>
      <x:c r="X51" s="8" t="n">
        <x:f>MAX(0,K51-SUM(E51:J51))</x:f>
        <x:v>0</x:v>
      </x:c>
      <x:c r="Y51" s="1" t="str">
        <x:f>IF(AND(O51&gt;0,NOT(ISNUMBER(Q51))),"No proposed replacement standard",IF(X51&gt;0,"Demand exceeds available stock",""))</x:f>
        <x:v>No proposed replacement standard</x:v>
      </x:c>
      <x:c r="Z51" s="1" t="n">
        <x:f>IF(ISNUMBER(Q51),1,0)</x:f>
        <x:v>0</x:v>
      </x:c>
    </x:row>
    <x:row r="52" ht="21" customHeight="1">
      <x:c r="A52" s="17" t="n">
        <x:f>Summary!B15</x:f>
        <x:v>46327</x:v>
      </x:c>
      <x:c r="B52" s="1" t="str">
        <x:f>'Current inventory'!A52</x:f>
        <x:v>10</x:v>
      </x:c>
      <x:c r="C52" s="1" t="str">
        <x:f>'Current inventory'!B52</x:f>
        <x:v>800WMARASC</x:v>
      </x:c>
      <x:c r="D52" s="7" t="n">
        <x:f>Summary!$D$5</x:f>
        <x:v>46304</x:v>
      </x:c>
      <x:c r="E52" s="8" t="n">
        <x:f>'Current inventory'!M52</x:f>
        <x:v>0</x:v>
      </x:c>
      <x:c r="F52" s="8" t="n">
        <x:f>'Current inventory'!N52</x:f>
        <x:v>0</x:v>
      </x:c>
      <x:c r="G52" s="8" t="n">
        <x:f>'Current inventory'!O52</x:f>
        <x:v>300</x:v>
      </x:c>
      <x:c r="H52" s="8" t="n">
        <x:f>SUMIFS('PO detail'!$U$2:$U$672,'PO detail'!$A$2:$A$672,B52,'PO detail'!$B$2:$B$672,C52,'PO detail'!$G$2:$G$672,"&gt;="&amp;D52,'PO detail'!$G$2:$G$672,"&lt;"&amp;A52)</x:f>
        <x:v>0</x:v>
      </x:c>
      <x:c r="I52" s="8" t="n">
        <x:f>SUMIFS('PO detail'!$V$2:$V$672,'PO detail'!$A$2:$A$672,B52,'PO detail'!$B$2:$B$672,C52,'PO detail'!$G$2:$G$672,"&gt;="&amp;D52,'PO detail'!$G$2:$G$672,"&lt;"&amp;A52)</x:f>
        <x:v>0</x:v>
      </x:c>
      <x:c r="J52" s="8" t="n">
        <x:f>SUMIFS('PO detail'!$W$2:$W$672,'PO detail'!$A$2:$A$672,B52,'PO detail'!$B$2:$B$672,C52,'PO detail'!$G$2:$G$672,"&gt;="&amp;D52,'PO detail'!$G$2:$G$672,"&lt;"&amp;A52)</x:f>
        <x:v>0</x:v>
      </x:c>
      <x:c r="K52" s="8" t="n">
        <x:f>'Current inventory'!E52*Summary!$D$6*(A52-D52)/30.4375</x:f>
        <x:v>12.596632443531828</x:v>
      </x:c>
      <x:c r="L52" s="8" t="n">
        <x:f>MAX(0,E52+H52-K52)</x:f>
        <x:v>0</x:v>
      </x:c>
      <x:c r="M52" s="8" t="n">
        <x:f>MAX(0,F52+I52-MAX(0,K52-E52-H52))</x:f>
        <x:v>0</x:v>
      </x:c>
      <x:c r="N52" s="8" t="n">
        <x:f>MAX(0,G52+J52-K52)</x:f>
        <x:v>287.4033675564682</x:v>
      </x:c>
      <x:c r="O52" s="8" t="n">
        <x:f>SUM(L52:N52)</x:f>
        <x:v>287.4033675564682</x:v>
      </x:c>
      <x:c r="P52" s="14" t="n">
        <x:f>'Current inventory'!V52</x:f>
        <x:v>0.1383</x:v>
      </x:c>
      <x:c r="Q52" s="14" t="str">
        <x:f>'Current inventory'!W52</x:f>
        <x:v>n.a.</x:v>
      </x:c>
      <x:c r="R52" s="10" t="n">
        <x:f>L52*P52</x:f>
        <x:v>0</x:v>
      </x:c>
      <x:c r="S52" s="10" t="n">
        <x:f>M52*P52</x:f>
        <x:v>0</x:v>
      </x:c>
      <x:c r="T52" s="10" t="n">
        <x:f>N52*P52</x:f>
        <x:v>39.747885733059555</x:v>
      </x:c>
      <x:c r="U52" s="10" t="n">
        <x:f>O52*P52</x:f>
        <x:v>39.747885733059555</x:v>
      </x:c>
      <x:c r="V52" s="10" t="str">
        <x:f>IF(ISNUMBER(Q52),O52*(Q52-P52),"n.a.")</x:f>
        <x:v>n.a.</x:v>
      </x:c>
      <x:c r="W52" s="10" t="n">
        <x:f>IF(ISNUMBER(Q52),U52,0)</x:f>
        <x:v>0</x:v>
      </x:c>
      <x:c r="X52" s="8" t="n">
        <x:f>MAX(0,K52-SUM(E52:J52))</x:f>
        <x:v>0</x:v>
      </x:c>
      <x:c r="Y52" s="1" t="str">
        <x:f>IF(AND(O52&gt;0,NOT(ISNUMBER(Q52))),"No proposed replacement standard",IF(X52&gt;0,"Demand exceeds available stock",""))</x:f>
        <x:v>No proposed replacement standard</x:v>
      </x:c>
      <x:c r="Z52" s="1" t="n">
        <x:f>IF(ISNUMBER(Q52),1,0)</x:f>
        <x:v>0</x:v>
      </x:c>
    </x:row>
    <x:row r="53" ht="21" customHeight="1">
      <x:c r="A53" s="17" t="n">
        <x:f>Summary!B15</x:f>
        <x:v>46327</x:v>
      </x:c>
      <x:c r="B53" s="1" t="str">
        <x:f>'Current inventory'!A53</x:f>
        <x:v>10</x:v>
      </x:c>
      <x:c r="C53" s="1" t="str">
        <x:f>'Current inventory'!B53</x:f>
        <x:v>800WNAVASC</x:v>
      </x:c>
      <x:c r="D53" s="7" t="n">
        <x:f>Summary!$D$5</x:f>
        <x:v>46304</x:v>
      </x:c>
      <x:c r="E53" s="8" t="n">
        <x:f>'Current inventory'!M53</x:f>
        <x:v>0</x:v>
      </x:c>
      <x:c r="F53" s="8" t="n">
        <x:f>'Current inventory'!N53</x:f>
        <x:v>0</x:v>
      </x:c>
      <x:c r="G53" s="8" t="n">
        <x:f>'Current inventory'!O53</x:f>
        <x:v>700</x:v>
      </x:c>
      <x:c r="H53" s="8" t="n">
        <x:f>SUMIFS('PO detail'!$U$2:$U$672,'PO detail'!$A$2:$A$672,B53,'PO detail'!$B$2:$B$672,C53,'PO detail'!$G$2:$G$672,"&gt;="&amp;D53,'PO detail'!$G$2:$G$672,"&lt;"&amp;A53)</x:f>
        <x:v>0</x:v>
      </x:c>
      <x:c r="I53" s="8" t="n">
        <x:f>SUMIFS('PO detail'!$V$2:$V$672,'PO detail'!$A$2:$A$672,B53,'PO detail'!$B$2:$B$672,C53,'PO detail'!$G$2:$G$672,"&gt;="&amp;D53,'PO detail'!$G$2:$G$672,"&lt;"&amp;A53)</x:f>
        <x:v>0</x:v>
      </x:c>
      <x:c r="J53" s="8" t="n">
        <x:f>SUMIFS('PO detail'!$W$2:$W$672,'PO detail'!$A$2:$A$672,B53,'PO detail'!$B$2:$B$672,C53,'PO detail'!$G$2:$G$672,"&gt;="&amp;D53,'PO detail'!$G$2:$G$672,"&lt;"&amp;A53)</x:f>
        <x:v>0</x:v>
      </x:c>
      <x:c r="K53" s="8" t="n">
        <x:f>'Current inventory'!E53*Summary!$D$6*(A53-D53)/30.4375</x:f>
        <x:v>12.596632443531828</x:v>
      </x:c>
      <x:c r="L53" s="8" t="n">
        <x:f>MAX(0,E53+H53-K53)</x:f>
        <x:v>0</x:v>
      </x:c>
      <x:c r="M53" s="8" t="n">
        <x:f>MAX(0,F53+I53-MAX(0,K53-E53-H53))</x:f>
        <x:v>0</x:v>
      </x:c>
      <x:c r="N53" s="8" t="n">
        <x:f>MAX(0,G53+J53-K53)</x:f>
        <x:v>687.4033675564682</x:v>
      </x:c>
      <x:c r="O53" s="8" t="n">
        <x:f>SUM(L53:N53)</x:f>
        <x:v>687.4033675564682</x:v>
      </x:c>
      <x:c r="P53" s="14" t="n">
        <x:f>'Current inventory'!V53</x:f>
        <x:v>0.13570000000000002</x:v>
      </x:c>
      <x:c r="Q53" s="14" t="str">
        <x:f>'Current inventory'!W53</x:f>
        <x:v>n.a.</x:v>
      </x:c>
      <x:c r="R53" s="10" t="n">
        <x:f>L53*P53</x:f>
        <x:v>0</x:v>
      </x:c>
      <x:c r="S53" s="10" t="n">
        <x:f>M53*P53</x:f>
        <x:v>0</x:v>
      </x:c>
      <x:c r="T53" s="10" t="n">
        <x:f>N53*P53</x:f>
        <x:v>93.28063697741274</x:v>
      </x:c>
      <x:c r="U53" s="10" t="n">
        <x:f>O53*P53</x:f>
        <x:v>93.28063697741274</x:v>
      </x:c>
      <x:c r="V53" s="10" t="str">
        <x:f>IF(ISNUMBER(Q53),O53*(Q53-P53),"n.a.")</x:f>
        <x:v>n.a.</x:v>
      </x:c>
      <x:c r="W53" s="10" t="n">
        <x:f>IF(ISNUMBER(Q53),U53,0)</x:f>
        <x:v>0</x:v>
      </x:c>
      <x:c r="X53" s="8" t="n">
        <x:f>MAX(0,K53-SUM(E53:J53))</x:f>
        <x:v>0</x:v>
      </x:c>
      <x:c r="Y53" s="1" t="str">
        <x:f>IF(AND(O53&gt;0,NOT(ISNUMBER(Q53))),"No proposed replacement standard",IF(X53&gt;0,"Demand exceeds available stock",""))</x:f>
        <x:v>No proposed replacement standard</x:v>
      </x:c>
      <x:c r="Z53" s="1" t="n">
        <x:f>IF(ISNUMBER(Q53),1,0)</x:f>
        <x:v>0</x:v>
      </x:c>
    </x:row>
    <x:row r="54" ht="21" customHeight="1">
      <x:c r="A54" s="17" t="n">
        <x:f>Summary!B15</x:f>
        <x:v>46327</x:v>
      </x:c>
      <x:c r="B54" s="1" t="str">
        <x:f>'Current inventory'!A54</x:f>
        <x:v>30</x:v>
      </x:c>
      <x:c r="C54" s="1" t="str">
        <x:f>'Current inventory'!B54</x:f>
        <x:v>800BMARDSC</x:v>
      </x:c>
      <x:c r="D54" s="7" t="n">
        <x:f>Summary!$D$5</x:f>
        <x:v>46304</x:v>
      </x:c>
      <x:c r="E54" s="8" t="n">
        <x:f>'Current inventory'!M54</x:f>
        <x:v>0</x:v>
      </x:c>
      <x:c r="F54" s="8" t="n">
        <x:f>'Current inventory'!N54</x:f>
        <x:v>0</x:v>
      </x:c>
      <x:c r="G54" s="8" t="n">
        <x:f>'Current inventory'!O54</x:f>
        <x:v>2700</x:v>
      </x:c>
      <x:c r="H54" s="8" t="n">
        <x:f>SUMIFS('PO detail'!$U$2:$U$672,'PO detail'!$A$2:$A$672,B54,'PO detail'!$B$2:$B$672,C54,'PO detail'!$G$2:$G$672,"&gt;="&amp;D54,'PO detail'!$G$2:$G$672,"&lt;"&amp;A54)</x:f>
        <x:v>0</x:v>
      </x:c>
      <x:c r="I54" s="8" t="n">
        <x:f>SUMIFS('PO detail'!$V$2:$V$672,'PO detail'!$A$2:$A$672,B54,'PO detail'!$B$2:$B$672,C54,'PO detail'!$G$2:$G$672,"&gt;="&amp;D54,'PO detail'!$G$2:$G$672,"&lt;"&amp;A54)</x:f>
        <x:v>0</x:v>
      </x:c>
      <x:c r="J54" s="8" t="n">
        <x:f>SUMIFS('PO detail'!$W$2:$W$672,'PO detail'!$A$2:$A$672,B54,'PO detail'!$B$2:$B$672,C54,'PO detail'!$G$2:$G$672,"&gt;="&amp;D54,'PO detail'!$G$2:$G$672,"&lt;"&amp;A54)</x:f>
        <x:v>0</x:v>
      </x:c>
      <x:c r="K54" s="8" t="n">
        <x:f>'Current inventory'!E54*Summary!$D$6*(A54-D54)/30.4375</x:f>
        <x:v>12.596632443531828</x:v>
      </x:c>
      <x:c r="L54" s="8" t="n">
        <x:f>MAX(0,E54+H54-K54)</x:f>
        <x:v>0</x:v>
      </x:c>
      <x:c r="M54" s="8" t="n">
        <x:f>MAX(0,F54+I54-MAX(0,K54-E54-H54))</x:f>
        <x:v>0</x:v>
      </x:c>
      <x:c r="N54" s="8" t="n">
        <x:f>MAX(0,G54+J54-K54)</x:f>
        <x:v>2687.4033675564683</x:v>
      </x:c>
      <x:c r="O54" s="8" t="n">
        <x:f>SUM(L54:N54)</x:f>
        <x:v>2687.4033675564683</x:v>
      </x:c>
      <x:c r="P54" s="14" t="n">
        <x:f>'Current inventory'!V54</x:f>
        <x:v>0.3998</x:v>
      </x:c>
      <x:c r="Q54" s="14" t="str">
        <x:f>'Current inventory'!W54</x:f>
        <x:v>n.a.</x:v>
      </x:c>
      <x:c r="R54" s="10" t="n">
        <x:f>L54*P54</x:f>
        <x:v>0</x:v>
      </x:c>
      <x:c r="S54" s="10" t="n">
        <x:f>M54*P54</x:f>
        <x:v>0</x:v>
      </x:c>
      <x:c r="T54" s="10" t="n">
        <x:f>N54*P54</x:f>
        <x:v>1074.423866349076</x:v>
      </x:c>
      <x:c r="U54" s="10" t="n">
        <x:f>O54*P54</x:f>
        <x:v>1074.423866349076</x:v>
      </x:c>
      <x:c r="V54" s="10" t="str">
        <x:f>IF(ISNUMBER(Q54),O54*(Q54-P54),"n.a.")</x:f>
        <x:v>n.a.</x:v>
      </x:c>
      <x:c r="W54" s="10" t="n">
        <x:f>IF(ISNUMBER(Q54),U54,0)</x:f>
        <x:v>0</x:v>
      </x:c>
      <x:c r="X54" s="8" t="n">
        <x:f>MAX(0,K54-SUM(E54:J54))</x:f>
        <x:v>0</x:v>
      </x:c>
      <x:c r="Y54" s="1" t="str">
        <x:f>IF(AND(O54&gt;0,NOT(ISNUMBER(Q54))),"No proposed replacement standard",IF(X54&gt;0,"Demand exceeds available stock",""))</x:f>
        <x:v>No proposed replacement standard</x:v>
      </x:c>
      <x:c r="Z54" s="1" t="n">
        <x:f>IF(ISNUMBER(Q54),1,0)</x:f>
        <x:v>0</x:v>
      </x:c>
    </x:row>
    <x:row r="55" ht="21" customHeight="1">
      <x:c r="A55" s="17" t="n">
        <x:f>Summary!B15</x:f>
        <x:v>46327</x:v>
      </x:c>
      <x:c r="B55" s="1" t="str">
        <x:f>'Current inventory'!A55</x:f>
        <x:v>60</x:v>
      </x:c>
      <x:c r="C55" s="1" t="str">
        <x:f>'Current inventory'!B55</x:f>
        <x:v>800WNAVASC</x:v>
      </x:c>
      <x:c r="D55" s="7" t="n">
        <x:f>Summary!$D$5</x:f>
        <x:v>46304</x:v>
      </x:c>
      <x:c r="E55" s="8" t="n">
        <x:f>'Current inventory'!M55</x:f>
        <x:v>0</x:v>
      </x:c>
      <x:c r="F55" s="8" t="n">
        <x:f>'Current inventory'!N55</x:f>
        <x:v>0</x:v>
      </x:c>
      <x:c r="G55" s="8" t="n">
        <x:f>'Current inventory'!O55</x:f>
        <x:v>1000</x:v>
      </x:c>
      <x:c r="H55" s="8" t="n">
        <x:f>SUMIFS('PO detail'!$U$2:$U$672,'PO detail'!$A$2:$A$672,B55,'PO detail'!$B$2:$B$672,C55,'PO detail'!$G$2:$G$672,"&gt;="&amp;D55,'PO detail'!$G$2:$G$672,"&lt;"&amp;A55)</x:f>
        <x:v>0</x:v>
      </x:c>
      <x:c r="I55" s="8" t="n">
        <x:f>SUMIFS('PO detail'!$V$2:$V$672,'PO detail'!$A$2:$A$672,B55,'PO detail'!$B$2:$B$672,C55,'PO detail'!$G$2:$G$672,"&gt;="&amp;D55,'PO detail'!$G$2:$G$672,"&lt;"&amp;A55)</x:f>
        <x:v>0</x:v>
      </x:c>
      <x:c r="J55" s="8" t="n">
        <x:f>SUMIFS('PO detail'!$W$2:$W$672,'PO detail'!$A$2:$A$672,B55,'PO detail'!$B$2:$B$672,C55,'PO detail'!$G$2:$G$672,"&gt;="&amp;D55,'PO detail'!$G$2:$G$672,"&lt;"&amp;A55)</x:f>
        <x:v>0</x:v>
      </x:c>
      <x:c r="K55" s="8" t="n">
        <x:f>'Current inventory'!E55*Summary!$D$6*(A55-D55)/30.4375</x:f>
        <x:v>12.596632443531828</x:v>
      </x:c>
      <x:c r="L55" s="8" t="n">
        <x:f>MAX(0,E55+H55-K55)</x:f>
        <x:v>0</x:v>
      </x:c>
      <x:c r="M55" s="8" t="n">
        <x:f>MAX(0,F55+I55-MAX(0,K55-E55-H55))</x:f>
        <x:v>0</x:v>
      </x:c>
      <x:c r="N55" s="8" t="n">
        <x:f>MAX(0,G55+J55-K55)</x:f>
        <x:v>987.4033675564682</x:v>
      </x:c>
      <x:c r="O55" s="8" t="n">
        <x:f>SUM(L55:N55)</x:f>
        <x:v>987.4033675564682</x:v>
      </x:c>
      <x:c r="P55" s="14" t="n">
        <x:f>'Current inventory'!V55</x:f>
        <x:v>0.13570000000000002</x:v>
      </x:c>
      <x:c r="Q55" s="14" t="str">
        <x:f>'Current inventory'!W55</x:f>
        <x:v>n.a.</x:v>
      </x:c>
      <x:c r="R55" s="10" t="n">
        <x:f>L55*P55</x:f>
        <x:v>0</x:v>
      </x:c>
      <x:c r="S55" s="10" t="n">
        <x:f>M55*P55</x:f>
        <x:v>0</x:v>
      </x:c>
      <x:c r="T55" s="10" t="n">
        <x:f>N55*P55</x:f>
        <x:v>133.99063697741275</x:v>
      </x:c>
      <x:c r="U55" s="10" t="n">
        <x:f>O55*P55</x:f>
        <x:v>133.99063697741275</x:v>
      </x:c>
      <x:c r="V55" s="10" t="str">
        <x:f>IF(ISNUMBER(Q55),O55*(Q55-P55),"n.a.")</x:f>
        <x:v>n.a.</x:v>
      </x:c>
      <x:c r="W55" s="10" t="n">
        <x:f>IF(ISNUMBER(Q55),U55,0)</x:f>
        <x:v>0</x:v>
      </x:c>
      <x:c r="X55" s="8" t="n">
        <x:f>MAX(0,K55-SUM(E55:J55))</x:f>
        <x:v>0</x:v>
      </x:c>
      <x:c r="Y55" s="1" t="str">
        <x:f>IF(AND(O55&gt;0,NOT(ISNUMBER(Q55))),"No proposed replacement standard",IF(X55&gt;0,"Demand exceeds available stock",""))</x:f>
        <x:v>No proposed replacement standard</x:v>
      </x:c>
      <x:c r="Z55" s="1" t="n">
        <x:f>IF(ISNUMBER(Q55),1,0)</x:f>
        <x:v>0</x:v>
      </x:c>
    </x:row>
    <x:row r="56" ht="21" customHeight="1">
      <x:c r="A56" s="17" t="n">
        <x:f>Summary!B15</x:f>
        <x:v>46327</x:v>
      </x:c>
      <x:c r="B56" s="1" t="str">
        <x:f>'Current inventory'!A56</x:f>
        <x:v>60</x:v>
      </x:c>
      <x:c r="C56" s="1" t="str">
        <x:f>'Current inventory'!B56</x:f>
        <x:v>800BMARDSC</x:v>
      </x:c>
      <x:c r="D56" s="7" t="n">
        <x:f>Summary!$D$5</x:f>
        <x:v>46304</x:v>
      </x:c>
      <x:c r="E56" s="8" t="n">
        <x:f>'Current inventory'!M56</x:f>
        <x:v>0</x:v>
      </x:c>
      <x:c r="F56" s="8" t="n">
        <x:f>'Current inventory'!N56</x:f>
        <x:v>0</x:v>
      </x:c>
      <x:c r="G56" s="8" t="n">
        <x:f>'Current inventory'!O56</x:f>
        <x:v>600</x:v>
      </x:c>
      <x:c r="H56" s="8" t="n">
        <x:f>SUMIFS('PO detail'!$U$2:$U$672,'PO detail'!$A$2:$A$672,B56,'PO detail'!$B$2:$B$672,C56,'PO detail'!$G$2:$G$672,"&gt;="&amp;D56,'PO detail'!$G$2:$G$672,"&lt;"&amp;A56)</x:f>
        <x:v>0</x:v>
      </x:c>
      <x:c r="I56" s="8" t="n">
        <x:f>SUMIFS('PO detail'!$V$2:$V$672,'PO detail'!$A$2:$A$672,B56,'PO detail'!$B$2:$B$672,C56,'PO detail'!$G$2:$G$672,"&gt;="&amp;D56,'PO detail'!$G$2:$G$672,"&lt;"&amp;A56)</x:f>
        <x:v>0</x:v>
      </x:c>
      <x:c r="J56" s="8" t="n">
        <x:f>SUMIFS('PO detail'!$W$2:$W$672,'PO detail'!$A$2:$A$672,B56,'PO detail'!$B$2:$B$672,C56,'PO detail'!$G$2:$G$672,"&gt;="&amp;D56,'PO detail'!$G$2:$G$672,"&lt;"&amp;A56)</x:f>
        <x:v>0</x:v>
      </x:c>
      <x:c r="K56" s="8" t="n">
        <x:f>'Current inventory'!E56*Summary!$D$6*(A56-D56)/30.4375</x:f>
        <x:v>6.294537987679671</x:v>
      </x:c>
      <x:c r="L56" s="8" t="n">
        <x:f>MAX(0,E56+H56-K56)</x:f>
        <x:v>0</x:v>
      </x:c>
      <x:c r="M56" s="8" t="n">
        <x:f>MAX(0,F56+I56-MAX(0,K56-E56-H56))</x:f>
        <x:v>0</x:v>
      </x:c>
      <x:c r="N56" s="8" t="n">
        <x:f>MAX(0,G56+J56-K56)</x:f>
        <x:v>593.7054620123204</x:v>
      </x:c>
      <x:c r="O56" s="8" t="n">
        <x:f>SUM(L56:N56)</x:f>
        <x:v>593.7054620123204</x:v>
      </x:c>
      <x:c r="P56" s="14" t="n">
        <x:f>'Current inventory'!V56</x:f>
        <x:v>0.3998</x:v>
      </x:c>
      <x:c r="Q56" s="14" t="str">
        <x:f>'Current inventory'!W56</x:f>
        <x:v>n.a.</x:v>
      </x:c>
      <x:c r="R56" s="10" t="n">
        <x:f>L56*P56</x:f>
        <x:v>0</x:v>
      </x:c>
      <x:c r="S56" s="10" t="n">
        <x:f>M56*P56</x:f>
        <x:v>0</x:v>
      </x:c>
      <x:c r="T56" s="10" t="n">
        <x:f>N56*P56</x:f>
        <x:v>237.36344371252568</x:v>
      </x:c>
      <x:c r="U56" s="10" t="n">
        <x:f>O56*P56</x:f>
        <x:v>237.36344371252568</x:v>
      </x:c>
      <x:c r="V56" s="10" t="str">
        <x:f>IF(ISNUMBER(Q56),O56*(Q56-P56),"n.a.")</x:f>
        <x:v>n.a.</x:v>
      </x:c>
      <x:c r="W56" s="10" t="n">
        <x:f>IF(ISNUMBER(Q56),U56,0)</x:f>
        <x:v>0</x:v>
      </x:c>
      <x:c r="X56" s="8" t="n">
        <x:f>MAX(0,K56-SUM(E56:J56))</x:f>
        <x:v>0</x:v>
      </x:c>
      <x:c r="Y56" s="1" t="str">
        <x:f>IF(AND(O56&gt;0,NOT(ISNUMBER(Q56))),"No proposed replacement standard",IF(X56&gt;0,"Demand exceeds available stock",""))</x:f>
        <x:v>No proposed replacement standard</x:v>
      </x:c>
      <x:c r="Z56" s="1" t="n">
        <x:f>IF(ISNUMBER(Q56),1,0)</x:f>
        <x:v>0</x:v>
      </x:c>
    </x:row>
    <x:row r="57" ht="21" customHeight="1">
      <x:c r="A57" s="17" t="n">
        <x:f>Summary!B15</x:f>
        <x:v>46327</x:v>
      </x:c>
      <x:c r="B57" s="1" t="str">
        <x:f>'Current inventory'!A57</x:f>
        <x:v>10</x:v>
      </x:c>
      <x:c r="C57" s="1" t="str">
        <x:f>'Current inventory'!B57</x:f>
        <x:v>800BFGASC</x:v>
      </x:c>
      <x:c r="D57" s="7" t="n">
        <x:f>Summary!$D$5</x:f>
        <x:v>46304</x:v>
      </x:c>
      <x:c r="E57" s="8" t="n">
        <x:f>'Current inventory'!M57</x:f>
        <x:v>0</x:v>
      </x:c>
      <x:c r="F57" s="8" t="n">
        <x:f>'Current inventory'!N57</x:f>
        <x:v>0</x:v>
      </x:c>
      <x:c r="G57" s="8" t="n">
        <x:f>'Current inventory'!O57</x:f>
        <x:v>0</x:v>
      </x:c>
      <x:c r="H57" s="8" t="n">
        <x:f>SUMIFS('PO detail'!$U$2:$U$672,'PO detail'!$A$2:$A$672,B57,'PO detail'!$B$2:$B$672,C57,'PO detail'!$G$2:$G$672,"&gt;="&amp;D57,'PO detail'!$G$2:$G$672,"&lt;"&amp;A57)</x:f>
        <x:v>0</x:v>
      </x:c>
      <x:c r="I57" s="8" t="n">
        <x:f>SUMIFS('PO detail'!$V$2:$V$672,'PO detail'!$A$2:$A$672,B57,'PO detail'!$B$2:$B$672,C57,'PO detail'!$G$2:$G$672,"&gt;="&amp;D57,'PO detail'!$G$2:$G$672,"&lt;"&amp;A57)</x:f>
        <x:v>0</x:v>
      </x:c>
      <x:c r="J57" s="8" t="n">
        <x:f>SUMIFS('PO detail'!$W$2:$W$672,'PO detail'!$A$2:$A$672,B57,'PO detail'!$B$2:$B$672,C57,'PO detail'!$G$2:$G$672,"&gt;="&amp;D57,'PO detail'!$G$2:$G$672,"&lt;"&amp;A57)</x:f>
        <x:v>0</x:v>
      </x:c>
      <x:c r="K57" s="8" t="n">
        <x:f>'Current inventory'!E57*Summary!$D$6*(A57-D57)/30.4375</x:f>
        <x:v>0</x:v>
      </x:c>
      <x:c r="L57" s="8" t="n">
        <x:f>MAX(0,E57+H57-K57)</x:f>
        <x:v>0</x:v>
      </x:c>
      <x:c r="M57" s="8" t="n">
        <x:f>MAX(0,F57+I57-MAX(0,K57-E57-H57))</x:f>
        <x:v>0</x:v>
      </x:c>
      <x:c r="N57" s="8" t="n">
        <x:f>MAX(0,G57+J57-K57)</x:f>
        <x:v>0</x:v>
      </x:c>
      <x:c r="O57" s="8" t="n">
        <x:f>SUM(L57:N57)</x:f>
        <x:v>0</x:v>
      </x:c>
      <x:c r="P57" s="14" t="n">
        <x:f>'Current inventory'!V57</x:f>
        <x:v>0.1456</x:v>
      </x:c>
      <x:c r="Q57" s="14" t="str">
        <x:f>'Current inventory'!W57</x:f>
        <x:v>n.a.</x:v>
      </x:c>
      <x:c r="R57" s="10" t="n">
        <x:f>L57*P57</x:f>
        <x:v>0</x:v>
      </x:c>
      <x:c r="S57" s="10" t="n">
        <x:f>M57*P57</x:f>
        <x:v>0</x:v>
      </x:c>
      <x:c r="T57" s="10" t="n">
        <x:f>N57*P57</x:f>
        <x:v>0</x:v>
      </x:c>
      <x:c r="U57" s="10" t="n">
        <x:f>O57*P57</x:f>
        <x:v>0</x:v>
      </x:c>
      <x:c r="V57" s="10" t="str">
        <x:f>IF(ISNUMBER(Q57),O57*(Q57-P57),"n.a.")</x:f>
        <x:v>n.a.</x:v>
      </x:c>
      <x:c r="W57" s="10" t="n">
        <x:f>IF(ISNUMBER(Q57),U57,0)</x:f>
        <x:v>0</x:v>
      </x:c>
      <x:c r="X57" s="8" t="n">
        <x:f>MAX(0,K57-SUM(E57:J57))</x:f>
        <x:v>0</x:v>
      </x:c>
      <x:c r="Y57" s="1" t="str">
        <x:f>IF(AND(O57&gt;0,NOT(ISNUMBER(Q57))),"No proposed replacement standard",IF(X57&gt;0,"Demand exceeds available stock",""))</x:f>
      </x:c>
      <x:c r="Z57" s="1" t="n">
        <x:f>IF(ISNUMBER(Q57),1,0)</x:f>
        <x:v>0</x:v>
      </x:c>
    </x:row>
    <x:row r="58" ht="21" customHeight="1">
      <x:c r="A58" s="17" t="n">
        <x:f>Summary!B15</x:f>
        <x:v>46327</x:v>
      </x:c>
      <x:c r="B58" s="1" t="str">
        <x:f>'Current inventory'!A58</x:f>
        <x:v>10</x:v>
      </x:c>
      <x:c r="C58" s="1" t="str">
        <x:f>'Current inventory'!B58</x:f>
        <x:v>800BFGBRC</x:v>
      </x:c>
      <x:c r="D58" s="7" t="n">
        <x:f>Summary!$D$5</x:f>
        <x:v>46304</x:v>
      </x:c>
      <x:c r="E58" s="8" t="n">
        <x:f>'Current inventory'!M58</x:f>
        <x:v>0</x:v>
      </x:c>
      <x:c r="F58" s="8" t="n">
        <x:f>'Current inventory'!N58</x:f>
        <x:v>0</x:v>
      </x:c>
      <x:c r="G58" s="8" t="n">
        <x:f>'Current inventory'!O58</x:f>
        <x:v>0</x:v>
      </x:c>
      <x:c r="H58" s="8" t="n">
        <x:f>SUMIFS('PO detail'!$U$2:$U$672,'PO detail'!$A$2:$A$672,B58,'PO detail'!$B$2:$B$672,C58,'PO detail'!$G$2:$G$672,"&gt;="&amp;D58,'PO detail'!$G$2:$G$672,"&lt;"&amp;A58)</x:f>
        <x:v>0</x:v>
      </x:c>
      <x:c r="I58" s="8" t="n">
        <x:f>SUMIFS('PO detail'!$V$2:$V$672,'PO detail'!$A$2:$A$672,B58,'PO detail'!$B$2:$B$672,C58,'PO detail'!$G$2:$G$672,"&gt;="&amp;D58,'PO detail'!$G$2:$G$672,"&lt;"&amp;A58)</x:f>
        <x:v>0</x:v>
      </x:c>
      <x:c r="J58" s="8" t="n">
        <x:f>SUMIFS('PO detail'!$W$2:$W$672,'PO detail'!$A$2:$A$672,B58,'PO detail'!$B$2:$B$672,C58,'PO detail'!$G$2:$G$672,"&gt;="&amp;D58,'PO detail'!$G$2:$G$672,"&lt;"&amp;A58)</x:f>
        <x:v>0</x:v>
      </x:c>
      <x:c r="K58" s="8" t="n">
        <x:f>'Current inventory'!E58*Summary!$D$6*(A58-D58)/30.4375</x:f>
        <x:v>0</x:v>
      </x:c>
      <x:c r="L58" s="8" t="n">
        <x:f>MAX(0,E58+H58-K58)</x:f>
        <x:v>0</x:v>
      </x:c>
      <x:c r="M58" s="8" t="n">
        <x:f>MAX(0,F58+I58-MAX(0,K58-E58-H58))</x:f>
        <x:v>0</x:v>
      </x:c>
      <x:c r="N58" s="8" t="n">
        <x:f>MAX(0,G58+J58-K58)</x:f>
        <x:v>0</x:v>
      </x:c>
      <x:c r="O58" s="8" t="n">
        <x:f>SUM(L58:N58)</x:f>
        <x:v>0</x:v>
      </x:c>
      <x:c r="P58" s="14" t="n">
        <x:f>'Current inventory'!V58</x:f>
        <x:v>0.18469999999999998</x:v>
      </x:c>
      <x:c r="Q58" s="14" t="str">
        <x:f>'Current inventory'!W58</x:f>
        <x:v>n.a.</x:v>
      </x:c>
      <x:c r="R58" s="10" t="n">
        <x:f>L58*P58</x:f>
        <x:v>0</x:v>
      </x:c>
      <x:c r="S58" s="10" t="n">
        <x:f>M58*P58</x:f>
        <x:v>0</x:v>
      </x:c>
      <x:c r="T58" s="10" t="n">
        <x:f>N58*P58</x:f>
        <x:v>0</x:v>
      </x:c>
      <x:c r="U58" s="10" t="n">
        <x:f>O58*P58</x:f>
        <x:v>0</x:v>
      </x:c>
      <x:c r="V58" s="10" t="str">
        <x:f>IF(ISNUMBER(Q58),O58*(Q58-P58),"n.a.")</x:f>
        <x:v>n.a.</x:v>
      </x:c>
      <x:c r="W58" s="10" t="n">
        <x:f>IF(ISNUMBER(Q58),U58,0)</x:f>
        <x:v>0</x:v>
      </x:c>
      <x:c r="X58" s="8" t="n">
        <x:f>MAX(0,K58-SUM(E58:J58))</x:f>
        <x:v>0</x:v>
      </x:c>
      <x:c r="Y58" s="1" t="str">
        <x:f>IF(AND(O58&gt;0,NOT(ISNUMBER(Q58))),"No proposed replacement standard",IF(X58&gt;0,"Demand exceeds available stock",""))</x:f>
      </x:c>
      <x:c r="Z58" s="1" t="n">
        <x:f>IF(ISNUMBER(Q58),1,0)</x:f>
        <x:v>0</x:v>
      </x:c>
    </x:row>
    <x:row r="59" ht="21" customHeight="1">
      <x:c r="A59" s="17" t="n">
        <x:f>Summary!B15</x:f>
        <x:v>46327</x:v>
      </x:c>
      <x:c r="B59" s="1" t="str">
        <x:f>'Current inventory'!A59</x:f>
        <x:v>10</x:v>
      </x:c>
      <x:c r="C59" s="1" t="str">
        <x:f>'Current inventory'!B59</x:f>
        <x:v>800BFGCSC</x:v>
      </x:c>
      <x:c r="D59" s="7" t="n">
        <x:f>Summary!$D$5</x:f>
        <x:v>46304</x:v>
      </x:c>
      <x:c r="E59" s="8" t="n">
        <x:f>'Current inventory'!M59</x:f>
        <x:v>0</x:v>
      </x:c>
      <x:c r="F59" s="8" t="n">
        <x:f>'Current inventory'!N59</x:f>
        <x:v>0</x:v>
      </x:c>
      <x:c r="G59" s="8" t="n">
        <x:f>'Current inventory'!O59</x:f>
        <x:v>0</x:v>
      </x:c>
      <x:c r="H59" s="8" t="n">
        <x:f>SUMIFS('PO detail'!$U$2:$U$672,'PO detail'!$A$2:$A$672,B59,'PO detail'!$B$2:$B$672,C59,'PO detail'!$G$2:$G$672,"&gt;="&amp;D59,'PO detail'!$G$2:$G$672,"&lt;"&amp;A59)</x:f>
        <x:v>0</x:v>
      </x:c>
      <x:c r="I59" s="8" t="n">
        <x:f>SUMIFS('PO detail'!$V$2:$V$672,'PO detail'!$A$2:$A$672,B59,'PO detail'!$B$2:$B$672,C59,'PO detail'!$G$2:$G$672,"&gt;="&amp;D59,'PO detail'!$G$2:$G$672,"&lt;"&amp;A59)</x:f>
        <x:v>0</x:v>
      </x:c>
      <x:c r="J59" s="8" t="n">
        <x:f>SUMIFS('PO detail'!$W$2:$W$672,'PO detail'!$A$2:$A$672,B59,'PO detail'!$B$2:$B$672,C59,'PO detail'!$G$2:$G$672,"&gt;="&amp;D59,'PO detail'!$G$2:$G$672,"&lt;"&amp;A59)</x:f>
        <x:v>0</x:v>
      </x:c>
      <x:c r="K59" s="8" t="n">
        <x:f>'Current inventory'!E59*Summary!$D$6*(A59-D59)/30.4375</x:f>
        <x:v>0</x:v>
      </x:c>
      <x:c r="L59" s="8" t="n">
        <x:f>MAX(0,E59+H59-K59)</x:f>
        <x:v>0</x:v>
      </x:c>
      <x:c r="M59" s="8" t="n">
        <x:f>MAX(0,F59+I59-MAX(0,K59-E59-H59))</x:f>
        <x:v>0</x:v>
      </x:c>
      <x:c r="N59" s="8" t="n">
        <x:f>MAX(0,G59+J59-K59)</x:f>
        <x:v>0</x:v>
      </x:c>
      <x:c r="O59" s="8" t="n">
        <x:f>SUM(L59:N59)</x:f>
        <x:v>0</x:v>
      </x:c>
      <x:c r="P59" s="14" t="n">
        <x:f>'Current inventory'!V59</x:f>
        <x:v>0.21559999999999999</x:v>
      </x:c>
      <x:c r="Q59" s="14" t="str">
        <x:f>'Current inventory'!W59</x:f>
        <x:v>n.a.</x:v>
      </x:c>
      <x:c r="R59" s="10" t="n">
        <x:f>L59*P59</x:f>
        <x:v>0</x:v>
      </x:c>
      <x:c r="S59" s="10" t="n">
        <x:f>M59*P59</x:f>
        <x:v>0</x:v>
      </x:c>
      <x:c r="T59" s="10" t="n">
        <x:f>N59*P59</x:f>
        <x:v>0</x:v>
      </x:c>
      <x:c r="U59" s="10" t="n">
        <x:f>O59*P59</x:f>
        <x:v>0</x:v>
      </x:c>
      <x:c r="V59" s="10" t="str">
        <x:f>IF(ISNUMBER(Q59),O59*(Q59-P59),"n.a.")</x:f>
        <x:v>n.a.</x:v>
      </x:c>
      <x:c r="W59" s="10" t="n">
        <x:f>IF(ISNUMBER(Q59),U59,0)</x:f>
        <x:v>0</x:v>
      </x:c>
      <x:c r="X59" s="8" t="n">
        <x:f>MAX(0,K59-SUM(E59:J59))</x:f>
        <x:v>0</x:v>
      </x:c>
      <x:c r="Y59" s="1" t="str">
        <x:f>IF(AND(O59&gt;0,NOT(ISNUMBER(Q59))),"No proposed replacement standard",IF(X59&gt;0,"Demand exceeds available stock",""))</x:f>
      </x:c>
      <x:c r="Z59" s="1" t="n">
        <x:f>IF(ISNUMBER(Q59),1,0)</x:f>
        <x:v>0</x:v>
      </x:c>
    </x:row>
    <x:row r="60" ht="21" customHeight="1">
      <x:c r="A60" s="17" t="n">
        <x:f>Summary!B15</x:f>
        <x:v>46327</x:v>
      </x:c>
      <x:c r="B60" s="1" t="str">
        <x:f>'Current inventory'!A60</x:f>
        <x:v>10</x:v>
      </x:c>
      <x:c r="C60" s="1" t="str">
        <x:f>'Current inventory'!B60</x:f>
        <x:v>800BFGDSC</x:v>
      </x:c>
      <x:c r="D60" s="7" t="n">
        <x:f>Summary!$D$5</x:f>
        <x:v>46304</x:v>
      </x:c>
      <x:c r="E60" s="8" t="n">
        <x:f>'Current inventory'!M60</x:f>
        <x:v>0</x:v>
      </x:c>
      <x:c r="F60" s="8" t="n">
        <x:f>'Current inventory'!N60</x:f>
        <x:v>0</x:v>
      </x:c>
      <x:c r="G60" s="8" t="n">
        <x:f>'Current inventory'!O60</x:f>
        <x:v>0</x:v>
      </x:c>
      <x:c r="H60" s="8" t="n">
        <x:f>SUMIFS('PO detail'!$U$2:$U$672,'PO detail'!$A$2:$A$672,B60,'PO detail'!$B$2:$B$672,C60,'PO detail'!$G$2:$G$672,"&gt;="&amp;D60,'PO detail'!$G$2:$G$672,"&lt;"&amp;A60)</x:f>
        <x:v>0</x:v>
      </x:c>
      <x:c r="I60" s="8" t="n">
        <x:f>SUMIFS('PO detail'!$V$2:$V$672,'PO detail'!$A$2:$A$672,B60,'PO detail'!$B$2:$B$672,C60,'PO detail'!$G$2:$G$672,"&gt;="&amp;D60,'PO detail'!$G$2:$G$672,"&lt;"&amp;A60)</x:f>
        <x:v>0</x:v>
      </x:c>
      <x:c r="J60" s="8" t="n">
        <x:f>SUMIFS('PO detail'!$W$2:$W$672,'PO detail'!$A$2:$A$672,B60,'PO detail'!$B$2:$B$672,C60,'PO detail'!$G$2:$G$672,"&gt;="&amp;D60,'PO detail'!$G$2:$G$672,"&lt;"&amp;A60)</x:f>
        <x:v>0</x:v>
      </x:c>
      <x:c r="K60" s="8" t="n">
        <x:f>'Current inventory'!E60*Summary!$D$6*(A60-D60)/30.4375</x:f>
        <x:v>0</x:v>
      </x:c>
      <x:c r="L60" s="8" t="n">
        <x:f>MAX(0,E60+H60-K60)</x:f>
        <x:v>0</x:v>
      </x:c>
      <x:c r="M60" s="8" t="n">
        <x:f>MAX(0,F60+I60-MAX(0,K60-E60-H60))</x:f>
        <x:v>0</x:v>
      </x:c>
      <x:c r="N60" s="8" t="n">
        <x:f>MAX(0,G60+J60-K60)</x:f>
        <x:v>0</x:v>
      </x:c>
      <x:c r="O60" s="8" t="n">
        <x:f>SUM(L60:N60)</x:f>
        <x:v>0</x:v>
      </x:c>
      <x:c r="P60" s="14" t="n">
        <x:f>'Current inventory'!V60</x:f>
        <x:v>0.38</x:v>
      </x:c>
      <x:c r="Q60" s="14" t="str">
        <x:f>'Current inventory'!W60</x:f>
        <x:v>n.a.</x:v>
      </x:c>
      <x:c r="R60" s="10" t="n">
        <x:f>L60*P60</x:f>
        <x:v>0</x:v>
      </x:c>
      <x:c r="S60" s="10" t="n">
        <x:f>M60*P60</x:f>
        <x:v>0</x:v>
      </x:c>
      <x:c r="T60" s="10" t="n">
        <x:f>N60*P60</x:f>
        <x:v>0</x:v>
      </x:c>
      <x:c r="U60" s="10" t="n">
        <x:f>O60*P60</x:f>
        <x:v>0</x:v>
      </x:c>
      <x:c r="V60" s="10" t="str">
        <x:f>IF(ISNUMBER(Q60),O60*(Q60-P60),"n.a.")</x:f>
        <x:v>n.a.</x:v>
      </x:c>
      <x:c r="W60" s="10" t="n">
        <x:f>IF(ISNUMBER(Q60),U60,0)</x:f>
        <x:v>0</x:v>
      </x:c>
      <x:c r="X60" s="8" t="n">
        <x:f>MAX(0,K60-SUM(E60:J60))</x:f>
        <x:v>0</x:v>
      </x:c>
      <x:c r="Y60" s="1" t="str">
        <x:f>IF(AND(O60&gt;0,NOT(ISNUMBER(Q60))),"No proposed replacement standard",IF(X60&gt;0,"Demand exceeds available stock",""))</x:f>
      </x:c>
      <x:c r="Z60" s="1" t="n">
        <x:f>IF(ISNUMBER(Q60),1,0)</x:f>
        <x:v>0</x:v>
      </x:c>
    </x:row>
    <x:row r="61" ht="21" customHeight="1">
      <x:c r="A61" s="17" t="n">
        <x:f>Summary!B15</x:f>
        <x:v>46327</x:v>
      </x:c>
      <x:c r="B61" s="1" t="str">
        <x:f>'Current inventory'!A61</x:f>
        <x:v>10</x:v>
      </x:c>
      <x:c r="C61" s="1" t="str">
        <x:f>'Current inventory'!B61</x:f>
        <x:v>800BFGISC</x:v>
      </x:c>
      <x:c r="D61" s="7" t="n">
        <x:f>Summary!$D$5</x:f>
        <x:v>46304</x:v>
      </x:c>
      <x:c r="E61" s="8" t="n">
        <x:f>'Current inventory'!M61</x:f>
        <x:v>0</x:v>
      </x:c>
      <x:c r="F61" s="8" t="n">
        <x:f>'Current inventory'!N61</x:f>
        <x:v>0</x:v>
      </x:c>
      <x:c r="G61" s="8" t="n">
        <x:f>'Current inventory'!O61</x:f>
        <x:v>0</x:v>
      </x:c>
      <x:c r="H61" s="8" t="n">
        <x:f>SUMIFS('PO detail'!$U$2:$U$672,'PO detail'!$A$2:$A$672,B61,'PO detail'!$B$2:$B$672,C61,'PO detail'!$G$2:$G$672,"&gt;="&amp;D61,'PO detail'!$G$2:$G$672,"&lt;"&amp;A61)</x:f>
        <x:v>0</x:v>
      </x:c>
      <x:c r="I61" s="8" t="n">
        <x:f>SUMIFS('PO detail'!$V$2:$V$672,'PO detail'!$A$2:$A$672,B61,'PO detail'!$B$2:$B$672,C61,'PO detail'!$G$2:$G$672,"&gt;="&amp;D61,'PO detail'!$G$2:$G$672,"&lt;"&amp;A61)</x:f>
        <x:v>0</x:v>
      </x:c>
      <x:c r="J61" s="8" t="n">
        <x:f>SUMIFS('PO detail'!$W$2:$W$672,'PO detail'!$A$2:$A$672,B61,'PO detail'!$B$2:$B$672,C61,'PO detail'!$G$2:$G$672,"&gt;="&amp;D61,'PO detail'!$G$2:$G$672,"&lt;"&amp;A61)</x:f>
        <x:v>0</x:v>
      </x:c>
      <x:c r="K61" s="8" t="n">
        <x:f>'Current inventory'!E61*Summary!$D$6*(A61-D61)/30.4375</x:f>
        <x:v>0</x:v>
      </x:c>
      <x:c r="L61" s="8" t="n">
        <x:f>MAX(0,E61+H61-K61)</x:f>
        <x:v>0</x:v>
      </x:c>
      <x:c r="M61" s="8" t="n">
        <x:f>MAX(0,F61+I61-MAX(0,K61-E61-H61))</x:f>
        <x:v>0</x:v>
      </x:c>
      <x:c r="N61" s="8" t="n">
        <x:f>MAX(0,G61+J61-K61)</x:f>
        <x:v>0</x:v>
      </x:c>
      <x:c r="O61" s="8" t="n">
        <x:f>SUM(L61:N61)</x:f>
        <x:v>0</x:v>
      </x:c>
      <x:c r="P61" s="14" t="n">
        <x:f>'Current inventory'!V61</x:f>
        <x:v>0.1797</x:v>
      </x:c>
      <x:c r="Q61" s="14" t="str">
        <x:f>'Current inventory'!W61</x:f>
        <x:v>n.a.</x:v>
      </x:c>
      <x:c r="R61" s="10" t="n">
        <x:f>L61*P61</x:f>
        <x:v>0</x:v>
      </x:c>
      <x:c r="S61" s="10" t="n">
        <x:f>M61*P61</x:f>
        <x:v>0</x:v>
      </x:c>
      <x:c r="T61" s="10" t="n">
        <x:f>N61*P61</x:f>
        <x:v>0</x:v>
      </x:c>
      <x:c r="U61" s="10" t="n">
        <x:f>O61*P61</x:f>
        <x:v>0</x:v>
      </x:c>
      <x:c r="V61" s="10" t="str">
        <x:f>IF(ISNUMBER(Q61),O61*(Q61-P61),"n.a.")</x:f>
        <x:v>n.a.</x:v>
      </x:c>
      <x:c r="W61" s="10" t="n">
        <x:f>IF(ISNUMBER(Q61),U61,0)</x:f>
        <x:v>0</x:v>
      </x:c>
      <x:c r="X61" s="8" t="n">
        <x:f>MAX(0,K61-SUM(E61:J61))</x:f>
        <x:v>0</x:v>
      </x:c>
      <x:c r="Y61" s="1" t="str">
        <x:f>IF(AND(O61&gt;0,NOT(ISNUMBER(Q61))),"No proposed replacement standard",IF(X61&gt;0,"Demand exceeds available stock",""))</x:f>
      </x:c>
      <x:c r="Z61" s="1" t="n">
        <x:f>IF(ISNUMBER(Q61),1,0)</x:f>
        <x:v>0</x:v>
      </x:c>
    </x:row>
    <x:row r="62" ht="21" customHeight="1">
      <x:c r="A62" s="17" t="n">
        <x:f>Summary!B15</x:f>
        <x:v>46327</x:v>
      </x:c>
      <x:c r="B62" s="1" t="str">
        <x:f>'Current inventory'!A62</x:f>
        <x:v>10</x:v>
      </x:c>
      <x:c r="C62" s="1" t="str">
        <x:f>'Current inventory'!B62</x:f>
        <x:v>800BLKF</x:v>
      </x:c>
      <x:c r="D62" s="7" t="n">
        <x:f>Summary!$D$5</x:f>
        <x:v>46304</x:v>
      </x:c>
      <x:c r="E62" s="8" t="n">
        <x:f>'Current inventory'!M62</x:f>
        <x:v>0</x:v>
      </x:c>
      <x:c r="F62" s="8" t="n">
        <x:f>'Current inventory'!N62</x:f>
        <x:v>0</x:v>
      </x:c>
      <x:c r="G62" s="8" t="n">
        <x:f>'Current inventory'!O62</x:f>
        <x:v>0</x:v>
      </x:c>
      <x:c r="H62" s="8" t="n">
        <x:f>SUMIFS('PO detail'!$U$2:$U$672,'PO detail'!$A$2:$A$672,B62,'PO detail'!$B$2:$B$672,C62,'PO detail'!$G$2:$G$672,"&gt;="&amp;D62,'PO detail'!$G$2:$G$672,"&lt;"&amp;A62)</x:f>
        <x:v>0</x:v>
      </x:c>
      <x:c r="I62" s="8" t="n">
        <x:f>SUMIFS('PO detail'!$V$2:$V$672,'PO detail'!$A$2:$A$672,B62,'PO detail'!$B$2:$B$672,C62,'PO detail'!$G$2:$G$672,"&gt;="&amp;D62,'PO detail'!$G$2:$G$672,"&lt;"&amp;A62)</x:f>
        <x:v>0</x:v>
      </x:c>
      <x:c r="J62" s="8" t="n">
        <x:f>SUMIFS('PO detail'!$W$2:$W$672,'PO detail'!$A$2:$A$672,B62,'PO detail'!$B$2:$B$672,C62,'PO detail'!$G$2:$G$672,"&gt;="&amp;D62,'PO detail'!$G$2:$G$672,"&lt;"&amp;A62)</x:f>
        <x:v>0</x:v>
      </x:c>
      <x:c r="K62" s="8" t="n">
        <x:f>'Current inventory'!E62*Summary!$D$6*(A62-D62)/30.4375</x:f>
        <x:v>0</x:v>
      </x:c>
      <x:c r="L62" s="8" t="n">
        <x:f>MAX(0,E62+H62-K62)</x:f>
        <x:v>0</x:v>
      </x:c>
      <x:c r="M62" s="8" t="n">
        <x:f>MAX(0,F62+I62-MAX(0,K62-E62-H62))</x:f>
        <x:v>0</x:v>
      </x:c>
      <x:c r="N62" s="8" t="n">
        <x:f>MAX(0,G62+J62-K62)</x:f>
        <x:v>0</x:v>
      </x:c>
      <x:c r="O62" s="8" t="n">
        <x:f>SUM(L62:N62)</x:f>
        <x:v>0</x:v>
      </x:c>
      <x:c r="P62" s="14" t="n">
        <x:f>'Current inventory'!V62</x:f>
        <x:v>7.03</x:v>
      </x:c>
      <x:c r="Q62" s="14" t="str">
        <x:f>'Current inventory'!W62</x:f>
        <x:v>n.a.</x:v>
      </x:c>
      <x:c r="R62" s="10" t="n">
        <x:f>L62*P62</x:f>
        <x:v>0</x:v>
      </x:c>
      <x:c r="S62" s="10" t="n">
        <x:f>M62*P62</x:f>
        <x:v>0</x:v>
      </x:c>
      <x:c r="T62" s="10" t="n">
        <x:f>N62*P62</x:f>
        <x:v>0</x:v>
      </x:c>
      <x:c r="U62" s="10" t="n">
        <x:f>O62*P62</x:f>
        <x:v>0</x:v>
      </x:c>
      <x:c r="V62" s="10" t="str">
        <x:f>IF(ISNUMBER(Q62),O62*(Q62-P62),"n.a.")</x:f>
        <x:v>n.a.</x:v>
      </x:c>
      <x:c r="W62" s="10" t="n">
        <x:f>IF(ISNUMBER(Q62),U62,0)</x:f>
        <x:v>0</x:v>
      </x:c>
      <x:c r="X62" s="8" t="n">
        <x:f>MAX(0,K62-SUM(E62:J62))</x:f>
        <x:v>0</x:v>
      </x:c>
      <x:c r="Y62" s="1" t="str">
        <x:f>IF(AND(O62&gt;0,NOT(ISNUMBER(Q62))),"No proposed replacement standard",IF(X62&gt;0,"Demand exceeds available stock",""))</x:f>
      </x:c>
      <x:c r="Z62" s="1" t="n">
        <x:f>IF(ISNUMBER(Q62),1,0)</x:f>
        <x:v>0</x:v>
      </x:c>
    </x:row>
    <x:row r="63" ht="21" customHeight="1">
      <x:c r="A63" s="17" t="n">
        <x:f>Summary!B15</x:f>
        <x:v>46327</x:v>
      </x:c>
      <x:c r="B63" s="1" t="str">
        <x:f>'Current inventory'!A63</x:f>
        <x:v>10</x:v>
      </x:c>
      <x:c r="C63" s="1" t="str">
        <x:f>'Current inventory'!B63</x:f>
        <x:v>800BWHTASC</x:v>
      </x:c>
      <x:c r="D63" s="7" t="n">
        <x:f>Summary!$D$5</x:f>
        <x:v>46304</x:v>
      </x:c>
      <x:c r="E63" s="8" t="n">
        <x:f>'Current inventory'!M63</x:f>
        <x:v>0</x:v>
      </x:c>
      <x:c r="F63" s="8" t="n">
        <x:f>'Current inventory'!N63</x:f>
        <x:v>0</x:v>
      </x:c>
      <x:c r="G63" s="8" t="n">
        <x:f>'Current inventory'!O63</x:f>
        <x:v>0</x:v>
      </x:c>
      <x:c r="H63" s="8" t="n">
        <x:f>SUMIFS('PO detail'!$U$2:$U$672,'PO detail'!$A$2:$A$672,B63,'PO detail'!$B$2:$B$672,C63,'PO detail'!$G$2:$G$672,"&gt;="&amp;D63,'PO detail'!$G$2:$G$672,"&lt;"&amp;A63)</x:f>
        <x:v>0</x:v>
      </x:c>
      <x:c r="I63" s="8" t="n">
        <x:f>SUMIFS('PO detail'!$V$2:$V$672,'PO detail'!$A$2:$A$672,B63,'PO detail'!$B$2:$B$672,C63,'PO detail'!$G$2:$G$672,"&gt;="&amp;D63,'PO detail'!$G$2:$G$672,"&lt;"&amp;A63)</x:f>
        <x:v>0</x:v>
      </x:c>
      <x:c r="J63" s="8" t="n">
        <x:f>SUMIFS('PO detail'!$W$2:$W$672,'PO detail'!$A$2:$A$672,B63,'PO detail'!$B$2:$B$672,C63,'PO detail'!$G$2:$G$672,"&gt;="&amp;D63,'PO detail'!$G$2:$G$672,"&lt;"&amp;A63)</x:f>
        <x:v>0</x:v>
      </x:c>
      <x:c r="K63" s="8" t="n">
        <x:f>'Current inventory'!E63*Summary!$D$6*(A63-D63)/30.4375</x:f>
        <x:v>0</x:v>
      </x:c>
      <x:c r="L63" s="8" t="n">
        <x:f>MAX(0,E63+H63-K63)</x:f>
        <x:v>0</x:v>
      </x:c>
      <x:c r="M63" s="8" t="n">
        <x:f>MAX(0,F63+I63-MAX(0,K63-E63-H63))</x:f>
        <x:v>0</x:v>
      </x:c>
      <x:c r="N63" s="8" t="n">
        <x:f>MAX(0,G63+J63-K63)</x:f>
        <x:v>0</x:v>
      </x:c>
      <x:c r="O63" s="8" t="n">
        <x:f>SUM(L63:N63)</x:f>
        <x:v>0</x:v>
      </x:c>
      <x:c r="P63" s="14" t="n">
        <x:f>'Current inventory'!V63</x:f>
        <x:v>0.1456</x:v>
      </x:c>
      <x:c r="Q63" s="14" t="str">
        <x:f>'Current inventory'!W63</x:f>
        <x:v>n.a.</x:v>
      </x:c>
      <x:c r="R63" s="10" t="n">
        <x:f>L63*P63</x:f>
        <x:v>0</x:v>
      </x:c>
      <x:c r="S63" s="10" t="n">
        <x:f>M63*P63</x:f>
        <x:v>0</x:v>
      </x:c>
      <x:c r="T63" s="10" t="n">
        <x:f>N63*P63</x:f>
        <x:v>0</x:v>
      </x:c>
      <x:c r="U63" s="10" t="n">
        <x:f>O63*P63</x:f>
        <x:v>0</x:v>
      </x:c>
      <x:c r="V63" s="10" t="str">
        <x:f>IF(ISNUMBER(Q63),O63*(Q63-P63),"n.a.")</x:f>
        <x:v>n.a.</x:v>
      </x:c>
      <x:c r="W63" s="10" t="n">
        <x:f>IF(ISNUMBER(Q63),U63,0)</x:f>
        <x:v>0</x:v>
      </x:c>
      <x:c r="X63" s="8" t="n">
        <x:f>MAX(0,K63-SUM(E63:J63))</x:f>
        <x:v>0</x:v>
      </x:c>
      <x:c r="Y63" s="1" t="str">
        <x:f>IF(AND(O63&gt;0,NOT(ISNUMBER(Q63))),"No proposed replacement standard",IF(X63&gt;0,"Demand exceeds available stock",""))</x:f>
      </x:c>
      <x:c r="Z63" s="1" t="n">
        <x:f>IF(ISNUMBER(Q63),1,0)</x:f>
        <x:v>0</x:v>
      </x:c>
    </x:row>
    <x:row r="64" ht="21" customHeight="1">
      <x:c r="A64" s="17" t="n">
        <x:f>Summary!B15</x:f>
        <x:v>46327</x:v>
      </x:c>
      <x:c r="B64" s="1" t="str">
        <x:f>'Current inventory'!A64</x:f>
        <x:v>10</x:v>
      </x:c>
      <x:c r="C64" s="1" t="str">
        <x:f>'Current inventory'!B64</x:f>
        <x:v>800BWHTBRC</x:v>
      </x:c>
      <x:c r="D64" s="7" t="n">
        <x:f>Summary!$D$5</x:f>
        <x:v>46304</x:v>
      </x:c>
      <x:c r="E64" s="8" t="n">
        <x:f>'Current inventory'!M64</x:f>
        <x:v>0</x:v>
      </x:c>
      <x:c r="F64" s="8" t="n">
        <x:f>'Current inventory'!N64</x:f>
        <x:v>0</x:v>
      </x:c>
      <x:c r="G64" s="8" t="n">
        <x:f>'Current inventory'!O64</x:f>
        <x:v>0</x:v>
      </x:c>
      <x:c r="H64" s="8" t="n">
        <x:f>SUMIFS('PO detail'!$U$2:$U$672,'PO detail'!$A$2:$A$672,B64,'PO detail'!$B$2:$B$672,C64,'PO detail'!$G$2:$G$672,"&gt;="&amp;D64,'PO detail'!$G$2:$G$672,"&lt;"&amp;A64)</x:f>
        <x:v>0</x:v>
      </x:c>
      <x:c r="I64" s="8" t="n">
        <x:f>SUMIFS('PO detail'!$V$2:$V$672,'PO detail'!$A$2:$A$672,B64,'PO detail'!$B$2:$B$672,C64,'PO detail'!$G$2:$G$672,"&gt;="&amp;D64,'PO detail'!$G$2:$G$672,"&lt;"&amp;A64)</x:f>
        <x:v>0</x:v>
      </x:c>
      <x:c r="J64" s="8" t="n">
        <x:f>SUMIFS('PO detail'!$W$2:$W$672,'PO detail'!$A$2:$A$672,B64,'PO detail'!$B$2:$B$672,C64,'PO detail'!$G$2:$G$672,"&gt;="&amp;D64,'PO detail'!$G$2:$G$672,"&lt;"&amp;A64)</x:f>
        <x:v>0</x:v>
      </x:c>
      <x:c r="K64" s="8" t="n">
        <x:f>'Current inventory'!E64*Summary!$D$6*(A64-D64)/30.4375</x:f>
        <x:v>0</x:v>
      </x:c>
      <x:c r="L64" s="8" t="n">
        <x:f>MAX(0,E64+H64-K64)</x:f>
        <x:v>0</x:v>
      </x:c>
      <x:c r="M64" s="8" t="n">
        <x:f>MAX(0,F64+I64-MAX(0,K64-E64-H64))</x:f>
        <x:v>0</x:v>
      </x:c>
      <x:c r="N64" s="8" t="n">
        <x:f>MAX(0,G64+J64-K64)</x:f>
        <x:v>0</x:v>
      </x:c>
      <x:c r="O64" s="8" t="n">
        <x:f>SUM(L64:N64)</x:f>
        <x:v>0</x:v>
      </x:c>
      <x:c r="P64" s="14" t="n">
        <x:f>'Current inventory'!V64</x:f>
        <x:v>0.18469999999999998</x:v>
      </x:c>
      <x:c r="Q64" s="14" t="str">
        <x:f>'Current inventory'!W64</x:f>
        <x:v>n.a.</x:v>
      </x:c>
      <x:c r="R64" s="10" t="n">
        <x:f>L64*P64</x:f>
        <x:v>0</x:v>
      </x:c>
      <x:c r="S64" s="10" t="n">
        <x:f>M64*P64</x:f>
        <x:v>0</x:v>
      </x:c>
      <x:c r="T64" s="10" t="n">
        <x:f>N64*P64</x:f>
        <x:v>0</x:v>
      </x:c>
      <x:c r="U64" s="10" t="n">
        <x:f>O64*P64</x:f>
        <x:v>0</x:v>
      </x:c>
      <x:c r="V64" s="10" t="str">
        <x:f>IF(ISNUMBER(Q64),O64*(Q64-P64),"n.a.")</x:f>
        <x:v>n.a.</x:v>
      </x:c>
      <x:c r="W64" s="10" t="n">
        <x:f>IF(ISNUMBER(Q64),U64,0)</x:f>
        <x:v>0</x:v>
      </x:c>
      <x:c r="X64" s="8" t="n">
        <x:f>MAX(0,K64-SUM(E64:J64))</x:f>
        <x:v>0</x:v>
      </x:c>
      <x:c r="Y64" s="1" t="str">
        <x:f>IF(AND(O64&gt;0,NOT(ISNUMBER(Q64))),"No proposed replacement standard",IF(X64&gt;0,"Demand exceeds available stock",""))</x:f>
      </x:c>
      <x:c r="Z64" s="1" t="n">
        <x:f>IF(ISNUMBER(Q64),1,0)</x:f>
        <x:v>0</x:v>
      </x:c>
    </x:row>
    <x:row r="65" ht="21" customHeight="1">
      <x:c r="A65" s="17" t="n">
        <x:f>Summary!B15</x:f>
        <x:v>46327</x:v>
      </x:c>
      <x:c r="B65" s="1" t="str">
        <x:f>'Current inventory'!A65</x:f>
        <x:v>10</x:v>
      </x:c>
      <x:c r="C65" s="1" t="str">
        <x:f>'Current inventory'!B65</x:f>
        <x:v>800BWHTCSC</x:v>
      </x:c>
      <x:c r="D65" s="7" t="n">
        <x:f>Summary!$D$5</x:f>
        <x:v>46304</x:v>
      </x:c>
      <x:c r="E65" s="8" t="n">
        <x:f>'Current inventory'!M65</x:f>
        <x:v>0</x:v>
      </x:c>
      <x:c r="F65" s="8" t="n">
        <x:f>'Current inventory'!N65</x:f>
        <x:v>0</x:v>
      </x:c>
      <x:c r="G65" s="8" t="n">
        <x:f>'Current inventory'!O65</x:f>
        <x:v>0</x:v>
      </x:c>
      <x:c r="H65" s="8" t="n">
        <x:f>SUMIFS('PO detail'!$U$2:$U$672,'PO detail'!$A$2:$A$672,B65,'PO detail'!$B$2:$B$672,C65,'PO detail'!$G$2:$G$672,"&gt;="&amp;D65,'PO detail'!$G$2:$G$672,"&lt;"&amp;A65)</x:f>
        <x:v>0</x:v>
      </x:c>
      <x:c r="I65" s="8" t="n">
        <x:f>SUMIFS('PO detail'!$V$2:$V$672,'PO detail'!$A$2:$A$672,B65,'PO detail'!$B$2:$B$672,C65,'PO detail'!$G$2:$G$672,"&gt;="&amp;D65,'PO detail'!$G$2:$G$672,"&lt;"&amp;A65)</x:f>
        <x:v>0</x:v>
      </x:c>
      <x:c r="J65" s="8" t="n">
        <x:f>SUMIFS('PO detail'!$W$2:$W$672,'PO detail'!$A$2:$A$672,B65,'PO detail'!$B$2:$B$672,C65,'PO detail'!$G$2:$G$672,"&gt;="&amp;D65,'PO detail'!$G$2:$G$672,"&lt;"&amp;A65)</x:f>
        <x:v>0</x:v>
      </x:c>
      <x:c r="K65" s="8" t="n">
        <x:f>'Current inventory'!E65*Summary!$D$6*(A65-D65)/30.4375</x:f>
        <x:v>0</x:v>
      </x:c>
      <x:c r="L65" s="8" t="n">
        <x:f>MAX(0,E65+H65-K65)</x:f>
        <x:v>0</x:v>
      </x:c>
      <x:c r="M65" s="8" t="n">
        <x:f>MAX(0,F65+I65-MAX(0,K65-E65-H65))</x:f>
        <x:v>0</x:v>
      </x:c>
      <x:c r="N65" s="8" t="n">
        <x:f>MAX(0,G65+J65-K65)</x:f>
        <x:v>0</x:v>
      </x:c>
      <x:c r="O65" s="8" t="n">
        <x:f>SUM(L65:N65)</x:f>
        <x:v>0</x:v>
      </x:c>
      <x:c r="P65" s="14" t="n">
        <x:f>'Current inventory'!V65</x:f>
        <x:v>0.21559999999999999</x:v>
      </x:c>
      <x:c r="Q65" s="14" t="str">
        <x:f>'Current inventory'!W65</x:f>
        <x:v>n.a.</x:v>
      </x:c>
      <x:c r="R65" s="10" t="n">
        <x:f>L65*P65</x:f>
        <x:v>0</x:v>
      </x:c>
      <x:c r="S65" s="10" t="n">
        <x:f>M65*P65</x:f>
        <x:v>0</x:v>
      </x:c>
      <x:c r="T65" s="10" t="n">
        <x:f>N65*P65</x:f>
        <x:v>0</x:v>
      </x:c>
      <x:c r="U65" s="10" t="n">
        <x:f>O65*P65</x:f>
        <x:v>0</x:v>
      </x:c>
      <x:c r="V65" s="10" t="str">
        <x:f>IF(ISNUMBER(Q65),O65*(Q65-P65),"n.a.")</x:f>
        <x:v>n.a.</x:v>
      </x:c>
      <x:c r="W65" s="10" t="n">
        <x:f>IF(ISNUMBER(Q65),U65,0)</x:f>
        <x:v>0</x:v>
      </x:c>
      <x:c r="X65" s="8" t="n">
        <x:f>MAX(0,K65-SUM(E65:J65))</x:f>
        <x:v>0</x:v>
      </x:c>
      <x:c r="Y65" s="1" t="str">
        <x:f>IF(AND(O65&gt;0,NOT(ISNUMBER(Q65))),"No proposed replacement standard",IF(X65&gt;0,"Demand exceeds available stock",""))</x:f>
      </x:c>
      <x:c r="Z65" s="1" t="n">
        <x:f>IF(ISNUMBER(Q65),1,0)</x:f>
        <x:v>0</x:v>
      </x:c>
    </x:row>
    <x:row r="66" ht="21" customHeight="1">
      <x:c r="A66" s="17" t="n">
        <x:f>Summary!B15</x:f>
        <x:v>46327</x:v>
      </x:c>
      <x:c r="B66" s="1" t="str">
        <x:f>'Current inventory'!A66</x:f>
        <x:v>10</x:v>
      </x:c>
      <x:c r="C66" s="1" t="str">
        <x:f>'Current inventory'!B66</x:f>
        <x:v>800BWHTDSC</x:v>
      </x:c>
      <x:c r="D66" s="7" t="n">
        <x:f>Summary!$D$5</x:f>
        <x:v>46304</x:v>
      </x:c>
      <x:c r="E66" s="8" t="n">
        <x:f>'Current inventory'!M66</x:f>
        <x:v>0</x:v>
      </x:c>
      <x:c r="F66" s="8" t="n">
        <x:f>'Current inventory'!N66</x:f>
        <x:v>0</x:v>
      </x:c>
      <x:c r="G66" s="8" t="n">
        <x:f>'Current inventory'!O66</x:f>
        <x:v>0</x:v>
      </x:c>
      <x:c r="H66" s="8" t="n">
        <x:f>SUMIFS('PO detail'!$U$2:$U$672,'PO detail'!$A$2:$A$672,B66,'PO detail'!$B$2:$B$672,C66,'PO detail'!$G$2:$G$672,"&gt;="&amp;D66,'PO detail'!$G$2:$G$672,"&lt;"&amp;A66)</x:f>
        <x:v>0</x:v>
      </x:c>
      <x:c r="I66" s="8" t="n">
        <x:f>SUMIFS('PO detail'!$V$2:$V$672,'PO detail'!$A$2:$A$672,B66,'PO detail'!$B$2:$B$672,C66,'PO detail'!$G$2:$G$672,"&gt;="&amp;D66,'PO detail'!$G$2:$G$672,"&lt;"&amp;A66)</x:f>
        <x:v>0</x:v>
      </x:c>
      <x:c r="J66" s="8" t="n">
        <x:f>SUMIFS('PO detail'!$W$2:$W$672,'PO detail'!$A$2:$A$672,B66,'PO detail'!$B$2:$B$672,C66,'PO detail'!$G$2:$G$672,"&gt;="&amp;D66,'PO detail'!$G$2:$G$672,"&lt;"&amp;A66)</x:f>
        <x:v>0</x:v>
      </x:c>
      <x:c r="K66" s="8" t="n">
        <x:f>'Current inventory'!E66*Summary!$D$6*(A66-D66)/30.4375</x:f>
        <x:v>0</x:v>
      </x:c>
      <x:c r="L66" s="8" t="n">
        <x:f>MAX(0,E66+H66-K66)</x:f>
        <x:v>0</x:v>
      </x:c>
      <x:c r="M66" s="8" t="n">
        <x:f>MAX(0,F66+I66-MAX(0,K66-E66-H66))</x:f>
        <x:v>0</x:v>
      </x:c>
      <x:c r="N66" s="8" t="n">
        <x:f>MAX(0,G66+J66-K66)</x:f>
        <x:v>0</x:v>
      </x:c>
      <x:c r="O66" s="8" t="n">
        <x:f>SUM(L66:N66)</x:f>
        <x:v>0</x:v>
      </x:c>
      <x:c r="P66" s="14" t="n">
        <x:f>'Current inventory'!V66</x:f>
        <x:v>0.38</x:v>
      </x:c>
      <x:c r="Q66" s="14" t="str">
        <x:f>'Current inventory'!W66</x:f>
        <x:v>n.a.</x:v>
      </x:c>
      <x:c r="R66" s="10" t="n">
        <x:f>L66*P66</x:f>
        <x:v>0</x:v>
      </x:c>
      <x:c r="S66" s="10" t="n">
        <x:f>M66*P66</x:f>
        <x:v>0</x:v>
      </x:c>
      <x:c r="T66" s="10" t="n">
        <x:f>N66*P66</x:f>
        <x:v>0</x:v>
      </x:c>
      <x:c r="U66" s="10" t="n">
        <x:f>O66*P66</x:f>
        <x:v>0</x:v>
      </x:c>
      <x:c r="V66" s="10" t="str">
        <x:f>IF(ISNUMBER(Q66),O66*(Q66-P66),"n.a.")</x:f>
        <x:v>n.a.</x:v>
      </x:c>
      <x:c r="W66" s="10" t="n">
        <x:f>IF(ISNUMBER(Q66),U66,0)</x:f>
        <x:v>0</x:v>
      </x:c>
      <x:c r="X66" s="8" t="n">
        <x:f>MAX(0,K66-SUM(E66:J66))</x:f>
        <x:v>0</x:v>
      </x:c>
      <x:c r="Y66" s="1" t="str">
        <x:f>IF(AND(O66&gt;0,NOT(ISNUMBER(Q66))),"No proposed replacement standard",IF(X66&gt;0,"Demand exceeds available stock",""))</x:f>
      </x:c>
      <x:c r="Z66" s="1" t="n">
        <x:f>IF(ISNUMBER(Q66),1,0)</x:f>
        <x:v>0</x:v>
      </x:c>
    </x:row>
    <x:row r="67" ht="21" customHeight="1">
      <x:c r="A67" s="17" t="n">
        <x:f>Summary!B15</x:f>
        <x:v>46327</x:v>
      </x:c>
      <x:c r="B67" s="1" t="str">
        <x:f>'Current inventory'!A67</x:f>
        <x:v>10</x:v>
      </x:c>
      <x:c r="C67" s="1" t="str">
        <x:f>'Current inventory'!B67</x:f>
        <x:v>800BWHTISC</x:v>
      </x:c>
      <x:c r="D67" s="7" t="n">
        <x:f>Summary!$D$5</x:f>
        <x:v>46304</x:v>
      </x:c>
      <x:c r="E67" s="8" t="n">
        <x:f>'Current inventory'!M67</x:f>
        <x:v>0</x:v>
      </x:c>
      <x:c r="F67" s="8" t="n">
        <x:f>'Current inventory'!N67</x:f>
        <x:v>0</x:v>
      </x:c>
      <x:c r="G67" s="8" t="n">
        <x:f>'Current inventory'!O67</x:f>
        <x:v>0</x:v>
      </x:c>
      <x:c r="H67" s="8" t="n">
        <x:f>SUMIFS('PO detail'!$U$2:$U$672,'PO detail'!$A$2:$A$672,B67,'PO detail'!$B$2:$B$672,C67,'PO detail'!$G$2:$G$672,"&gt;="&amp;D67,'PO detail'!$G$2:$G$672,"&lt;"&amp;A67)</x:f>
        <x:v>0</x:v>
      </x:c>
      <x:c r="I67" s="8" t="n">
        <x:f>SUMIFS('PO detail'!$V$2:$V$672,'PO detail'!$A$2:$A$672,B67,'PO detail'!$B$2:$B$672,C67,'PO detail'!$G$2:$G$672,"&gt;="&amp;D67,'PO detail'!$G$2:$G$672,"&lt;"&amp;A67)</x:f>
        <x:v>0</x:v>
      </x:c>
      <x:c r="J67" s="8" t="n">
        <x:f>SUMIFS('PO detail'!$W$2:$W$672,'PO detail'!$A$2:$A$672,B67,'PO detail'!$B$2:$B$672,C67,'PO detail'!$G$2:$G$672,"&gt;="&amp;D67,'PO detail'!$G$2:$G$672,"&lt;"&amp;A67)</x:f>
        <x:v>0</x:v>
      </x:c>
      <x:c r="K67" s="8" t="n">
        <x:f>'Current inventory'!E67*Summary!$D$6*(A67-D67)/30.4375</x:f>
        <x:v>0</x:v>
      </x:c>
      <x:c r="L67" s="8" t="n">
        <x:f>MAX(0,E67+H67-K67)</x:f>
        <x:v>0</x:v>
      </x:c>
      <x:c r="M67" s="8" t="n">
        <x:f>MAX(0,F67+I67-MAX(0,K67-E67-H67))</x:f>
        <x:v>0</x:v>
      </x:c>
      <x:c r="N67" s="8" t="n">
        <x:f>MAX(0,G67+J67-K67)</x:f>
        <x:v>0</x:v>
      </x:c>
      <x:c r="O67" s="8" t="n">
        <x:f>SUM(L67:N67)</x:f>
        <x:v>0</x:v>
      </x:c>
      <x:c r="P67" s="14" t="n">
        <x:f>'Current inventory'!V67</x:f>
        <x:v>0.1797</x:v>
      </x:c>
      <x:c r="Q67" s="14" t="str">
        <x:f>'Current inventory'!W67</x:f>
        <x:v>n.a.</x:v>
      </x:c>
      <x:c r="R67" s="10" t="n">
        <x:f>L67*P67</x:f>
        <x:v>0</x:v>
      </x:c>
      <x:c r="S67" s="10" t="n">
        <x:f>M67*P67</x:f>
        <x:v>0</x:v>
      </x:c>
      <x:c r="T67" s="10" t="n">
        <x:f>N67*P67</x:f>
        <x:v>0</x:v>
      </x:c>
      <x:c r="U67" s="10" t="n">
        <x:f>O67*P67</x:f>
        <x:v>0</x:v>
      </x:c>
      <x:c r="V67" s="10" t="str">
        <x:f>IF(ISNUMBER(Q67),O67*(Q67-P67),"n.a.")</x:f>
        <x:v>n.a.</x:v>
      </x:c>
      <x:c r="W67" s="10" t="n">
        <x:f>IF(ISNUMBER(Q67),U67,0)</x:f>
        <x:v>0</x:v>
      </x:c>
      <x:c r="X67" s="8" t="n">
        <x:f>MAX(0,K67-SUM(E67:J67))</x:f>
        <x:v>0</x:v>
      </x:c>
      <x:c r="Y67" s="1" t="str">
        <x:f>IF(AND(O67&gt;0,NOT(ISNUMBER(Q67))),"No proposed replacement standard",IF(X67&gt;0,"Demand exceeds available stock",""))</x:f>
      </x:c>
      <x:c r="Z67" s="1" t="n">
        <x:f>IF(ISNUMBER(Q67),1,0)</x:f>
        <x:v>0</x:v>
      </x:c>
    </x:row>
    <x:row r="68" ht="21" customHeight="1">
      <x:c r="A68" s="17" t="n">
        <x:f>Summary!B15</x:f>
        <x:v>46327</x:v>
      </x:c>
      <x:c r="B68" s="1" t="str">
        <x:f>'Current inventory'!A68</x:f>
        <x:v>10</x:v>
      </x:c>
      <x:c r="C68" s="1" t="str">
        <x:f>'Current inventory'!B68</x:f>
        <x:v>800FGE</x:v>
      </x:c>
      <x:c r="D68" s="7" t="n">
        <x:f>Summary!$D$5</x:f>
        <x:v>46304</x:v>
      </x:c>
      <x:c r="E68" s="8" t="n">
        <x:f>'Current inventory'!M68</x:f>
        <x:v>0</x:v>
      </x:c>
      <x:c r="F68" s="8" t="n">
        <x:f>'Current inventory'!N68</x:f>
        <x:v>0</x:v>
      </x:c>
      <x:c r="G68" s="8" t="n">
        <x:f>'Current inventory'!O68</x:f>
        <x:v>0</x:v>
      </x:c>
      <x:c r="H68" s="8" t="n">
        <x:f>SUMIFS('PO detail'!$U$2:$U$672,'PO detail'!$A$2:$A$672,B68,'PO detail'!$B$2:$B$672,C68,'PO detail'!$G$2:$G$672,"&gt;="&amp;D68,'PO detail'!$G$2:$G$672,"&lt;"&amp;A68)</x:f>
        <x:v>0</x:v>
      </x:c>
      <x:c r="I68" s="8" t="n">
        <x:f>SUMIFS('PO detail'!$V$2:$V$672,'PO detail'!$A$2:$A$672,B68,'PO detail'!$B$2:$B$672,C68,'PO detail'!$G$2:$G$672,"&gt;="&amp;D68,'PO detail'!$G$2:$G$672,"&lt;"&amp;A68)</x:f>
        <x:v>0</x:v>
      </x:c>
      <x:c r="J68" s="8" t="n">
        <x:f>SUMIFS('PO detail'!$W$2:$W$672,'PO detail'!$A$2:$A$672,B68,'PO detail'!$B$2:$B$672,C68,'PO detail'!$G$2:$G$672,"&gt;="&amp;D68,'PO detail'!$G$2:$G$672,"&lt;"&amp;A68)</x:f>
        <x:v>0</x:v>
      </x:c>
      <x:c r="K68" s="8" t="n">
        <x:f>'Current inventory'!E68*Summary!$D$6*(A68-D68)/30.4375</x:f>
        <x:v>0</x:v>
      </x:c>
      <x:c r="L68" s="8" t="n">
        <x:f>MAX(0,E68+H68-K68)</x:f>
        <x:v>0</x:v>
      </x:c>
      <x:c r="M68" s="8" t="n">
        <x:f>MAX(0,F68+I68-MAX(0,K68-E68-H68))</x:f>
        <x:v>0</x:v>
      </x:c>
      <x:c r="N68" s="8" t="n">
        <x:f>MAX(0,G68+J68-K68)</x:f>
        <x:v>0</x:v>
      </x:c>
      <x:c r="O68" s="8" t="n">
        <x:f>SUM(L68:N68)</x:f>
        <x:v>0</x:v>
      </x:c>
      <x:c r="P68" s="14" t="n">
        <x:f>'Current inventory'!V68</x:f>
        <x:v>10.78</x:v>
      </x:c>
      <x:c r="Q68" s="14" t="str">
        <x:f>'Current inventory'!W68</x:f>
        <x:v>n.a.</x:v>
      </x:c>
      <x:c r="R68" s="10" t="n">
        <x:f>L68*P68</x:f>
        <x:v>0</x:v>
      </x:c>
      <x:c r="S68" s="10" t="n">
        <x:f>M68*P68</x:f>
        <x:v>0</x:v>
      </x:c>
      <x:c r="T68" s="10" t="n">
        <x:f>N68*P68</x:f>
        <x:v>0</x:v>
      </x:c>
      <x:c r="U68" s="10" t="n">
        <x:f>O68*P68</x:f>
        <x:v>0</x:v>
      </x:c>
      <x:c r="V68" s="10" t="str">
        <x:f>IF(ISNUMBER(Q68),O68*(Q68-P68),"n.a.")</x:f>
        <x:v>n.a.</x:v>
      </x:c>
      <x:c r="W68" s="10" t="n">
        <x:f>IF(ISNUMBER(Q68),U68,0)</x:f>
        <x:v>0</x:v>
      </x:c>
      <x:c r="X68" s="8" t="n">
        <x:f>MAX(0,K68-SUM(E68:J68))</x:f>
        <x:v>0</x:v>
      </x:c>
      <x:c r="Y68" s="1" t="str">
        <x:f>IF(AND(O68&gt;0,NOT(ISNUMBER(Q68))),"No proposed replacement standard",IF(X68&gt;0,"Demand exceeds available stock",""))</x:f>
      </x:c>
      <x:c r="Z68" s="1" t="n">
        <x:f>IF(ISNUMBER(Q68),1,0)</x:f>
        <x:v>0</x:v>
      </x:c>
    </x:row>
    <x:row r="69" ht="21" customHeight="1">
      <x:c r="A69" s="17" t="n">
        <x:f>Summary!B15</x:f>
        <x:v>46327</x:v>
      </x:c>
      <x:c r="B69" s="1" t="str">
        <x:f>'Current inventory'!A69</x:f>
        <x:v>10</x:v>
      </x:c>
      <x:c r="C69" s="1" t="str">
        <x:f>'Current inventory'!B69</x:f>
        <x:v>800NAVF</x:v>
      </x:c>
      <x:c r="D69" s="7" t="n">
        <x:f>Summary!$D$5</x:f>
        <x:v>46304</x:v>
      </x:c>
      <x:c r="E69" s="8" t="n">
        <x:f>'Current inventory'!M69</x:f>
        <x:v>0</x:v>
      </x:c>
      <x:c r="F69" s="8" t="n">
        <x:f>'Current inventory'!N69</x:f>
        <x:v>0</x:v>
      </x:c>
      <x:c r="G69" s="8" t="n">
        <x:f>'Current inventory'!O69</x:f>
        <x:v>0</x:v>
      </x:c>
      <x:c r="H69" s="8" t="n">
        <x:f>SUMIFS('PO detail'!$U$2:$U$672,'PO detail'!$A$2:$A$672,B69,'PO detail'!$B$2:$B$672,C69,'PO detail'!$G$2:$G$672,"&gt;="&amp;D69,'PO detail'!$G$2:$G$672,"&lt;"&amp;A69)</x:f>
        <x:v>0</x:v>
      </x:c>
      <x:c r="I69" s="8" t="n">
        <x:f>SUMIFS('PO detail'!$V$2:$V$672,'PO detail'!$A$2:$A$672,B69,'PO detail'!$B$2:$B$672,C69,'PO detail'!$G$2:$G$672,"&gt;="&amp;D69,'PO detail'!$G$2:$G$672,"&lt;"&amp;A69)</x:f>
        <x:v>0</x:v>
      </x:c>
      <x:c r="J69" s="8" t="n">
        <x:f>SUMIFS('PO detail'!$W$2:$W$672,'PO detail'!$A$2:$A$672,B69,'PO detail'!$B$2:$B$672,C69,'PO detail'!$G$2:$G$672,"&gt;="&amp;D69,'PO detail'!$G$2:$G$672,"&lt;"&amp;A69)</x:f>
        <x:v>0</x:v>
      </x:c>
      <x:c r="K69" s="8" t="n">
        <x:f>'Current inventory'!E69*Summary!$D$6*(A69-D69)/30.4375</x:f>
        <x:v>0</x:v>
      </x:c>
      <x:c r="L69" s="8" t="n">
        <x:f>MAX(0,E69+H69-K69)</x:f>
        <x:v>0</x:v>
      </x:c>
      <x:c r="M69" s="8" t="n">
        <x:f>MAX(0,F69+I69-MAX(0,K69-E69-H69))</x:f>
        <x:v>0</x:v>
      </x:c>
      <x:c r="N69" s="8" t="n">
        <x:f>MAX(0,G69+J69-K69)</x:f>
        <x:v>0</x:v>
      </x:c>
      <x:c r="O69" s="8" t="n">
        <x:f>SUM(L69:N69)</x:f>
        <x:v>0</x:v>
      </x:c>
      <x:c r="P69" s="14" t="n">
        <x:f>'Current inventory'!V69</x:f>
        <x:v>7.03</x:v>
      </x:c>
      <x:c r="Q69" s="14" t="str">
        <x:f>'Current inventory'!W69</x:f>
        <x:v>n.a.</x:v>
      </x:c>
      <x:c r="R69" s="10" t="n">
        <x:f>L69*P69</x:f>
        <x:v>0</x:v>
      </x:c>
      <x:c r="S69" s="10" t="n">
        <x:f>M69*P69</x:f>
        <x:v>0</x:v>
      </x:c>
      <x:c r="T69" s="10" t="n">
        <x:f>N69*P69</x:f>
        <x:v>0</x:v>
      </x:c>
      <x:c r="U69" s="10" t="n">
        <x:f>O69*P69</x:f>
        <x:v>0</x:v>
      </x:c>
      <x:c r="V69" s="10" t="str">
        <x:f>IF(ISNUMBER(Q69),O69*(Q69-P69),"n.a.")</x:f>
        <x:v>n.a.</x:v>
      </x:c>
      <x:c r="W69" s="10" t="n">
        <x:f>IF(ISNUMBER(Q69),U69,0)</x:f>
        <x:v>0</x:v>
      </x:c>
      <x:c r="X69" s="8" t="n">
        <x:f>MAX(0,K69-SUM(E69:J69))</x:f>
        <x:v>0</x:v>
      </x:c>
      <x:c r="Y69" s="1" t="str">
        <x:f>IF(AND(O69&gt;0,NOT(ISNUMBER(Q69))),"No proposed replacement standard",IF(X69&gt;0,"Demand exceeds available stock",""))</x:f>
      </x:c>
      <x:c r="Z69" s="1" t="n">
        <x:f>IF(ISNUMBER(Q69),1,0)</x:f>
        <x:v>0</x:v>
      </x:c>
    </x:row>
    <x:row r="70" ht="21" customHeight="1">
      <x:c r="A70" s="17" t="n">
        <x:f>Summary!B15</x:f>
        <x:v>46327</x:v>
      </x:c>
      <x:c r="B70" s="1" t="str">
        <x:f>'Current inventory'!A70</x:f>
        <x:v>10</x:v>
      </x:c>
      <x:c r="C70" s="1" t="str">
        <x:f>'Current inventory'!B70</x:f>
        <x:v>800WHTE</x:v>
      </x:c>
      <x:c r="D70" s="7" t="n">
        <x:f>Summary!$D$5</x:f>
        <x:v>46304</x:v>
      </x:c>
      <x:c r="E70" s="8" t="n">
        <x:f>'Current inventory'!M70</x:f>
        <x:v>0</x:v>
      </x:c>
      <x:c r="F70" s="8" t="n">
        <x:f>'Current inventory'!N70</x:f>
        <x:v>0</x:v>
      </x:c>
      <x:c r="G70" s="8" t="n">
        <x:f>'Current inventory'!O70</x:f>
        <x:v>0</x:v>
      </x:c>
      <x:c r="H70" s="8" t="n">
        <x:f>SUMIFS('PO detail'!$U$2:$U$672,'PO detail'!$A$2:$A$672,B70,'PO detail'!$B$2:$B$672,C70,'PO detail'!$G$2:$G$672,"&gt;="&amp;D70,'PO detail'!$G$2:$G$672,"&lt;"&amp;A70)</x:f>
        <x:v>0</x:v>
      </x:c>
      <x:c r="I70" s="8" t="n">
        <x:f>SUMIFS('PO detail'!$V$2:$V$672,'PO detail'!$A$2:$A$672,B70,'PO detail'!$B$2:$B$672,C70,'PO detail'!$G$2:$G$672,"&gt;="&amp;D70,'PO detail'!$G$2:$G$672,"&lt;"&amp;A70)</x:f>
        <x:v>0</x:v>
      </x:c>
      <x:c r="J70" s="8" t="n">
        <x:f>SUMIFS('PO detail'!$W$2:$W$672,'PO detail'!$A$2:$A$672,B70,'PO detail'!$B$2:$B$672,C70,'PO detail'!$G$2:$G$672,"&gt;="&amp;D70,'PO detail'!$G$2:$G$672,"&lt;"&amp;A70)</x:f>
        <x:v>0</x:v>
      </x:c>
      <x:c r="K70" s="8" t="n">
        <x:f>'Current inventory'!E70*Summary!$D$6*(A70-D70)/30.4375</x:f>
        <x:v>0</x:v>
      </x:c>
      <x:c r="L70" s="8" t="n">
        <x:f>MAX(0,E70+H70-K70)</x:f>
        <x:v>0</x:v>
      </x:c>
      <x:c r="M70" s="8" t="n">
        <x:f>MAX(0,F70+I70-MAX(0,K70-E70-H70))</x:f>
        <x:v>0</x:v>
      </x:c>
      <x:c r="N70" s="8" t="n">
        <x:f>MAX(0,G70+J70-K70)</x:f>
        <x:v>0</x:v>
      </x:c>
      <x:c r="O70" s="8" t="n">
        <x:f>SUM(L70:N70)</x:f>
        <x:v>0</x:v>
      </x:c>
      <x:c r="P70" s="14" t="n">
        <x:f>'Current inventory'!V70</x:f>
        <x:v>11.44</x:v>
      </x:c>
      <x:c r="Q70" s="14" t="str">
        <x:f>'Current inventory'!W70</x:f>
        <x:v>n.a.</x:v>
      </x:c>
      <x:c r="R70" s="10" t="n">
        <x:f>L70*P70</x:f>
        <x:v>0</x:v>
      </x:c>
      <x:c r="S70" s="10" t="n">
        <x:f>M70*P70</x:f>
        <x:v>0</x:v>
      </x:c>
      <x:c r="T70" s="10" t="n">
        <x:f>N70*P70</x:f>
        <x:v>0</x:v>
      </x:c>
      <x:c r="U70" s="10" t="n">
        <x:f>O70*P70</x:f>
        <x:v>0</x:v>
      </x:c>
      <x:c r="V70" s="10" t="str">
        <x:f>IF(ISNUMBER(Q70),O70*(Q70-P70),"n.a.")</x:f>
        <x:v>n.a.</x:v>
      </x:c>
      <x:c r="W70" s="10" t="n">
        <x:f>IF(ISNUMBER(Q70),U70,0)</x:f>
        <x:v>0</x:v>
      </x:c>
      <x:c r="X70" s="8" t="n">
        <x:f>MAX(0,K70-SUM(E70:J70))</x:f>
        <x:v>0</x:v>
      </x:c>
      <x:c r="Y70" s="1" t="str">
        <x:f>IF(AND(O70&gt;0,NOT(ISNUMBER(Q70))),"No proposed replacement standard",IF(X70&gt;0,"Demand exceeds available stock",""))</x:f>
      </x:c>
      <x:c r="Z70" s="1" t="n">
        <x:f>IF(ISNUMBER(Q70),1,0)</x:f>
        <x:v>0</x:v>
      </x:c>
    </x:row>
    <x:row r="71" ht="21" customHeight="1">
      <x:c r="A71" s="17" t="n">
        <x:f>Summary!B15</x:f>
        <x:v>46327</x:v>
      </x:c>
      <x:c r="B71" s="1" t="str">
        <x:f>'Current inventory'!A71</x:f>
        <x:v>10</x:v>
      </x:c>
      <x:c r="C71" s="1" t="str">
        <x:f>'Current inventory'!B71</x:f>
        <x:v>880BLKE</x:v>
      </x:c>
      <x:c r="D71" s="7" t="n">
        <x:f>Summary!$D$5</x:f>
        <x:v>46304</x:v>
      </x:c>
      <x:c r="E71" s="8" t="n">
        <x:f>'Current inventory'!M71</x:f>
        <x:v>0</x:v>
      </x:c>
      <x:c r="F71" s="8" t="n">
        <x:f>'Current inventory'!N71</x:f>
        <x:v>0</x:v>
      </x:c>
      <x:c r="G71" s="8" t="n">
        <x:f>'Current inventory'!O71</x:f>
        <x:v>0</x:v>
      </x:c>
      <x:c r="H71" s="8" t="n">
        <x:f>SUMIFS('PO detail'!$U$2:$U$672,'PO detail'!$A$2:$A$672,B71,'PO detail'!$B$2:$B$672,C71,'PO detail'!$G$2:$G$672,"&gt;="&amp;D71,'PO detail'!$G$2:$G$672,"&lt;"&amp;A71)</x:f>
        <x:v>0</x:v>
      </x:c>
      <x:c r="I71" s="8" t="n">
        <x:f>SUMIFS('PO detail'!$V$2:$V$672,'PO detail'!$A$2:$A$672,B71,'PO detail'!$B$2:$B$672,C71,'PO detail'!$G$2:$G$672,"&gt;="&amp;D71,'PO detail'!$G$2:$G$672,"&lt;"&amp;A71)</x:f>
        <x:v>0</x:v>
      </x:c>
      <x:c r="J71" s="8" t="n">
        <x:f>SUMIFS('PO detail'!$W$2:$W$672,'PO detail'!$A$2:$A$672,B71,'PO detail'!$B$2:$B$672,C71,'PO detail'!$G$2:$G$672,"&gt;="&amp;D71,'PO detail'!$G$2:$G$672,"&lt;"&amp;A71)</x:f>
        <x:v>0</x:v>
      </x:c>
      <x:c r="K71" s="8" t="n">
        <x:f>'Current inventory'!E71*Summary!$D$6*(A71-D71)/30.4375</x:f>
        <x:v>0</x:v>
      </x:c>
      <x:c r="L71" s="8" t="n">
        <x:f>MAX(0,E71+H71-K71)</x:f>
        <x:v>0</x:v>
      </x:c>
      <x:c r="M71" s="8" t="n">
        <x:f>MAX(0,F71+I71-MAX(0,K71-E71-H71))</x:f>
        <x:v>0</x:v>
      </x:c>
      <x:c r="N71" s="8" t="n">
        <x:f>MAX(0,G71+J71-K71)</x:f>
        <x:v>0</x:v>
      </x:c>
      <x:c r="O71" s="8" t="n">
        <x:f>SUM(L71:N71)</x:f>
        <x:v>0</x:v>
      </x:c>
      <x:c r="P71" s="14" t="n">
        <x:f>'Current inventory'!V71</x:f>
        <x:v>21.34</x:v>
      </x:c>
      <x:c r="Q71" s="14" t="str">
        <x:f>'Current inventory'!W71</x:f>
        <x:v>n.a.</x:v>
      </x:c>
      <x:c r="R71" s="10" t="n">
        <x:f>L71*P71</x:f>
        <x:v>0</x:v>
      </x:c>
      <x:c r="S71" s="10" t="n">
        <x:f>M71*P71</x:f>
        <x:v>0</x:v>
      </x:c>
      <x:c r="T71" s="10" t="n">
        <x:f>N71*P71</x:f>
        <x:v>0</x:v>
      </x:c>
      <x:c r="U71" s="10" t="n">
        <x:f>O71*P71</x:f>
        <x:v>0</x:v>
      </x:c>
      <x:c r="V71" s="10" t="str">
        <x:f>IF(ISNUMBER(Q71),O71*(Q71-P71),"n.a.")</x:f>
        <x:v>n.a.</x:v>
      </x:c>
      <x:c r="W71" s="10" t="n">
        <x:f>IF(ISNUMBER(Q71),U71,0)</x:f>
        <x:v>0</x:v>
      </x:c>
      <x:c r="X71" s="8" t="n">
        <x:f>MAX(0,K71-SUM(E71:J71))</x:f>
        <x:v>0</x:v>
      </x:c>
      <x:c r="Y71" s="1" t="str">
        <x:f>IF(AND(O71&gt;0,NOT(ISNUMBER(Q71))),"No proposed replacement standard",IF(X71&gt;0,"Demand exceeds available stock",""))</x:f>
      </x:c>
      <x:c r="Z71" s="1" t="n">
        <x:f>IF(ISNUMBER(Q71),1,0)</x:f>
        <x:v>0</x:v>
      </x:c>
    </x:row>
    <x:row r="72" ht="21" customHeight="1">
      <x:c r="A72" s="17" t="n">
        <x:f>Summary!B15</x:f>
        <x:v>46327</x:v>
      </x:c>
      <x:c r="B72" s="1" t="str">
        <x:f>'Current inventory'!A72</x:f>
        <x:v>10</x:v>
      </x:c>
      <x:c r="C72" s="1" t="str">
        <x:f>'Current inventory'!B72</x:f>
        <x:v>880NAVE</x:v>
      </x:c>
      <x:c r="D72" s="7" t="n">
        <x:f>Summary!$D$5</x:f>
        <x:v>46304</x:v>
      </x:c>
      <x:c r="E72" s="8" t="n">
        <x:f>'Current inventory'!M72</x:f>
        <x:v>0</x:v>
      </x:c>
      <x:c r="F72" s="8" t="n">
        <x:f>'Current inventory'!N72</x:f>
        <x:v>0</x:v>
      </x:c>
      <x:c r="G72" s="8" t="n">
        <x:f>'Current inventory'!O72</x:f>
        <x:v>0</x:v>
      </x:c>
      <x:c r="H72" s="8" t="n">
        <x:f>SUMIFS('PO detail'!$U$2:$U$672,'PO detail'!$A$2:$A$672,B72,'PO detail'!$B$2:$B$672,C72,'PO detail'!$G$2:$G$672,"&gt;="&amp;D72,'PO detail'!$G$2:$G$672,"&lt;"&amp;A72)</x:f>
        <x:v>0</x:v>
      </x:c>
      <x:c r="I72" s="8" t="n">
        <x:f>SUMIFS('PO detail'!$V$2:$V$672,'PO detail'!$A$2:$A$672,B72,'PO detail'!$B$2:$B$672,C72,'PO detail'!$G$2:$G$672,"&gt;="&amp;D72,'PO detail'!$G$2:$G$672,"&lt;"&amp;A72)</x:f>
        <x:v>0</x:v>
      </x:c>
      <x:c r="J72" s="8" t="n">
        <x:f>SUMIFS('PO detail'!$W$2:$W$672,'PO detail'!$A$2:$A$672,B72,'PO detail'!$B$2:$B$672,C72,'PO detail'!$G$2:$G$672,"&gt;="&amp;D72,'PO detail'!$G$2:$G$672,"&lt;"&amp;A72)</x:f>
        <x:v>0</x:v>
      </x:c>
      <x:c r="K72" s="8" t="n">
        <x:f>'Current inventory'!E72*Summary!$D$6*(A72-D72)/30.4375</x:f>
        <x:v>0</x:v>
      </x:c>
      <x:c r="L72" s="8" t="n">
        <x:f>MAX(0,E72+H72-K72)</x:f>
        <x:v>0</x:v>
      </x:c>
      <x:c r="M72" s="8" t="n">
        <x:f>MAX(0,F72+I72-MAX(0,K72-E72-H72))</x:f>
        <x:v>0</x:v>
      </x:c>
      <x:c r="N72" s="8" t="n">
        <x:f>MAX(0,G72+J72-K72)</x:f>
        <x:v>0</x:v>
      </x:c>
      <x:c r="O72" s="8" t="n">
        <x:f>SUM(L72:N72)</x:f>
        <x:v>0</x:v>
      </x:c>
      <x:c r="P72" s="14" t="n">
        <x:f>'Current inventory'!V72</x:f>
        <x:v>21.34</x:v>
      </x:c>
      <x:c r="Q72" s="14" t="str">
        <x:f>'Current inventory'!W72</x:f>
        <x:v>n.a.</x:v>
      </x:c>
      <x:c r="R72" s="10" t="n">
        <x:f>L72*P72</x:f>
        <x:v>0</x:v>
      </x:c>
      <x:c r="S72" s="10" t="n">
        <x:f>M72*P72</x:f>
        <x:v>0</x:v>
      </x:c>
      <x:c r="T72" s="10" t="n">
        <x:f>N72*P72</x:f>
        <x:v>0</x:v>
      </x:c>
      <x:c r="U72" s="10" t="n">
        <x:f>O72*P72</x:f>
        <x:v>0</x:v>
      </x:c>
      <x:c r="V72" s="10" t="str">
        <x:f>IF(ISNUMBER(Q72),O72*(Q72-P72),"n.a.")</x:f>
        <x:v>n.a.</x:v>
      </x:c>
      <x:c r="W72" s="10" t="n">
        <x:f>IF(ISNUMBER(Q72),U72,0)</x:f>
        <x:v>0</x:v>
      </x:c>
      <x:c r="X72" s="8" t="n">
        <x:f>MAX(0,K72-SUM(E72:J72))</x:f>
        <x:v>0</x:v>
      </x:c>
      <x:c r="Y72" s="1" t="str">
        <x:f>IF(AND(O72&gt;0,NOT(ISNUMBER(Q72))),"No proposed replacement standard",IF(X72&gt;0,"Demand exceeds available stock",""))</x:f>
      </x:c>
      <x:c r="Z72" s="1" t="n">
        <x:f>IF(ISNUMBER(Q72),1,0)</x:f>
        <x:v>0</x:v>
      </x:c>
    </x:row>
    <x:row r="73" ht="21" customHeight="1">
      <x:c r="A73" s="17" t="n">
        <x:f>Summary!B15</x:f>
        <x:v>46327</x:v>
      </x:c>
      <x:c r="B73" s="1" t="str">
        <x:f>'Current inventory'!A73</x:f>
        <x:v>10</x:v>
      </x:c>
      <x:c r="C73" s="1" t="str">
        <x:f>'Current inventory'!B73</x:f>
        <x:v>800BLKTB</x:v>
      </x:c>
      <x:c r="D73" s="7" t="n">
        <x:f>Summary!$D$5</x:f>
        <x:v>46304</x:v>
      </x:c>
      <x:c r="E73" s="8" t="n">
        <x:f>'Current inventory'!M73</x:f>
        <x:v>0</x:v>
      </x:c>
      <x:c r="F73" s="8" t="n">
        <x:f>'Current inventory'!N73</x:f>
        <x:v>0</x:v>
      </x:c>
      <x:c r="G73" s="8" t="n">
        <x:f>'Current inventory'!O73</x:f>
        <x:v>1050</x:v>
      </x:c>
      <x:c r="H73" s="8" t="n">
        <x:f>SUMIFS('PO detail'!$U$2:$U$672,'PO detail'!$A$2:$A$672,B73,'PO detail'!$B$2:$B$672,C73,'PO detail'!$G$2:$G$672,"&gt;="&amp;D73,'PO detail'!$G$2:$G$672,"&lt;"&amp;A73)</x:f>
        <x:v>0</x:v>
      </x:c>
      <x:c r="I73" s="8" t="n">
        <x:f>SUMIFS('PO detail'!$V$2:$V$672,'PO detail'!$A$2:$A$672,B73,'PO detail'!$B$2:$B$672,C73,'PO detail'!$G$2:$G$672,"&gt;="&amp;D73,'PO detail'!$G$2:$G$672,"&lt;"&amp;A73)</x:f>
        <x:v>0</x:v>
      </x:c>
      <x:c r="J73" s="8" t="n">
        <x:f>SUMIFS('PO detail'!$W$2:$W$672,'PO detail'!$A$2:$A$672,B73,'PO detail'!$B$2:$B$672,C73,'PO detail'!$G$2:$G$672,"&gt;="&amp;D73,'PO detail'!$G$2:$G$672,"&lt;"&amp;A73)</x:f>
        <x:v>0</x:v>
      </x:c>
      <x:c r="K73" s="8" t="n">
        <x:f>'Current inventory'!E73*Summary!$D$6*(A73-D73)/30.4375</x:f>
        <x:v>0</x:v>
      </x:c>
      <x:c r="L73" s="8" t="n">
        <x:f>MAX(0,E73+H73-K73)</x:f>
        <x:v>0</x:v>
      </x:c>
      <x:c r="M73" s="8" t="n">
        <x:f>MAX(0,F73+I73-MAX(0,K73-E73-H73))</x:f>
        <x:v>0</x:v>
      </x:c>
      <x:c r="N73" s="8" t="n">
        <x:f>MAX(0,G73+J73-K73)</x:f>
        <x:v>1050</x:v>
      </x:c>
      <x:c r="O73" s="8" t="n">
        <x:f>SUM(L73:N73)</x:f>
        <x:v>1050</x:v>
      </x:c>
      <x:c r="P73" s="14" t="n">
        <x:f>'Current inventory'!V73</x:f>
        <x:v>0.532</x:v>
      </x:c>
      <x:c r="Q73" s="14" t="str">
        <x:f>'Current inventory'!W73</x:f>
        <x:v>n.a.</x:v>
      </x:c>
      <x:c r="R73" s="10" t="n">
        <x:f>L73*P73</x:f>
        <x:v>0</x:v>
      </x:c>
      <x:c r="S73" s="10" t="n">
        <x:f>M73*P73</x:f>
        <x:v>0</x:v>
      </x:c>
      <x:c r="T73" s="10" t="n">
        <x:f>N73*P73</x:f>
        <x:v>558.6</x:v>
      </x:c>
      <x:c r="U73" s="10" t="n">
        <x:f>O73*P73</x:f>
        <x:v>558.6</x:v>
      </x:c>
      <x:c r="V73" s="10" t="str">
        <x:f>IF(ISNUMBER(Q73),O73*(Q73-P73),"n.a.")</x:f>
        <x:v>n.a.</x:v>
      </x:c>
      <x:c r="W73" s="10" t="n">
        <x:f>IF(ISNUMBER(Q73),U73,0)</x:f>
        <x:v>0</x:v>
      </x:c>
      <x:c r="X73" s="8" t="n">
        <x:f>MAX(0,K73-SUM(E73:J73))</x:f>
        <x:v>0</x:v>
      </x:c>
      <x:c r="Y73" s="1" t="str">
        <x:f>IF(AND(O73&gt;0,NOT(ISNUMBER(Q73))),"No proposed replacement standard",IF(X73&gt;0,"Demand exceeds available stock",""))</x:f>
        <x:v>No proposed replacement standard</x:v>
      </x:c>
      <x:c r="Z73" s="1" t="n">
        <x:f>IF(ISNUMBER(Q73),1,0)</x:f>
        <x:v>0</x:v>
      </x:c>
    </x:row>
    <x:row r="74" ht="21" customHeight="1">
      <x:c r="A74" s="17" t="n">
        <x:f>Summary!B15</x:f>
        <x:v>46327</x:v>
      </x:c>
      <x:c r="B74" s="1" t="str">
        <x:f>'Current inventory'!A74</x:f>
        <x:v>10</x:v>
      </x:c>
      <x:c r="C74" s="1" t="str">
        <x:f>'Current inventory'!B74</x:f>
        <x:v>800BREDASC</x:v>
      </x:c>
      <x:c r="D74" s="7" t="n">
        <x:f>Summary!$D$5</x:f>
        <x:v>46304</x:v>
      </x:c>
      <x:c r="E74" s="8" t="n">
        <x:f>'Current inventory'!M74</x:f>
        <x:v>0</x:v>
      </x:c>
      <x:c r="F74" s="8" t="n">
        <x:f>'Current inventory'!N74</x:f>
        <x:v>0</x:v>
      </x:c>
      <x:c r="G74" s="8" t="n">
        <x:f>'Current inventory'!O74</x:f>
        <x:v>0</x:v>
      </x:c>
      <x:c r="H74" s="8" t="n">
        <x:f>SUMIFS('PO detail'!$U$2:$U$672,'PO detail'!$A$2:$A$672,B74,'PO detail'!$B$2:$B$672,C74,'PO detail'!$G$2:$G$672,"&gt;="&amp;D74,'PO detail'!$G$2:$G$672,"&lt;"&amp;A74)</x:f>
        <x:v>0</x:v>
      </x:c>
      <x:c r="I74" s="8" t="n">
        <x:f>SUMIFS('PO detail'!$V$2:$V$672,'PO detail'!$A$2:$A$672,B74,'PO detail'!$B$2:$B$672,C74,'PO detail'!$G$2:$G$672,"&gt;="&amp;D74,'PO detail'!$G$2:$G$672,"&lt;"&amp;A74)</x:f>
        <x:v>0</x:v>
      </x:c>
      <x:c r="J74" s="8" t="n">
        <x:f>SUMIFS('PO detail'!$W$2:$W$672,'PO detail'!$A$2:$A$672,B74,'PO detail'!$B$2:$B$672,C74,'PO detail'!$G$2:$G$672,"&gt;="&amp;D74,'PO detail'!$G$2:$G$672,"&lt;"&amp;A74)</x:f>
        <x:v>0</x:v>
      </x:c>
      <x:c r="K74" s="8" t="n">
        <x:f>'Current inventory'!E74*Summary!$D$6*(A74-D74)/30.4375</x:f>
        <x:v>0</x:v>
      </x:c>
      <x:c r="L74" s="8" t="n">
        <x:f>MAX(0,E74+H74-K74)</x:f>
        <x:v>0</x:v>
      </x:c>
      <x:c r="M74" s="8" t="n">
        <x:f>MAX(0,F74+I74-MAX(0,K74-E74-H74))</x:f>
        <x:v>0</x:v>
      </x:c>
      <x:c r="N74" s="8" t="n">
        <x:f>MAX(0,G74+J74-K74)</x:f>
        <x:v>0</x:v>
      </x:c>
      <x:c r="O74" s="8" t="n">
        <x:f>SUM(L74:N74)</x:f>
        <x:v>0</x:v>
      </x:c>
      <x:c r="P74" s="14" t="n">
        <x:f>'Current inventory'!V74</x:f>
        <x:v>0.07919999999999999</x:v>
      </x:c>
      <x:c r="Q74" s="14" t="str">
        <x:f>'Current inventory'!W74</x:f>
        <x:v>n.a.</x:v>
      </x:c>
      <x:c r="R74" s="10" t="n">
        <x:f>L74*P74</x:f>
        <x:v>0</x:v>
      </x:c>
      <x:c r="S74" s="10" t="n">
        <x:f>M74*P74</x:f>
        <x:v>0</x:v>
      </x:c>
      <x:c r="T74" s="10" t="n">
        <x:f>N74*P74</x:f>
        <x:v>0</x:v>
      </x:c>
      <x:c r="U74" s="10" t="n">
        <x:f>O74*P74</x:f>
        <x:v>0</x:v>
      </x:c>
      <x:c r="V74" s="10" t="str">
        <x:f>IF(ISNUMBER(Q74),O74*(Q74-P74),"n.a.")</x:f>
        <x:v>n.a.</x:v>
      </x:c>
      <x:c r="W74" s="10" t="n">
        <x:f>IF(ISNUMBER(Q74),U74,0)</x:f>
        <x:v>0</x:v>
      </x:c>
      <x:c r="X74" s="8" t="n">
        <x:f>MAX(0,K74-SUM(E74:J74))</x:f>
        <x:v>0</x:v>
      </x:c>
      <x:c r="Y74" s="1" t="str">
        <x:f>IF(AND(O74&gt;0,NOT(ISNUMBER(Q74))),"No proposed replacement standard",IF(X74&gt;0,"Demand exceeds available stock",""))</x:f>
      </x:c>
      <x:c r="Z74" s="1" t="n">
        <x:f>IF(ISNUMBER(Q74),1,0)</x:f>
        <x:v>0</x:v>
      </x:c>
    </x:row>
    <x:row r="75" ht="21" customHeight="1">
      <x:c r="A75" s="17" t="n">
        <x:f>Summary!B15</x:f>
        <x:v>46327</x:v>
      </x:c>
      <x:c r="B75" s="1" t="str">
        <x:f>'Current inventory'!A75</x:f>
        <x:v>10</x:v>
      </x:c>
      <x:c r="C75" s="1" t="str">
        <x:f>'Current inventory'!B75</x:f>
        <x:v>800BREDBRC</x:v>
      </x:c>
      <x:c r="D75" s="7" t="n">
        <x:f>Summary!$D$5</x:f>
        <x:v>46304</x:v>
      </x:c>
      <x:c r="E75" s="8" t="n">
        <x:f>'Current inventory'!M75</x:f>
        <x:v>0</x:v>
      </x:c>
      <x:c r="F75" s="8" t="n">
        <x:f>'Current inventory'!N75</x:f>
        <x:v>0</x:v>
      </x:c>
      <x:c r="G75" s="8" t="n">
        <x:f>'Current inventory'!O75</x:f>
        <x:v>0</x:v>
      </x:c>
      <x:c r="H75" s="8" t="n">
        <x:f>SUMIFS('PO detail'!$U$2:$U$672,'PO detail'!$A$2:$A$672,B75,'PO detail'!$B$2:$B$672,C75,'PO detail'!$G$2:$G$672,"&gt;="&amp;D75,'PO detail'!$G$2:$G$672,"&lt;"&amp;A75)</x:f>
        <x:v>0</x:v>
      </x:c>
      <x:c r="I75" s="8" t="n">
        <x:f>SUMIFS('PO detail'!$V$2:$V$672,'PO detail'!$A$2:$A$672,B75,'PO detail'!$B$2:$B$672,C75,'PO detail'!$G$2:$G$672,"&gt;="&amp;D75,'PO detail'!$G$2:$G$672,"&lt;"&amp;A75)</x:f>
        <x:v>0</x:v>
      </x:c>
      <x:c r="J75" s="8" t="n">
        <x:f>SUMIFS('PO detail'!$W$2:$W$672,'PO detail'!$A$2:$A$672,B75,'PO detail'!$B$2:$B$672,C75,'PO detail'!$G$2:$G$672,"&gt;="&amp;D75,'PO detail'!$G$2:$G$672,"&lt;"&amp;A75)</x:f>
        <x:v>0</x:v>
      </x:c>
      <x:c r="K75" s="8" t="n">
        <x:f>'Current inventory'!E75*Summary!$D$6*(A75-D75)/30.4375</x:f>
        <x:v>0</x:v>
      </x:c>
      <x:c r="L75" s="8" t="n">
        <x:f>MAX(0,E75+H75-K75)</x:f>
        <x:v>0</x:v>
      </x:c>
      <x:c r="M75" s="8" t="n">
        <x:f>MAX(0,F75+I75-MAX(0,K75-E75-H75))</x:f>
        <x:v>0</x:v>
      </x:c>
      <x:c r="N75" s="8" t="n">
        <x:f>MAX(0,G75+J75-K75)</x:f>
        <x:v>0</x:v>
      </x:c>
      <x:c r="O75" s="8" t="n">
        <x:f>SUM(L75:N75)</x:f>
        <x:v>0</x:v>
      </x:c>
      <x:c r="P75" s="14" t="n">
        <x:f>'Current inventory'!V75</x:f>
        <x:v>0.0898</x:v>
      </x:c>
      <x:c r="Q75" s="14" t="str">
        <x:f>'Current inventory'!W75</x:f>
        <x:v>n.a.</x:v>
      </x:c>
      <x:c r="R75" s="10" t="n">
        <x:f>L75*P75</x:f>
        <x:v>0</x:v>
      </x:c>
      <x:c r="S75" s="10" t="n">
        <x:f>M75*P75</x:f>
        <x:v>0</x:v>
      </x:c>
      <x:c r="T75" s="10" t="n">
        <x:f>N75*P75</x:f>
        <x:v>0</x:v>
      </x:c>
      <x:c r="U75" s="10" t="n">
        <x:f>O75*P75</x:f>
        <x:v>0</x:v>
      </x:c>
      <x:c r="V75" s="10" t="str">
        <x:f>IF(ISNUMBER(Q75),O75*(Q75-P75),"n.a.")</x:f>
        <x:v>n.a.</x:v>
      </x:c>
      <x:c r="W75" s="10" t="n">
        <x:f>IF(ISNUMBER(Q75),U75,0)</x:f>
        <x:v>0</x:v>
      </x:c>
      <x:c r="X75" s="8" t="n">
        <x:f>MAX(0,K75-SUM(E75:J75))</x:f>
        <x:v>0</x:v>
      </x:c>
      <x:c r="Y75" s="1" t="str">
        <x:f>IF(AND(O75&gt;0,NOT(ISNUMBER(Q75))),"No proposed replacement standard",IF(X75&gt;0,"Demand exceeds available stock",""))</x:f>
      </x:c>
      <x:c r="Z75" s="1" t="n">
        <x:f>IF(ISNUMBER(Q75),1,0)</x:f>
        <x:v>0</x:v>
      </x:c>
    </x:row>
    <x:row r="76" ht="21" customHeight="1">
      <x:c r="A76" s="17" t="n">
        <x:f>Summary!B15</x:f>
        <x:v>46327</x:v>
      </x:c>
      <x:c r="B76" s="1" t="str">
        <x:f>'Current inventory'!A76</x:f>
        <x:v>10</x:v>
      </x:c>
      <x:c r="C76" s="1" t="str">
        <x:f>'Current inventory'!B76</x:f>
        <x:v>800WBLKBRC</x:v>
      </x:c>
      <x:c r="D76" s="7" t="n">
        <x:f>Summary!$D$5</x:f>
        <x:v>46304</x:v>
      </x:c>
      <x:c r="E76" s="8" t="n">
        <x:f>'Current inventory'!M76</x:f>
        <x:v>0</x:v>
      </x:c>
      <x:c r="F76" s="8" t="n">
        <x:f>'Current inventory'!N76</x:f>
        <x:v>0</x:v>
      </x:c>
      <x:c r="G76" s="8" t="n">
        <x:f>'Current inventory'!O76</x:f>
        <x:v>200</x:v>
      </x:c>
      <x:c r="H76" s="8" t="n">
        <x:f>SUMIFS('PO detail'!$U$2:$U$672,'PO detail'!$A$2:$A$672,B76,'PO detail'!$B$2:$B$672,C76,'PO detail'!$G$2:$G$672,"&gt;="&amp;D76,'PO detail'!$G$2:$G$672,"&lt;"&amp;A76)</x:f>
        <x:v>0</x:v>
      </x:c>
      <x:c r="I76" s="8" t="n">
        <x:f>SUMIFS('PO detail'!$V$2:$V$672,'PO detail'!$A$2:$A$672,B76,'PO detail'!$B$2:$B$672,C76,'PO detail'!$G$2:$G$672,"&gt;="&amp;D76,'PO detail'!$G$2:$G$672,"&lt;"&amp;A76)</x:f>
        <x:v>0</x:v>
      </x:c>
      <x:c r="J76" s="8" t="n">
        <x:f>SUMIFS('PO detail'!$W$2:$W$672,'PO detail'!$A$2:$A$672,B76,'PO detail'!$B$2:$B$672,C76,'PO detail'!$G$2:$G$672,"&gt;="&amp;D76,'PO detail'!$G$2:$G$672,"&lt;"&amp;A76)</x:f>
        <x:v>0</x:v>
      </x:c>
      <x:c r="K76" s="8" t="n">
        <x:f>'Current inventory'!E76*Summary!$D$6*(A76-D76)/30.4375</x:f>
        <x:v>0</x:v>
      </x:c>
      <x:c r="L76" s="8" t="n">
        <x:f>MAX(0,E76+H76-K76)</x:f>
        <x:v>0</x:v>
      </x:c>
      <x:c r="M76" s="8" t="n">
        <x:f>MAX(0,F76+I76-MAX(0,K76-E76-H76))</x:f>
        <x:v>0</x:v>
      </x:c>
      <x:c r="N76" s="8" t="n">
        <x:f>MAX(0,G76+J76-K76)</x:f>
        <x:v>200</x:v>
      </x:c>
      <x:c r="O76" s="8" t="n">
        <x:f>SUM(L76:N76)</x:f>
        <x:v>200</x:v>
      </x:c>
      <x:c r="P76" s="14" t="n">
        <x:f>'Current inventory'!V76</x:f>
        <x:v>0.14150000000000001</x:v>
      </x:c>
      <x:c r="Q76" s="14" t="str">
        <x:f>'Current inventory'!W76</x:f>
        <x:v>n.a.</x:v>
      </x:c>
      <x:c r="R76" s="10" t="n">
        <x:f>L76*P76</x:f>
        <x:v>0</x:v>
      </x:c>
      <x:c r="S76" s="10" t="n">
        <x:f>M76*P76</x:f>
        <x:v>0</x:v>
      </x:c>
      <x:c r="T76" s="10" t="n">
        <x:f>N76*P76</x:f>
        <x:v>28.300000000000004</x:v>
      </x:c>
      <x:c r="U76" s="10" t="n">
        <x:f>O76*P76</x:f>
        <x:v>28.300000000000004</x:v>
      </x:c>
      <x:c r="V76" s="10" t="str">
        <x:f>IF(ISNUMBER(Q76),O76*(Q76-P76),"n.a.")</x:f>
        <x:v>n.a.</x:v>
      </x:c>
      <x:c r="W76" s="10" t="n">
        <x:f>IF(ISNUMBER(Q76),U76,0)</x:f>
        <x:v>0</x:v>
      </x:c>
      <x:c r="X76" s="8" t="n">
        <x:f>MAX(0,K76-SUM(E76:J76))</x:f>
        <x:v>0</x:v>
      </x:c>
      <x:c r="Y76" s="1" t="str">
        <x:f>IF(AND(O76&gt;0,NOT(ISNUMBER(Q76))),"No proposed replacement standard",IF(X76&gt;0,"Demand exceeds available stock",""))</x:f>
        <x:v>No proposed replacement standard</x:v>
      </x:c>
      <x:c r="Z76" s="1" t="n">
        <x:f>IF(ISNUMBER(Q76),1,0)</x:f>
        <x:v>0</x:v>
      </x:c>
    </x:row>
    <x:row r="77" ht="21" customHeight="1">
      <x:c r="A77" s="17" t="n">
        <x:f>Summary!B15</x:f>
        <x:v>46327</x:v>
      </x:c>
      <x:c r="B77" s="1" t="str">
        <x:f>'Current inventory'!A77</x:f>
        <x:v>10</x:v>
      </x:c>
      <x:c r="C77" s="1" t="str">
        <x:f>'Current inventory'!B77</x:f>
        <x:v>800WFGASC</x:v>
      </x:c>
      <x:c r="D77" s="7" t="n">
        <x:f>Summary!$D$5</x:f>
        <x:v>46304</x:v>
      </x:c>
      <x:c r="E77" s="8" t="n">
        <x:f>'Current inventory'!M77</x:f>
        <x:v>0</x:v>
      </x:c>
      <x:c r="F77" s="8" t="n">
        <x:f>'Current inventory'!N77</x:f>
        <x:v>0</x:v>
      </x:c>
      <x:c r="G77" s="8" t="n">
        <x:f>'Current inventory'!O77</x:f>
        <x:v>0</x:v>
      </x:c>
      <x:c r="H77" s="8" t="n">
        <x:f>SUMIFS('PO detail'!$U$2:$U$672,'PO detail'!$A$2:$A$672,B77,'PO detail'!$B$2:$B$672,C77,'PO detail'!$G$2:$G$672,"&gt;="&amp;D77,'PO detail'!$G$2:$G$672,"&lt;"&amp;A77)</x:f>
        <x:v>0</x:v>
      </x:c>
      <x:c r="I77" s="8" t="n">
        <x:f>SUMIFS('PO detail'!$V$2:$V$672,'PO detail'!$A$2:$A$672,B77,'PO detail'!$B$2:$B$672,C77,'PO detail'!$G$2:$G$672,"&gt;="&amp;D77,'PO detail'!$G$2:$G$672,"&lt;"&amp;A77)</x:f>
        <x:v>0</x:v>
      </x:c>
      <x:c r="J77" s="8" t="n">
        <x:f>SUMIFS('PO detail'!$W$2:$W$672,'PO detail'!$A$2:$A$672,B77,'PO detail'!$B$2:$B$672,C77,'PO detail'!$G$2:$G$672,"&gt;="&amp;D77,'PO detail'!$G$2:$G$672,"&lt;"&amp;A77)</x:f>
        <x:v>0</x:v>
      </x:c>
      <x:c r="K77" s="8" t="n">
        <x:f>'Current inventory'!E77*Summary!$D$6*(A77-D77)/30.4375</x:f>
        <x:v>0</x:v>
      </x:c>
      <x:c r="L77" s="8" t="n">
        <x:f>MAX(0,E77+H77-K77)</x:f>
        <x:v>0</x:v>
      </x:c>
      <x:c r="M77" s="8" t="n">
        <x:f>MAX(0,F77+I77-MAX(0,K77-E77-H77))</x:f>
        <x:v>0</x:v>
      </x:c>
      <x:c r="N77" s="8" t="n">
        <x:f>MAX(0,G77+J77-K77)</x:f>
        <x:v>0</x:v>
      </x:c>
      <x:c r="O77" s="8" t="n">
        <x:f>SUM(L77:N77)</x:f>
        <x:v>0</x:v>
      </x:c>
      <x:c r="P77" s="14" t="n">
        <x:f>'Current inventory'!V77</x:f>
        <x:v>0.1456</x:v>
      </x:c>
      <x:c r="Q77" s="14" t="str">
        <x:f>'Current inventory'!W77</x:f>
        <x:v>n.a.</x:v>
      </x:c>
      <x:c r="R77" s="10" t="n">
        <x:f>L77*P77</x:f>
        <x:v>0</x:v>
      </x:c>
      <x:c r="S77" s="10" t="n">
        <x:f>M77*P77</x:f>
        <x:v>0</x:v>
      </x:c>
      <x:c r="T77" s="10" t="n">
        <x:f>N77*P77</x:f>
        <x:v>0</x:v>
      </x:c>
      <x:c r="U77" s="10" t="n">
        <x:f>O77*P77</x:f>
        <x:v>0</x:v>
      </x:c>
      <x:c r="V77" s="10" t="str">
        <x:f>IF(ISNUMBER(Q77),O77*(Q77-P77),"n.a.")</x:f>
        <x:v>n.a.</x:v>
      </x:c>
      <x:c r="W77" s="10" t="n">
        <x:f>IF(ISNUMBER(Q77),U77,0)</x:f>
        <x:v>0</x:v>
      </x:c>
      <x:c r="X77" s="8" t="n">
        <x:f>MAX(0,K77-SUM(E77:J77))</x:f>
        <x:v>0</x:v>
      </x:c>
      <x:c r="Y77" s="1" t="str">
        <x:f>IF(AND(O77&gt;0,NOT(ISNUMBER(Q77))),"No proposed replacement standard",IF(X77&gt;0,"Demand exceeds available stock",""))</x:f>
      </x:c>
      <x:c r="Z77" s="1" t="n">
        <x:f>IF(ISNUMBER(Q77),1,0)</x:f>
        <x:v>0</x:v>
      </x:c>
    </x:row>
    <x:row r="78" ht="21" customHeight="1">
      <x:c r="A78" s="17" t="n">
        <x:f>Summary!B15</x:f>
        <x:v>46327</x:v>
      </x:c>
      <x:c r="B78" s="1" t="str">
        <x:f>'Current inventory'!A78</x:f>
        <x:v>10</x:v>
      </x:c>
      <x:c r="C78" s="1" t="str">
        <x:f>'Current inventory'!B78</x:f>
        <x:v>800WFGBRC</x:v>
      </x:c>
      <x:c r="D78" s="7" t="n">
        <x:f>Summary!$D$5</x:f>
        <x:v>46304</x:v>
      </x:c>
      <x:c r="E78" s="8" t="n">
        <x:f>'Current inventory'!M78</x:f>
        <x:v>0</x:v>
      </x:c>
      <x:c r="F78" s="8" t="n">
        <x:f>'Current inventory'!N78</x:f>
        <x:v>0</x:v>
      </x:c>
      <x:c r="G78" s="8" t="n">
        <x:f>'Current inventory'!O78</x:f>
        <x:v>0</x:v>
      </x:c>
      <x:c r="H78" s="8" t="n">
        <x:f>SUMIFS('PO detail'!$U$2:$U$672,'PO detail'!$A$2:$A$672,B78,'PO detail'!$B$2:$B$672,C78,'PO detail'!$G$2:$G$672,"&gt;="&amp;D78,'PO detail'!$G$2:$G$672,"&lt;"&amp;A78)</x:f>
        <x:v>0</x:v>
      </x:c>
      <x:c r="I78" s="8" t="n">
        <x:f>SUMIFS('PO detail'!$V$2:$V$672,'PO detail'!$A$2:$A$672,B78,'PO detail'!$B$2:$B$672,C78,'PO detail'!$G$2:$G$672,"&gt;="&amp;D78,'PO detail'!$G$2:$G$672,"&lt;"&amp;A78)</x:f>
        <x:v>0</x:v>
      </x:c>
      <x:c r="J78" s="8" t="n">
        <x:f>SUMIFS('PO detail'!$W$2:$W$672,'PO detail'!$A$2:$A$672,B78,'PO detail'!$B$2:$B$672,C78,'PO detail'!$G$2:$G$672,"&gt;="&amp;D78,'PO detail'!$G$2:$G$672,"&lt;"&amp;A78)</x:f>
        <x:v>0</x:v>
      </x:c>
      <x:c r="K78" s="8" t="n">
        <x:f>'Current inventory'!E78*Summary!$D$6*(A78-D78)/30.4375</x:f>
        <x:v>0</x:v>
      </x:c>
      <x:c r="L78" s="8" t="n">
        <x:f>MAX(0,E78+H78-K78)</x:f>
        <x:v>0</x:v>
      </x:c>
      <x:c r="M78" s="8" t="n">
        <x:f>MAX(0,F78+I78-MAX(0,K78-E78-H78))</x:f>
        <x:v>0</x:v>
      </x:c>
      <x:c r="N78" s="8" t="n">
        <x:f>MAX(0,G78+J78-K78)</x:f>
        <x:v>0</x:v>
      </x:c>
      <x:c r="O78" s="8" t="n">
        <x:f>SUM(L78:N78)</x:f>
        <x:v>0</x:v>
      </x:c>
      <x:c r="P78" s="14" t="n">
        <x:f>'Current inventory'!V78</x:f>
        <x:v>0.18469999999999998</x:v>
      </x:c>
      <x:c r="Q78" s="14" t="str">
        <x:f>'Current inventory'!W78</x:f>
        <x:v>n.a.</x:v>
      </x:c>
      <x:c r="R78" s="10" t="n">
        <x:f>L78*P78</x:f>
        <x:v>0</x:v>
      </x:c>
      <x:c r="S78" s="10" t="n">
        <x:f>M78*P78</x:f>
        <x:v>0</x:v>
      </x:c>
      <x:c r="T78" s="10" t="n">
        <x:f>N78*P78</x:f>
        <x:v>0</x:v>
      </x:c>
      <x:c r="U78" s="10" t="n">
        <x:f>O78*P78</x:f>
        <x:v>0</x:v>
      </x:c>
      <x:c r="V78" s="10" t="str">
        <x:f>IF(ISNUMBER(Q78),O78*(Q78-P78),"n.a.")</x:f>
        <x:v>n.a.</x:v>
      </x:c>
      <x:c r="W78" s="10" t="n">
        <x:f>IF(ISNUMBER(Q78),U78,0)</x:f>
        <x:v>0</x:v>
      </x:c>
      <x:c r="X78" s="8" t="n">
        <x:f>MAX(0,K78-SUM(E78:J78))</x:f>
        <x:v>0</x:v>
      </x:c>
      <x:c r="Y78" s="1" t="str">
        <x:f>IF(AND(O78&gt;0,NOT(ISNUMBER(Q78))),"No proposed replacement standard",IF(X78&gt;0,"Demand exceeds available stock",""))</x:f>
      </x:c>
      <x:c r="Z78" s="1" t="n">
        <x:f>IF(ISNUMBER(Q78),1,0)</x:f>
        <x:v>0</x:v>
      </x:c>
    </x:row>
    <x:row r="79" ht="21" customHeight="1">
      <x:c r="A79" s="17" t="n">
        <x:f>Summary!B15</x:f>
        <x:v>46327</x:v>
      </x:c>
      <x:c r="B79" s="1" t="str">
        <x:f>'Current inventory'!A79</x:f>
        <x:v>10</x:v>
      </x:c>
      <x:c r="C79" s="1" t="str">
        <x:f>'Current inventory'!B79</x:f>
        <x:v>800WMARBRC</x:v>
      </x:c>
      <x:c r="D79" s="7" t="n">
        <x:f>Summary!$D$5</x:f>
        <x:v>46304</x:v>
      </x:c>
      <x:c r="E79" s="8" t="n">
        <x:f>'Current inventory'!M79</x:f>
        <x:v>0</x:v>
      </x:c>
      <x:c r="F79" s="8" t="n">
        <x:f>'Current inventory'!N79</x:f>
        <x:v>0</x:v>
      </x:c>
      <x:c r="G79" s="8" t="n">
        <x:f>'Current inventory'!O79</x:f>
        <x:v>900</x:v>
      </x:c>
      <x:c r="H79" s="8" t="n">
        <x:f>SUMIFS('PO detail'!$U$2:$U$672,'PO detail'!$A$2:$A$672,B79,'PO detail'!$B$2:$B$672,C79,'PO detail'!$G$2:$G$672,"&gt;="&amp;D79,'PO detail'!$G$2:$G$672,"&lt;"&amp;A79)</x:f>
        <x:v>0</x:v>
      </x:c>
      <x:c r="I79" s="8" t="n">
        <x:f>SUMIFS('PO detail'!$V$2:$V$672,'PO detail'!$A$2:$A$672,B79,'PO detail'!$B$2:$B$672,C79,'PO detail'!$G$2:$G$672,"&gt;="&amp;D79,'PO detail'!$G$2:$G$672,"&lt;"&amp;A79)</x:f>
        <x:v>0</x:v>
      </x:c>
      <x:c r="J79" s="8" t="n">
        <x:f>SUMIFS('PO detail'!$W$2:$W$672,'PO detail'!$A$2:$A$672,B79,'PO detail'!$B$2:$B$672,C79,'PO detail'!$G$2:$G$672,"&gt;="&amp;D79,'PO detail'!$G$2:$G$672,"&lt;"&amp;A79)</x:f>
        <x:v>0</x:v>
      </x:c>
      <x:c r="K79" s="8" t="n">
        <x:f>'Current inventory'!E79*Summary!$D$6*(A79-D79)/30.4375</x:f>
        <x:v>0</x:v>
      </x:c>
      <x:c r="L79" s="8" t="n">
        <x:f>MAX(0,E79+H79-K79)</x:f>
        <x:v>0</x:v>
      </x:c>
      <x:c r="M79" s="8" t="n">
        <x:f>MAX(0,F79+I79-MAX(0,K79-E79-H79))</x:f>
        <x:v>0</x:v>
      </x:c>
      <x:c r="N79" s="8" t="n">
        <x:f>MAX(0,G79+J79-K79)</x:f>
        <x:v>900</x:v>
      </x:c>
      <x:c r="O79" s="8" t="n">
        <x:f>SUM(L79:N79)</x:f>
        <x:v>900</x:v>
      </x:c>
      <x:c r="P79" s="14" t="n">
        <x:f>'Current inventory'!V79</x:f>
        <x:v>0.17350000000000002</x:v>
      </x:c>
      <x:c r="Q79" s="14" t="str">
        <x:f>'Current inventory'!W79</x:f>
        <x:v>n.a.</x:v>
      </x:c>
      <x:c r="R79" s="10" t="n">
        <x:f>L79*P79</x:f>
        <x:v>0</x:v>
      </x:c>
      <x:c r="S79" s="10" t="n">
        <x:f>M79*P79</x:f>
        <x:v>0</x:v>
      </x:c>
      <x:c r="T79" s="10" t="n">
        <x:f>N79*P79</x:f>
        <x:v>156.15</x:v>
      </x:c>
      <x:c r="U79" s="10" t="n">
        <x:f>O79*P79</x:f>
        <x:v>156.15</x:v>
      </x:c>
      <x:c r="V79" s="10" t="str">
        <x:f>IF(ISNUMBER(Q79),O79*(Q79-P79),"n.a.")</x:f>
        <x:v>n.a.</x:v>
      </x:c>
      <x:c r="W79" s="10" t="n">
        <x:f>IF(ISNUMBER(Q79),U79,0)</x:f>
        <x:v>0</x:v>
      </x:c>
      <x:c r="X79" s="8" t="n">
        <x:f>MAX(0,K79-SUM(E79:J79))</x:f>
        <x:v>0</x:v>
      </x:c>
      <x:c r="Y79" s="1" t="str">
        <x:f>IF(AND(O79&gt;0,NOT(ISNUMBER(Q79))),"No proposed replacement standard",IF(X79&gt;0,"Demand exceeds available stock",""))</x:f>
        <x:v>No proposed replacement standard</x:v>
      </x:c>
      <x:c r="Z79" s="1" t="n">
        <x:f>IF(ISNUMBER(Q79),1,0)</x:f>
        <x:v>0</x:v>
      </x:c>
    </x:row>
    <x:row r="80" ht="21" customHeight="1">
      <x:c r="A80" s="17" t="n">
        <x:f>Summary!B15</x:f>
        <x:v>46327</x:v>
      </x:c>
      <x:c r="B80" s="1" t="str">
        <x:f>'Current inventory'!A80</x:f>
        <x:v>10</x:v>
      </x:c>
      <x:c r="C80" s="1" t="str">
        <x:f>'Current inventory'!B80</x:f>
        <x:v>800WNAVBRC</x:v>
      </x:c>
      <x:c r="D80" s="7" t="n">
        <x:f>Summary!$D$5</x:f>
        <x:v>46304</x:v>
      </x:c>
      <x:c r="E80" s="8" t="n">
        <x:f>'Current inventory'!M80</x:f>
        <x:v>0</x:v>
      </x:c>
      <x:c r="F80" s="8" t="n">
        <x:f>'Current inventory'!N80</x:f>
        <x:v>0</x:v>
      </x:c>
      <x:c r="G80" s="8" t="n">
        <x:f>'Current inventory'!O80</x:f>
        <x:v>600</x:v>
      </x:c>
      <x:c r="H80" s="8" t="n">
        <x:f>SUMIFS('PO detail'!$U$2:$U$672,'PO detail'!$A$2:$A$672,B80,'PO detail'!$B$2:$B$672,C80,'PO detail'!$G$2:$G$672,"&gt;="&amp;D80,'PO detail'!$G$2:$G$672,"&lt;"&amp;A80)</x:f>
        <x:v>0</x:v>
      </x:c>
      <x:c r="I80" s="8" t="n">
        <x:f>SUMIFS('PO detail'!$V$2:$V$672,'PO detail'!$A$2:$A$672,B80,'PO detail'!$B$2:$B$672,C80,'PO detail'!$G$2:$G$672,"&gt;="&amp;D80,'PO detail'!$G$2:$G$672,"&lt;"&amp;A80)</x:f>
        <x:v>0</x:v>
      </x:c>
      <x:c r="J80" s="8" t="n">
        <x:f>SUMIFS('PO detail'!$W$2:$W$672,'PO detail'!$A$2:$A$672,B80,'PO detail'!$B$2:$B$672,C80,'PO detail'!$G$2:$G$672,"&gt;="&amp;D80,'PO detail'!$G$2:$G$672,"&lt;"&amp;A80)</x:f>
        <x:v>0</x:v>
      </x:c>
      <x:c r="K80" s="8" t="n">
        <x:f>'Current inventory'!E80*Summary!$D$6*(A80-D80)/30.4375</x:f>
        <x:v>0</x:v>
      </x:c>
      <x:c r="L80" s="8" t="n">
        <x:f>MAX(0,E80+H80-K80)</x:f>
        <x:v>0</x:v>
      </x:c>
      <x:c r="M80" s="8" t="n">
        <x:f>MAX(0,F80+I80-MAX(0,K80-E80-H80))</x:f>
        <x:v>0</x:v>
      </x:c>
      <x:c r="N80" s="8" t="n">
        <x:f>MAX(0,G80+J80-K80)</x:f>
        <x:v>600</x:v>
      </x:c>
      <x:c r="O80" s="8" t="n">
        <x:f>SUM(L80:N80)</x:f>
        <x:v>600</x:v>
      </x:c>
      <x:c r="P80" s="14" t="n">
        <x:f>'Current inventory'!V80</x:f>
        <x:v>0.17350000000000002</x:v>
      </x:c>
      <x:c r="Q80" s="14" t="str">
        <x:f>'Current inventory'!W80</x:f>
        <x:v>n.a.</x:v>
      </x:c>
      <x:c r="R80" s="10" t="n">
        <x:f>L80*P80</x:f>
        <x:v>0</x:v>
      </x:c>
      <x:c r="S80" s="10" t="n">
        <x:f>M80*P80</x:f>
        <x:v>0</x:v>
      </x:c>
      <x:c r="T80" s="10" t="n">
        <x:f>N80*P80</x:f>
        <x:v>104.10000000000001</x:v>
      </x:c>
      <x:c r="U80" s="10" t="n">
        <x:f>O80*P80</x:f>
        <x:v>104.10000000000001</x:v>
      </x:c>
      <x:c r="V80" s="10" t="str">
        <x:f>IF(ISNUMBER(Q80),O80*(Q80-P80),"n.a.")</x:f>
        <x:v>n.a.</x:v>
      </x:c>
      <x:c r="W80" s="10" t="n">
        <x:f>IF(ISNUMBER(Q80),U80,0)</x:f>
        <x:v>0</x:v>
      </x:c>
      <x:c r="X80" s="8" t="n">
        <x:f>MAX(0,K80-SUM(E80:J80))</x:f>
        <x:v>0</x:v>
      </x:c>
      <x:c r="Y80" s="1" t="str">
        <x:f>IF(AND(O80&gt;0,NOT(ISNUMBER(Q80))),"No proposed replacement standard",IF(X80&gt;0,"Demand exceeds available stock",""))</x:f>
        <x:v>No proposed replacement standard</x:v>
      </x:c>
      <x:c r="Z80" s="1" t="n">
        <x:f>IF(ISNUMBER(Q80),1,0)</x:f>
        <x:v>0</x:v>
      </x:c>
    </x:row>
    <x:row r="81" ht="21" customHeight="1">
      <x:c r="A81" s="17" t="n">
        <x:f>Summary!B15</x:f>
        <x:v>46327</x:v>
      </x:c>
      <x:c r="B81" s="1" t="str">
        <x:f>'Current inventory'!A81</x:f>
        <x:v>10</x:v>
      </x:c>
      <x:c r="C81" s="1" t="str">
        <x:f>'Current inventory'!B81</x:f>
        <x:v>800WREDASC</x:v>
      </x:c>
      <x:c r="D81" s="7" t="n">
        <x:f>Summary!$D$5</x:f>
        <x:v>46304</x:v>
      </x:c>
      <x:c r="E81" s="8" t="n">
        <x:f>'Current inventory'!M81</x:f>
        <x:v>0</x:v>
      </x:c>
      <x:c r="F81" s="8" t="n">
        <x:f>'Current inventory'!N81</x:f>
        <x:v>0</x:v>
      </x:c>
      <x:c r="G81" s="8" t="n">
        <x:f>'Current inventory'!O81</x:f>
        <x:v>0</x:v>
      </x:c>
      <x:c r="H81" s="8" t="n">
        <x:f>SUMIFS('PO detail'!$U$2:$U$672,'PO detail'!$A$2:$A$672,B81,'PO detail'!$B$2:$B$672,C81,'PO detail'!$G$2:$G$672,"&gt;="&amp;D81,'PO detail'!$G$2:$G$672,"&lt;"&amp;A81)</x:f>
        <x:v>0</x:v>
      </x:c>
      <x:c r="I81" s="8" t="n">
        <x:f>SUMIFS('PO detail'!$V$2:$V$672,'PO detail'!$A$2:$A$672,B81,'PO detail'!$B$2:$B$672,C81,'PO detail'!$G$2:$G$672,"&gt;="&amp;D81,'PO detail'!$G$2:$G$672,"&lt;"&amp;A81)</x:f>
        <x:v>0</x:v>
      </x:c>
      <x:c r="J81" s="8" t="n">
        <x:f>SUMIFS('PO detail'!$W$2:$W$672,'PO detail'!$A$2:$A$672,B81,'PO detail'!$B$2:$B$672,C81,'PO detail'!$G$2:$G$672,"&gt;="&amp;D81,'PO detail'!$G$2:$G$672,"&lt;"&amp;A81)</x:f>
        <x:v>0</x:v>
      </x:c>
      <x:c r="K81" s="8" t="n">
        <x:f>'Current inventory'!E81*Summary!$D$6*(A81-D81)/30.4375</x:f>
        <x:v>0</x:v>
      </x:c>
      <x:c r="L81" s="8" t="n">
        <x:f>MAX(0,E81+H81-K81)</x:f>
        <x:v>0</x:v>
      </x:c>
      <x:c r="M81" s="8" t="n">
        <x:f>MAX(0,F81+I81-MAX(0,K81-E81-H81))</x:f>
        <x:v>0</x:v>
      </x:c>
      <x:c r="N81" s="8" t="n">
        <x:f>MAX(0,G81+J81-K81)</x:f>
        <x:v>0</x:v>
      </x:c>
      <x:c r="O81" s="8" t="n">
        <x:f>SUM(L81:N81)</x:f>
        <x:v>0</x:v>
      </x:c>
      <x:c r="P81" s="14" t="n">
        <x:f>'Current inventory'!V81</x:f>
        <x:v>0.07919999999999999</x:v>
      </x:c>
      <x:c r="Q81" s="14" t="str">
        <x:f>'Current inventory'!W81</x:f>
        <x:v>n.a.</x:v>
      </x:c>
      <x:c r="R81" s="10" t="n">
        <x:f>L81*P81</x:f>
        <x:v>0</x:v>
      </x:c>
      <x:c r="S81" s="10" t="n">
        <x:f>M81*P81</x:f>
        <x:v>0</x:v>
      </x:c>
      <x:c r="T81" s="10" t="n">
        <x:f>N81*P81</x:f>
        <x:v>0</x:v>
      </x:c>
      <x:c r="U81" s="10" t="n">
        <x:f>O81*P81</x:f>
        <x:v>0</x:v>
      </x:c>
      <x:c r="V81" s="10" t="str">
        <x:f>IF(ISNUMBER(Q81),O81*(Q81-P81),"n.a.")</x:f>
        <x:v>n.a.</x:v>
      </x:c>
      <x:c r="W81" s="10" t="n">
        <x:f>IF(ISNUMBER(Q81),U81,0)</x:f>
        <x:v>0</x:v>
      </x:c>
      <x:c r="X81" s="8" t="n">
        <x:f>MAX(0,K81-SUM(E81:J81))</x:f>
        <x:v>0</x:v>
      </x:c>
      <x:c r="Y81" s="1" t="str">
        <x:f>IF(AND(O81&gt;0,NOT(ISNUMBER(Q81))),"No proposed replacement standard",IF(X81&gt;0,"Demand exceeds available stock",""))</x:f>
      </x:c>
      <x:c r="Z81" s="1" t="n">
        <x:f>IF(ISNUMBER(Q81),1,0)</x:f>
        <x:v>0</x:v>
      </x:c>
    </x:row>
    <x:row r="82" ht="21" customHeight="1">
      <x:c r="A82" s="17" t="n">
        <x:f>Summary!B15</x:f>
        <x:v>46327</x:v>
      </x:c>
      <x:c r="B82" s="1" t="str">
        <x:f>'Current inventory'!A82</x:f>
        <x:v>10</x:v>
      </x:c>
      <x:c r="C82" s="1" t="str">
        <x:f>'Current inventory'!B82</x:f>
        <x:v>800WREDBRC</x:v>
      </x:c>
      <x:c r="D82" s="7" t="n">
        <x:f>Summary!$D$5</x:f>
        <x:v>46304</x:v>
      </x:c>
      <x:c r="E82" s="8" t="n">
        <x:f>'Current inventory'!M82</x:f>
        <x:v>0</x:v>
      </x:c>
      <x:c r="F82" s="8" t="n">
        <x:f>'Current inventory'!N82</x:f>
        <x:v>0</x:v>
      </x:c>
      <x:c r="G82" s="8" t="n">
        <x:f>'Current inventory'!O82</x:f>
        <x:v>0</x:v>
      </x:c>
      <x:c r="H82" s="8" t="n">
        <x:f>SUMIFS('PO detail'!$U$2:$U$672,'PO detail'!$A$2:$A$672,B82,'PO detail'!$B$2:$B$672,C82,'PO detail'!$G$2:$G$672,"&gt;="&amp;D82,'PO detail'!$G$2:$G$672,"&lt;"&amp;A82)</x:f>
        <x:v>0</x:v>
      </x:c>
      <x:c r="I82" s="8" t="n">
        <x:f>SUMIFS('PO detail'!$V$2:$V$672,'PO detail'!$A$2:$A$672,B82,'PO detail'!$B$2:$B$672,C82,'PO detail'!$G$2:$G$672,"&gt;="&amp;D82,'PO detail'!$G$2:$G$672,"&lt;"&amp;A82)</x:f>
        <x:v>0</x:v>
      </x:c>
      <x:c r="J82" s="8" t="n">
        <x:f>SUMIFS('PO detail'!$W$2:$W$672,'PO detail'!$A$2:$A$672,B82,'PO detail'!$B$2:$B$672,C82,'PO detail'!$G$2:$G$672,"&gt;="&amp;D82,'PO detail'!$G$2:$G$672,"&lt;"&amp;A82)</x:f>
        <x:v>0</x:v>
      </x:c>
      <x:c r="K82" s="8" t="n">
        <x:f>'Current inventory'!E82*Summary!$D$6*(A82-D82)/30.4375</x:f>
        <x:v>0</x:v>
      </x:c>
      <x:c r="L82" s="8" t="n">
        <x:f>MAX(0,E82+H82-K82)</x:f>
        <x:v>0</x:v>
      </x:c>
      <x:c r="M82" s="8" t="n">
        <x:f>MAX(0,F82+I82-MAX(0,K82-E82-H82))</x:f>
        <x:v>0</x:v>
      </x:c>
      <x:c r="N82" s="8" t="n">
        <x:f>MAX(0,G82+J82-K82)</x:f>
        <x:v>0</x:v>
      </x:c>
      <x:c r="O82" s="8" t="n">
        <x:f>SUM(L82:N82)</x:f>
        <x:v>0</x:v>
      </x:c>
      <x:c r="P82" s="14" t="n">
        <x:f>'Current inventory'!V82</x:f>
        <x:v>0.0898</x:v>
      </x:c>
      <x:c r="Q82" s="14" t="str">
        <x:f>'Current inventory'!W82</x:f>
        <x:v>n.a.</x:v>
      </x:c>
      <x:c r="R82" s="10" t="n">
        <x:f>L82*P82</x:f>
        <x:v>0</x:v>
      </x:c>
      <x:c r="S82" s="10" t="n">
        <x:f>M82*P82</x:f>
        <x:v>0</x:v>
      </x:c>
      <x:c r="T82" s="10" t="n">
        <x:f>N82*P82</x:f>
        <x:v>0</x:v>
      </x:c>
      <x:c r="U82" s="10" t="n">
        <x:f>O82*P82</x:f>
        <x:v>0</x:v>
      </x:c>
      <x:c r="V82" s="10" t="str">
        <x:f>IF(ISNUMBER(Q82),O82*(Q82-P82),"n.a.")</x:f>
        <x:v>n.a.</x:v>
      </x:c>
      <x:c r="W82" s="10" t="n">
        <x:f>IF(ISNUMBER(Q82),U82,0)</x:f>
        <x:v>0</x:v>
      </x:c>
      <x:c r="X82" s="8" t="n">
        <x:f>MAX(0,K82-SUM(E82:J82))</x:f>
        <x:v>0</x:v>
      </x:c>
      <x:c r="Y82" s="1" t="str">
        <x:f>IF(AND(O82&gt;0,NOT(ISNUMBER(Q82))),"No proposed replacement standard",IF(X82&gt;0,"Demand exceeds available stock",""))</x:f>
      </x:c>
      <x:c r="Z82" s="1" t="n">
        <x:f>IF(ISNUMBER(Q82),1,0)</x:f>
        <x:v>0</x:v>
      </x:c>
    </x:row>
    <x:row r="83" ht="21" customHeight="1">
      <x:c r="A83" s="17" t="n">
        <x:f>Summary!B15</x:f>
        <x:v>46327</x:v>
      </x:c>
      <x:c r="B83" s="1" t="str">
        <x:f>'Current inventory'!A83</x:f>
        <x:v>10</x:v>
      </x:c>
      <x:c r="C83" s="1" t="str">
        <x:f>'Current inventory'!B83</x:f>
        <x:v>800WWHTASC</x:v>
      </x:c>
      <x:c r="D83" s="7" t="n">
        <x:f>Summary!$D$5</x:f>
        <x:v>46304</x:v>
      </x:c>
      <x:c r="E83" s="8" t="n">
        <x:f>'Current inventory'!M83</x:f>
        <x:v>0</x:v>
      </x:c>
      <x:c r="F83" s="8" t="n">
        <x:f>'Current inventory'!N83</x:f>
        <x:v>0</x:v>
      </x:c>
      <x:c r="G83" s="8" t="n">
        <x:f>'Current inventory'!O83</x:f>
        <x:v>0</x:v>
      </x:c>
      <x:c r="H83" s="8" t="n">
        <x:f>SUMIFS('PO detail'!$U$2:$U$672,'PO detail'!$A$2:$A$672,B83,'PO detail'!$B$2:$B$672,C83,'PO detail'!$G$2:$G$672,"&gt;="&amp;D83,'PO detail'!$G$2:$G$672,"&lt;"&amp;A83)</x:f>
        <x:v>0</x:v>
      </x:c>
      <x:c r="I83" s="8" t="n">
        <x:f>SUMIFS('PO detail'!$V$2:$V$672,'PO detail'!$A$2:$A$672,B83,'PO detail'!$B$2:$B$672,C83,'PO detail'!$G$2:$G$672,"&gt;="&amp;D83,'PO detail'!$G$2:$G$672,"&lt;"&amp;A83)</x:f>
        <x:v>0</x:v>
      </x:c>
      <x:c r="J83" s="8" t="n">
        <x:f>SUMIFS('PO detail'!$W$2:$W$672,'PO detail'!$A$2:$A$672,B83,'PO detail'!$B$2:$B$672,C83,'PO detail'!$G$2:$G$672,"&gt;="&amp;D83,'PO detail'!$G$2:$G$672,"&lt;"&amp;A83)</x:f>
        <x:v>0</x:v>
      </x:c>
      <x:c r="K83" s="8" t="n">
        <x:f>'Current inventory'!E83*Summary!$D$6*(A83-D83)/30.4375</x:f>
        <x:v>0</x:v>
      </x:c>
      <x:c r="L83" s="8" t="n">
        <x:f>MAX(0,E83+H83-K83)</x:f>
        <x:v>0</x:v>
      </x:c>
      <x:c r="M83" s="8" t="n">
        <x:f>MAX(0,F83+I83-MAX(0,K83-E83-H83))</x:f>
        <x:v>0</x:v>
      </x:c>
      <x:c r="N83" s="8" t="n">
        <x:f>MAX(0,G83+J83-K83)</x:f>
        <x:v>0</x:v>
      </x:c>
      <x:c r="O83" s="8" t="n">
        <x:f>SUM(L83:N83)</x:f>
        <x:v>0</x:v>
      </x:c>
      <x:c r="P83" s="14" t="n">
        <x:f>'Current inventory'!V83</x:f>
        <x:v>0.1456</x:v>
      </x:c>
      <x:c r="Q83" s="14" t="str">
        <x:f>'Current inventory'!W83</x:f>
        <x:v>n.a.</x:v>
      </x:c>
      <x:c r="R83" s="10" t="n">
        <x:f>L83*P83</x:f>
        <x:v>0</x:v>
      </x:c>
      <x:c r="S83" s="10" t="n">
        <x:f>M83*P83</x:f>
        <x:v>0</x:v>
      </x:c>
      <x:c r="T83" s="10" t="n">
        <x:f>N83*P83</x:f>
        <x:v>0</x:v>
      </x:c>
      <x:c r="U83" s="10" t="n">
        <x:f>O83*P83</x:f>
        <x:v>0</x:v>
      </x:c>
      <x:c r="V83" s="10" t="str">
        <x:f>IF(ISNUMBER(Q83),O83*(Q83-P83),"n.a.")</x:f>
        <x:v>n.a.</x:v>
      </x:c>
      <x:c r="W83" s="10" t="n">
        <x:f>IF(ISNUMBER(Q83),U83,0)</x:f>
        <x:v>0</x:v>
      </x:c>
      <x:c r="X83" s="8" t="n">
        <x:f>MAX(0,K83-SUM(E83:J83))</x:f>
        <x:v>0</x:v>
      </x:c>
      <x:c r="Y83" s="1" t="str">
        <x:f>IF(AND(O83&gt;0,NOT(ISNUMBER(Q83))),"No proposed replacement standard",IF(X83&gt;0,"Demand exceeds available stock",""))</x:f>
      </x:c>
      <x:c r="Z83" s="1" t="n">
        <x:f>IF(ISNUMBER(Q83),1,0)</x:f>
        <x:v>0</x:v>
      </x:c>
    </x:row>
    <x:row r="84" ht="21" customHeight="1">
      <x:c r="A84" s="17" t="n">
        <x:f>Summary!B15</x:f>
        <x:v>46327</x:v>
      </x:c>
      <x:c r="B84" s="1" t="str">
        <x:f>'Current inventory'!A84</x:f>
        <x:v>10</x:v>
      </x:c>
      <x:c r="C84" s="1" t="str">
        <x:f>'Current inventory'!B84</x:f>
        <x:v>800WWHTBRC</x:v>
      </x:c>
      <x:c r="D84" s="7" t="n">
        <x:f>Summary!$D$5</x:f>
        <x:v>46304</x:v>
      </x:c>
      <x:c r="E84" s="8" t="n">
        <x:f>'Current inventory'!M84</x:f>
        <x:v>0</x:v>
      </x:c>
      <x:c r="F84" s="8" t="n">
        <x:f>'Current inventory'!N84</x:f>
        <x:v>0</x:v>
      </x:c>
      <x:c r="G84" s="8" t="n">
        <x:f>'Current inventory'!O84</x:f>
        <x:v>0</x:v>
      </x:c>
      <x:c r="H84" s="8" t="n">
        <x:f>SUMIFS('PO detail'!$U$2:$U$672,'PO detail'!$A$2:$A$672,B84,'PO detail'!$B$2:$B$672,C84,'PO detail'!$G$2:$G$672,"&gt;="&amp;D84,'PO detail'!$G$2:$G$672,"&lt;"&amp;A84)</x:f>
        <x:v>0</x:v>
      </x:c>
      <x:c r="I84" s="8" t="n">
        <x:f>SUMIFS('PO detail'!$V$2:$V$672,'PO detail'!$A$2:$A$672,B84,'PO detail'!$B$2:$B$672,C84,'PO detail'!$G$2:$G$672,"&gt;="&amp;D84,'PO detail'!$G$2:$G$672,"&lt;"&amp;A84)</x:f>
        <x:v>0</x:v>
      </x:c>
      <x:c r="J84" s="8" t="n">
        <x:f>SUMIFS('PO detail'!$W$2:$W$672,'PO detail'!$A$2:$A$672,B84,'PO detail'!$B$2:$B$672,C84,'PO detail'!$G$2:$G$672,"&gt;="&amp;D84,'PO detail'!$G$2:$G$672,"&lt;"&amp;A84)</x:f>
        <x:v>0</x:v>
      </x:c>
      <x:c r="K84" s="8" t="n">
        <x:f>'Current inventory'!E84*Summary!$D$6*(A84-D84)/30.4375</x:f>
        <x:v>0</x:v>
      </x:c>
      <x:c r="L84" s="8" t="n">
        <x:f>MAX(0,E84+H84-K84)</x:f>
        <x:v>0</x:v>
      </x:c>
      <x:c r="M84" s="8" t="n">
        <x:f>MAX(0,F84+I84-MAX(0,K84-E84-H84))</x:f>
        <x:v>0</x:v>
      </x:c>
      <x:c r="N84" s="8" t="n">
        <x:f>MAX(0,G84+J84-K84)</x:f>
        <x:v>0</x:v>
      </x:c>
      <x:c r="O84" s="8" t="n">
        <x:f>SUM(L84:N84)</x:f>
        <x:v>0</x:v>
      </x:c>
      <x:c r="P84" s="14" t="n">
        <x:f>'Current inventory'!V84</x:f>
        <x:v>0.18469999999999998</x:v>
      </x:c>
      <x:c r="Q84" s="14" t="str">
        <x:f>'Current inventory'!W84</x:f>
        <x:v>n.a.</x:v>
      </x:c>
      <x:c r="R84" s="10" t="n">
        <x:f>L84*P84</x:f>
        <x:v>0</x:v>
      </x:c>
      <x:c r="S84" s="10" t="n">
        <x:f>M84*P84</x:f>
        <x:v>0</x:v>
      </x:c>
      <x:c r="T84" s="10" t="n">
        <x:f>N84*P84</x:f>
        <x:v>0</x:v>
      </x:c>
      <x:c r="U84" s="10" t="n">
        <x:f>O84*P84</x:f>
        <x:v>0</x:v>
      </x:c>
      <x:c r="V84" s="10" t="str">
        <x:f>IF(ISNUMBER(Q84),O84*(Q84-P84),"n.a.")</x:f>
        <x:v>n.a.</x:v>
      </x:c>
      <x:c r="W84" s="10" t="n">
        <x:f>IF(ISNUMBER(Q84),U84,0)</x:f>
        <x:v>0</x:v>
      </x:c>
      <x:c r="X84" s="8" t="n">
        <x:f>MAX(0,K84-SUM(E84:J84))</x:f>
        <x:v>0</x:v>
      </x:c>
      <x:c r="Y84" s="1" t="str">
        <x:f>IF(AND(O84&gt;0,NOT(ISNUMBER(Q84))),"No proposed replacement standard",IF(X84&gt;0,"Demand exceeds available stock",""))</x:f>
      </x:c>
      <x:c r="Z84" s="1" t="n">
        <x:f>IF(ISNUMBER(Q84),1,0)</x:f>
        <x:v>0</x:v>
      </x:c>
    </x:row>
    <x:row r="85" ht="21" customHeight="1">
      <x:c r="A85" s="17" t="n">
        <x:f>Summary!B15</x:f>
        <x:v>46327</x:v>
      </x:c>
      <x:c r="B85" s="1" t="str">
        <x:f>'Current inventory'!A85</x:f>
        <x:v>30</x:v>
      </x:c>
      <x:c r="C85" s="1" t="str">
        <x:f>'Current inventory'!B85</x:f>
        <x:v>800BFGASC</x:v>
      </x:c>
      <x:c r="D85" s="7" t="n">
        <x:f>Summary!$D$5</x:f>
        <x:v>46304</x:v>
      </x:c>
      <x:c r="E85" s="8" t="n">
        <x:f>'Current inventory'!M85</x:f>
        <x:v>0</x:v>
      </x:c>
      <x:c r="F85" s="8" t="n">
        <x:f>'Current inventory'!N85</x:f>
        <x:v>0</x:v>
      </x:c>
      <x:c r="G85" s="8" t="n">
        <x:f>'Current inventory'!O85</x:f>
        <x:v>0</x:v>
      </x:c>
      <x:c r="H85" s="8" t="n">
        <x:f>SUMIFS('PO detail'!$U$2:$U$672,'PO detail'!$A$2:$A$672,B85,'PO detail'!$B$2:$B$672,C85,'PO detail'!$G$2:$G$672,"&gt;="&amp;D85,'PO detail'!$G$2:$G$672,"&lt;"&amp;A85)</x:f>
        <x:v>0</x:v>
      </x:c>
      <x:c r="I85" s="8" t="n">
        <x:f>SUMIFS('PO detail'!$V$2:$V$672,'PO detail'!$A$2:$A$672,B85,'PO detail'!$B$2:$B$672,C85,'PO detail'!$G$2:$G$672,"&gt;="&amp;D85,'PO detail'!$G$2:$G$672,"&lt;"&amp;A85)</x:f>
        <x:v>0</x:v>
      </x:c>
      <x:c r="J85" s="8" t="n">
        <x:f>SUMIFS('PO detail'!$W$2:$W$672,'PO detail'!$A$2:$A$672,B85,'PO detail'!$B$2:$B$672,C85,'PO detail'!$G$2:$G$672,"&gt;="&amp;D85,'PO detail'!$G$2:$G$672,"&lt;"&amp;A85)</x:f>
        <x:v>0</x:v>
      </x:c>
      <x:c r="K85" s="8" t="n">
        <x:f>'Current inventory'!E85*Summary!$D$6*(A85-D85)/30.4375</x:f>
        <x:v>0</x:v>
      </x:c>
      <x:c r="L85" s="8" t="n">
        <x:f>MAX(0,E85+H85-K85)</x:f>
        <x:v>0</x:v>
      </x:c>
      <x:c r="M85" s="8" t="n">
        <x:f>MAX(0,F85+I85-MAX(0,K85-E85-H85))</x:f>
        <x:v>0</x:v>
      </x:c>
      <x:c r="N85" s="8" t="n">
        <x:f>MAX(0,G85+J85-K85)</x:f>
        <x:v>0</x:v>
      </x:c>
      <x:c r="O85" s="8" t="n">
        <x:f>SUM(L85:N85)</x:f>
        <x:v>0</x:v>
      </x:c>
      <x:c r="P85" s="14" t="n">
        <x:f>'Current inventory'!V85</x:f>
        <x:v>0.1456</x:v>
      </x:c>
      <x:c r="Q85" s="14" t="str">
        <x:f>'Current inventory'!W85</x:f>
        <x:v>n.a.</x:v>
      </x:c>
      <x:c r="R85" s="10" t="n">
        <x:f>L85*P85</x:f>
        <x:v>0</x:v>
      </x:c>
      <x:c r="S85" s="10" t="n">
        <x:f>M85*P85</x:f>
        <x:v>0</x:v>
      </x:c>
      <x:c r="T85" s="10" t="n">
        <x:f>N85*P85</x:f>
        <x:v>0</x:v>
      </x:c>
      <x:c r="U85" s="10" t="n">
        <x:f>O85*P85</x:f>
        <x:v>0</x:v>
      </x:c>
      <x:c r="V85" s="10" t="str">
        <x:f>IF(ISNUMBER(Q85),O85*(Q85-P85),"n.a.")</x:f>
        <x:v>n.a.</x:v>
      </x:c>
      <x:c r="W85" s="10" t="n">
        <x:f>IF(ISNUMBER(Q85),U85,0)</x:f>
        <x:v>0</x:v>
      </x:c>
      <x:c r="X85" s="8" t="n">
        <x:f>MAX(0,K85-SUM(E85:J85))</x:f>
        <x:v>0</x:v>
      </x:c>
      <x:c r="Y85" s="1" t="str">
        <x:f>IF(AND(O85&gt;0,NOT(ISNUMBER(Q85))),"No proposed replacement standard",IF(X85&gt;0,"Demand exceeds available stock",""))</x:f>
      </x:c>
      <x:c r="Z85" s="1" t="n">
        <x:f>IF(ISNUMBER(Q85),1,0)</x:f>
        <x:v>0</x:v>
      </x:c>
    </x:row>
    <x:row r="86" ht="21" customHeight="1">
      <x:c r="A86" s="17" t="n">
        <x:f>Summary!B15</x:f>
        <x:v>46327</x:v>
      </x:c>
      <x:c r="B86" s="1" t="str">
        <x:f>'Current inventory'!A86</x:f>
        <x:v>30</x:v>
      </x:c>
      <x:c r="C86" s="1" t="str">
        <x:f>'Current inventory'!B86</x:f>
        <x:v>800BFGBRC</x:v>
      </x:c>
      <x:c r="D86" s="7" t="n">
        <x:f>Summary!$D$5</x:f>
        <x:v>46304</x:v>
      </x:c>
      <x:c r="E86" s="8" t="n">
        <x:f>'Current inventory'!M86</x:f>
        <x:v>0</x:v>
      </x:c>
      <x:c r="F86" s="8" t="n">
        <x:f>'Current inventory'!N86</x:f>
        <x:v>0</x:v>
      </x:c>
      <x:c r="G86" s="8" t="n">
        <x:f>'Current inventory'!O86</x:f>
        <x:v>0</x:v>
      </x:c>
      <x:c r="H86" s="8" t="n">
        <x:f>SUMIFS('PO detail'!$U$2:$U$672,'PO detail'!$A$2:$A$672,B86,'PO detail'!$B$2:$B$672,C86,'PO detail'!$G$2:$G$672,"&gt;="&amp;D86,'PO detail'!$G$2:$G$672,"&lt;"&amp;A86)</x:f>
        <x:v>0</x:v>
      </x:c>
      <x:c r="I86" s="8" t="n">
        <x:f>SUMIFS('PO detail'!$V$2:$V$672,'PO detail'!$A$2:$A$672,B86,'PO detail'!$B$2:$B$672,C86,'PO detail'!$G$2:$G$672,"&gt;="&amp;D86,'PO detail'!$G$2:$G$672,"&lt;"&amp;A86)</x:f>
        <x:v>0</x:v>
      </x:c>
      <x:c r="J86" s="8" t="n">
        <x:f>SUMIFS('PO detail'!$W$2:$W$672,'PO detail'!$A$2:$A$672,B86,'PO detail'!$B$2:$B$672,C86,'PO detail'!$G$2:$G$672,"&gt;="&amp;D86,'PO detail'!$G$2:$G$672,"&lt;"&amp;A86)</x:f>
        <x:v>0</x:v>
      </x:c>
      <x:c r="K86" s="8" t="n">
        <x:f>'Current inventory'!E86*Summary!$D$6*(A86-D86)/30.4375</x:f>
        <x:v>0</x:v>
      </x:c>
      <x:c r="L86" s="8" t="n">
        <x:f>MAX(0,E86+H86-K86)</x:f>
        <x:v>0</x:v>
      </x:c>
      <x:c r="M86" s="8" t="n">
        <x:f>MAX(0,F86+I86-MAX(0,K86-E86-H86))</x:f>
        <x:v>0</x:v>
      </x:c>
      <x:c r="N86" s="8" t="n">
        <x:f>MAX(0,G86+J86-K86)</x:f>
        <x:v>0</x:v>
      </x:c>
      <x:c r="O86" s="8" t="n">
        <x:f>SUM(L86:N86)</x:f>
        <x:v>0</x:v>
      </x:c>
      <x:c r="P86" s="14" t="n">
        <x:f>'Current inventory'!V86</x:f>
        <x:v>0.18469999999999998</x:v>
      </x:c>
      <x:c r="Q86" s="14" t="str">
        <x:f>'Current inventory'!W86</x:f>
        <x:v>n.a.</x:v>
      </x:c>
      <x:c r="R86" s="10" t="n">
        <x:f>L86*P86</x:f>
        <x:v>0</x:v>
      </x:c>
      <x:c r="S86" s="10" t="n">
        <x:f>M86*P86</x:f>
        <x:v>0</x:v>
      </x:c>
      <x:c r="T86" s="10" t="n">
        <x:f>N86*P86</x:f>
        <x:v>0</x:v>
      </x:c>
      <x:c r="U86" s="10" t="n">
        <x:f>O86*P86</x:f>
        <x:v>0</x:v>
      </x:c>
      <x:c r="V86" s="10" t="str">
        <x:f>IF(ISNUMBER(Q86),O86*(Q86-P86),"n.a.")</x:f>
        <x:v>n.a.</x:v>
      </x:c>
      <x:c r="W86" s="10" t="n">
        <x:f>IF(ISNUMBER(Q86),U86,0)</x:f>
        <x:v>0</x:v>
      </x:c>
      <x:c r="X86" s="8" t="n">
        <x:f>MAX(0,K86-SUM(E86:J86))</x:f>
        <x:v>0</x:v>
      </x:c>
      <x:c r="Y86" s="1" t="str">
        <x:f>IF(AND(O86&gt;0,NOT(ISNUMBER(Q86))),"No proposed replacement standard",IF(X86&gt;0,"Demand exceeds available stock",""))</x:f>
      </x:c>
      <x:c r="Z86" s="1" t="n">
        <x:f>IF(ISNUMBER(Q86),1,0)</x:f>
        <x:v>0</x:v>
      </x:c>
    </x:row>
    <x:row r="87" ht="21" customHeight="1">
      <x:c r="A87" s="17" t="n">
        <x:f>Summary!B15</x:f>
        <x:v>46327</x:v>
      </x:c>
      <x:c r="B87" s="1" t="str">
        <x:f>'Current inventory'!A87</x:f>
        <x:v>30</x:v>
      </x:c>
      <x:c r="C87" s="1" t="str">
        <x:f>'Current inventory'!B87</x:f>
        <x:v>800BFGCSC</x:v>
      </x:c>
      <x:c r="D87" s="7" t="n">
        <x:f>Summary!$D$5</x:f>
        <x:v>46304</x:v>
      </x:c>
      <x:c r="E87" s="8" t="n">
        <x:f>'Current inventory'!M87</x:f>
        <x:v>0</x:v>
      </x:c>
      <x:c r="F87" s="8" t="n">
        <x:f>'Current inventory'!N87</x:f>
        <x:v>0</x:v>
      </x:c>
      <x:c r="G87" s="8" t="n">
        <x:f>'Current inventory'!O87</x:f>
        <x:v>0</x:v>
      </x:c>
      <x:c r="H87" s="8" t="n">
        <x:f>SUMIFS('PO detail'!$U$2:$U$672,'PO detail'!$A$2:$A$672,B87,'PO detail'!$B$2:$B$672,C87,'PO detail'!$G$2:$G$672,"&gt;="&amp;D87,'PO detail'!$G$2:$G$672,"&lt;"&amp;A87)</x:f>
        <x:v>0</x:v>
      </x:c>
      <x:c r="I87" s="8" t="n">
        <x:f>SUMIFS('PO detail'!$V$2:$V$672,'PO detail'!$A$2:$A$672,B87,'PO detail'!$B$2:$B$672,C87,'PO detail'!$G$2:$G$672,"&gt;="&amp;D87,'PO detail'!$G$2:$G$672,"&lt;"&amp;A87)</x:f>
        <x:v>0</x:v>
      </x:c>
      <x:c r="J87" s="8" t="n">
        <x:f>SUMIFS('PO detail'!$W$2:$W$672,'PO detail'!$A$2:$A$672,B87,'PO detail'!$B$2:$B$672,C87,'PO detail'!$G$2:$G$672,"&gt;="&amp;D87,'PO detail'!$G$2:$G$672,"&lt;"&amp;A87)</x:f>
        <x:v>0</x:v>
      </x:c>
      <x:c r="K87" s="8" t="n">
        <x:f>'Current inventory'!E87*Summary!$D$6*(A87-D87)/30.4375</x:f>
        <x:v>0</x:v>
      </x:c>
      <x:c r="L87" s="8" t="n">
        <x:f>MAX(0,E87+H87-K87)</x:f>
        <x:v>0</x:v>
      </x:c>
      <x:c r="M87" s="8" t="n">
        <x:f>MAX(0,F87+I87-MAX(0,K87-E87-H87))</x:f>
        <x:v>0</x:v>
      </x:c>
      <x:c r="N87" s="8" t="n">
        <x:f>MAX(0,G87+J87-K87)</x:f>
        <x:v>0</x:v>
      </x:c>
      <x:c r="O87" s="8" t="n">
        <x:f>SUM(L87:N87)</x:f>
        <x:v>0</x:v>
      </x:c>
      <x:c r="P87" s="14" t="n">
        <x:f>'Current inventory'!V87</x:f>
        <x:v>0.21559999999999999</x:v>
      </x:c>
      <x:c r="Q87" s="14" t="str">
        <x:f>'Current inventory'!W87</x:f>
        <x:v>n.a.</x:v>
      </x:c>
      <x:c r="R87" s="10" t="n">
        <x:f>L87*P87</x:f>
        <x:v>0</x:v>
      </x:c>
      <x:c r="S87" s="10" t="n">
        <x:f>M87*P87</x:f>
        <x:v>0</x:v>
      </x:c>
      <x:c r="T87" s="10" t="n">
        <x:f>N87*P87</x:f>
        <x:v>0</x:v>
      </x:c>
      <x:c r="U87" s="10" t="n">
        <x:f>O87*P87</x:f>
        <x:v>0</x:v>
      </x:c>
      <x:c r="V87" s="10" t="str">
        <x:f>IF(ISNUMBER(Q87),O87*(Q87-P87),"n.a.")</x:f>
        <x:v>n.a.</x:v>
      </x:c>
      <x:c r="W87" s="10" t="n">
        <x:f>IF(ISNUMBER(Q87),U87,0)</x:f>
        <x:v>0</x:v>
      </x:c>
      <x:c r="X87" s="8" t="n">
        <x:f>MAX(0,K87-SUM(E87:J87))</x:f>
        <x:v>0</x:v>
      </x:c>
      <x:c r="Y87" s="1" t="str">
        <x:f>IF(AND(O87&gt;0,NOT(ISNUMBER(Q87))),"No proposed replacement standard",IF(X87&gt;0,"Demand exceeds available stock",""))</x:f>
      </x:c>
      <x:c r="Z87" s="1" t="n">
        <x:f>IF(ISNUMBER(Q87),1,0)</x:f>
        <x:v>0</x:v>
      </x:c>
    </x:row>
    <x:row r="88" ht="21" customHeight="1">
      <x:c r="A88" s="17" t="n">
        <x:f>Summary!B15</x:f>
        <x:v>46327</x:v>
      </x:c>
      <x:c r="B88" s="1" t="str">
        <x:f>'Current inventory'!A88</x:f>
        <x:v>30</x:v>
      </x:c>
      <x:c r="C88" s="1" t="str">
        <x:f>'Current inventory'!B88</x:f>
        <x:v>800BFGDSC</x:v>
      </x:c>
      <x:c r="D88" s="7" t="n">
        <x:f>Summary!$D$5</x:f>
        <x:v>46304</x:v>
      </x:c>
      <x:c r="E88" s="8" t="n">
        <x:f>'Current inventory'!M88</x:f>
        <x:v>0</x:v>
      </x:c>
      <x:c r="F88" s="8" t="n">
        <x:f>'Current inventory'!N88</x:f>
        <x:v>0</x:v>
      </x:c>
      <x:c r="G88" s="8" t="n">
        <x:f>'Current inventory'!O88</x:f>
        <x:v>0</x:v>
      </x:c>
      <x:c r="H88" s="8" t="n">
        <x:f>SUMIFS('PO detail'!$U$2:$U$672,'PO detail'!$A$2:$A$672,B88,'PO detail'!$B$2:$B$672,C88,'PO detail'!$G$2:$G$672,"&gt;="&amp;D88,'PO detail'!$G$2:$G$672,"&lt;"&amp;A88)</x:f>
        <x:v>0</x:v>
      </x:c>
      <x:c r="I88" s="8" t="n">
        <x:f>SUMIFS('PO detail'!$V$2:$V$672,'PO detail'!$A$2:$A$672,B88,'PO detail'!$B$2:$B$672,C88,'PO detail'!$G$2:$G$672,"&gt;="&amp;D88,'PO detail'!$G$2:$G$672,"&lt;"&amp;A88)</x:f>
        <x:v>0</x:v>
      </x:c>
      <x:c r="J88" s="8" t="n">
        <x:f>SUMIFS('PO detail'!$W$2:$W$672,'PO detail'!$A$2:$A$672,B88,'PO detail'!$B$2:$B$672,C88,'PO detail'!$G$2:$G$672,"&gt;="&amp;D88,'PO detail'!$G$2:$G$672,"&lt;"&amp;A88)</x:f>
        <x:v>0</x:v>
      </x:c>
      <x:c r="K88" s="8" t="n">
        <x:f>'Current inventory'!E88*Summary!$D$6*(A88-D88)/30.4375</x:f>
        <x:v>0</x:v>
      </x:c>
      <x:c r="L88" s="8" t="n">
        <x:f>MAX(0,E88+H88-K88)</x:f>
        <x:v>0</x:v>
      </x:c>
      <x:c r="M88" s="8" t="n">
        <x:f>MAX(0,F88+I88-MAX(0,K88-E88-H88))</x:f>
        <x:v>0</x:v>
      </x:c>
      <x:c r="N88" s="8" t="n">
        <x:f>MAX(0,G88+J88-K88)</x:f>
        <x:v>0</x:v>
      </x:c>
      <x:c r="O88" s="8" t="n">
        <x:f>SUM(L88:N88)</x:f>
        <x:v>0</x:v>
      </x:c>
      <x:c r="P88" s="14" t="n">
        <x:f>'Current inventory'!V88</x:f>
        <x:v>0.38</x:v>
      </x:c>
      <x:c r="Q88" s="14" t="str">
        <x:f>'Current inventory'!W88</x:f>
        <x:v>n.a.</x:v>
      </x:c>
      <x:c r="R88" s="10" t="n">
        <x:f>L88*P88</x:f>
        <x:v>0</x:v>
      </x:c>
      <x:c r="S88" s="10" t="n">
        <x:f>M88*P88</x:f>
        <x:v>0</x:v>
      </x:c>
      <x:c r="T88" s="10" t="n">
        <x:f>N88*P88</x:f>
        <x:v>0</x:v>
      </x:c>
      <x:c r="U88" s="10" t="n">
        <x:f>O88*P88</x:f>
        <x:v>0</x:v>
      </x:c>
      <x:c r="V88" s="10" t="str">
        <x:f>IF(ISNUMBER(Q88),O88*(Q88-P88),"n.a.")</x:f>
        <x:v>n.a.</x:v>
      </x:c>
      <x:c r="W88" s="10" t="n">
        <x:f>IF(ISNUMBER(Q88),U88,0)</x:f>
        <x:v>0</x:v>
      </x:c>
      <x:c r="X88" s="8" t="n">
        <x:f>MAX(0,K88-SUM(E88:J88))</x:f>
        <x:v>0</x:v>
      </x:c>
      <x:c r="Y88" s="1" t="str">
        <x:f>IF(AND(O88&gt;0,NOT(ISNUMBER(Q88))),"No proposed replacement standard",IF(X88&gt;0,"Demand exceeds available stock",""))</x:f>
      </x:c>
      <x:c r="Z88" s="1" t="n">
        <x:f>IF(ISNUMBER(Q88),1,0)</x:f>
        <x:v>0</x:v>
      </x:c>
    </x:row>
    <x:row r="89" ht="21" customHeight="1">
      <x:c r="A89" s="17" t="n">
        <x:f>Summary!B15</x:f>
        <x:v>46327</x:v>
      </x:c>
      <x:c r="B89" s="1" t="str">
        <x:f>'Current inventory'!A89</x:f>
        <x:v>30</x:v>
      </x:c>
      <x:c r="C89" s="1" t="str">
        <x:f>'Current inventory'!B89</x:f>
        <x:v>800BFGISC</x:v>
      </x:c>
      <x:c r="D89" s="7" t="n">
        <x:f>Summary!$D$5</x:f>
        <x:v>46304</x:v>
      </x:c>
      <x:c r="E89" s="8" t="n">
        <x:f>'Current inventory'!M89</x:f>
        <x:v>0</x:v>
      </x:c>
      <x:c r="F89" s="8" t="n">
        <x:f>'Current inventory'!N89</x:f>
        <x:v>0</x:v>
      </x:c>
      <x:c r="G89" s="8" t="n">
        <x:f>'Current inventory'!O89</x:f>
        <x:v>0</x:v>
      </x:c>
      <x:c r="H89" s="8" t="n">
        <x:f>SUMIFS('PO detail'!$U$2:$U$672,'PO detail'!$A$2:$A$672,B89,'PO detail'!$B$2:$B$672,C89,'PO detail'!$G$2:$G$672,"&gt;="&amp;D89,'PO detail'!$G$2:$G$672,"&lt;"&amp;A89)</x:f>
        <x:v>0</x:v>
      </x:c>
      <x:c r="I89" s="8" t="n">
        <x:f>SUMIFS('PO detail'!$V$2:$V$672,'PO detail'!$A$2:$A$672,B89,'PO detail'!$B$2:$B$672,C89,'PO detail'!$G$2:$G$672,"&gt;="&amp;D89,'PO detail'!$G$2:$G$672,"&lt;"&amp;A89)</x:f>
        <x:v>0</x:v>
      </x:c>
      <x:c r="J89" s="8" t="n">
        <x:f>SUMIFS('PO detail'!$W$2:$W$672,'PO detail'!$A$2:$A$672,B89,'PO detail'!$B$2:$B$672,C89,'PO detail'!$G$2:$G$672,"&gt;="&amp;D89,'PO detail'!$G$2:$G$672,"&lt;"&amp;A89)</x:f>
        <x:v>0</x:v>
      </x:c>
      <x:c r="K89" s="8" t="n">
        <x:f>'Current inventory'!E89*Summary!$D$6*(A89-D89)/30.4375</x:f>
        <x:v>0</x:v>
      </x:c>
      <x:c r="L89" s="8" t="n">
        <x:f>MAX(0,E89+H89-K89)</x:f>
        <x:v>0</x:v>
      </x:c>
      <x:c r="M89" s="8" t="n">
        <x:f>MAX(0,F89+I89-MAX(0,K89-E89-H89))</x:f>
        <x:v>0</x:v>
      </x:c>
      <x:c r="N89" s="8" t="n">
        <x:f>MAX(0,G89+J89-K89)</x:f>
        <x:v>0</x:v>
      </x:c>
      <x:c r="O89" s="8" t="n">
        <x:f>SUM(L89:N89)</x:f>
        <x:v>0</x:v>
      </x:c>
      <x:c r="P89" s="14" t="n">
        <x:f>'Current inventory'!V89</x:f>
        <x:v>0.1797</x:v>
      </x:c>
      <x:c r="Q89" s="14" t="str">
        <x:f>'Current inventory'!W89</x:f>
        <x:v>n.a.</x:v>
      </x:c>
      <x:c r="R89" s="10" t="n">
        <x:f>L89*P89</x:f>
        <x:v>0</x:v>
      </x:c>
      <x:c r="S89" s="10" t="n">
        <x:f>M89*P89</x:f>
        <x:v>0</x:v>
      </x:c>
      <x:c r="T89" s="10" t="n">
        <x:f>N89*P89</x:f>
        <x:v>0</x:v>
      </x:c>
      <x:c r="U89" s="10" t="n">
        <x:f>O89*P89</x:f>
        <x:v>0</x:v>
      </x:c>
      <x:c r="V89" s="10" t="str">
        <x:f>IF(ISNUMBER(Q89),O89*(Q89-P89),"n.a.")</x:f>
        <x:v>n.a.</x:v>
      </x:c>
      <x:c r="W89" s="10" t="n">
        <x:f>IF(ISNUMBER(Q89),U89,0)</x:f>
        <x:v>0</x:v>
      </x:c>
      <x:c r="X89" s="8" t="n">
        <x:f>MAX(0,K89-SUM(E89:J89))</x:f>
        <x:v>0</x:v>
      </x:c>
      <x:c r="Y89" s="1" t="str">
        <x:f>IF(AND(O89&gt;0,NOT(ISNUMBER(Q89))),"No proposed replacement standard",IF(X89&gt;0,"Demand exceeds available stock",""))</x:f>
      </x:c>
      <x:c r="Z89" s="1" t="n">
        <x:f>IF(ISNUMBER(Q89),1,0)</x:f>
        <x:v>0</x:v>
      </x:c>
    </x:row>
    <x:row r="90" ht="21" customHeight="1">
      <x:c r="A90" s="17" t="n">
        <x:f>Summary!B15</x:f>
        <x:v>46327</x:v>
      </x:c>
      <x:c r="B90" s="1" t="str">
        <x:f>'Current inventory'!A90</x:f>
        <x:v>30</x:v>
      </x:c>
      <x:c r="C90" s="1" t="str">
        <x:f>'Current inventory'!B90</x:f>
        <x:v>800BWHTASC</x:v>
      </x:c>
      <x:c r="D90" s="7" t="n">
        <x:f>Summary!$D$5</x:f>
        <x:v>46304</x:v>
      </x:c>
      <x:c r="E90" s="8" t="n">
        <x:f>'Current inventory'!M90</x:f>
        <x:v>0</x:v>
      </x:c>
      <x:c r="F90" s="8" t="n">
        <x:f>'Current inventory'!N90</x:f>
        <x:v>0</x:v>
      </x:c>
      <x:c r="G90" s="8" t="n">
        <x:f>'Current inventory'!O90</x:f>
        <x:v>0</x:v>
      </x:c>
      <x:c r="H90" s="8" t="n">
        <x:f>SUMIFS('PO detail'!$U$2:$U$672,'PO detail'!$A$2:$A$672,B90,'PO detail'!$B$2:$B$672,C90,'PO detail'!$G$2:$G$672,"&gt;="&amp;D90,'PO detail'!$G$2:$G$672,"&lt;"&amp;A90)</x:f>
        <x:v>0</x:v>
      </x:c>
      <x:c r="I90" s="8" t="n">
        <x:f>SUMIFS('PO detail'!$V$2:$V$672,'PO detail'!$A$2:$A$672,B90,'PO detail'!$B$2:$B$672,C90,'PO detail'!$G$2:$G$672,"&gt;="&amp;D90,'PO detail'!$G$2:$G$672,"&lt;"&amp;A90)</x:f>
        <x:v>0</x:v>
      </x:c>
      <x:c r="J90" s="8" t="n">
        <x:f>SUMIFS('PO detail'!$W$2:$W$672,'PO detail'!$A$2:$A$672,B90,'PO detail'!$B$2:$B$672,C90,'PO detail'!$G$2:$G$672,"&gt;="&amp;D90,'PO detail'!$G$2:$G$672,"&lt;"&amp;A90)</x:f>
        <x:v>0</x:v>
      </x:c>
      <x:c r="K90" s="8" t="n">
        <x:f>'Current inventory'!E90*Summary!$D$6*(A90-D90)/30.4375</x:f>
        <x:v>0</x:v>
      </x:c>
      <x:c r="L90" s="8" t="n">
        <x:f>MAX(0,E90+H90-K90)</x:f>
        <x:v>0</x:v>
      </x:c>
      <x:c r="M90" s="8" t="n">
        <x:f>MAX(0,F90+I90-MAX(0,K90-E90-H90))</x:f>
        <x:v>0</x:v>
      </x:c>
      <x:c r="N90" s="8" t="n">
        <x:f>MAX(0,G90+J90-K90)</x:f>
        <x:v>0</x:v>
      </x:c>
      <x:c r="O90" s="8" t="n">
        <x:f>SUM(L90:N90)</x:f>
        <x:v>0</x:v>
      </x:c>
      <x:c r="P90" s="14" t="n">
        <x:f>'Current inventory'!V90</x:f>
        <x:v>0.1456</x:v>
      </x:c>
      <x:c r="Q90" s="14" t="str">
        <x:f>'Current inventory'!W90</x:f>
        <x:v>n.a.</x:v>
      </x:c>
      <x:c r="R90" s="10" t="n">
        <x:f>L90*P90</x:f>
        <x:v>0</x:v>
      </x:c>
      <x:c r="S90" s="10" t="n">
        <x:f>M90*P90</x:f>
        <x:v>0</x:v>
      </x:c>
      <x:c r="T90" s="10" t="n">
        <x:f>N90*P90</x:f>
        <x:v>0</x:v>
      </x:c>
      <x:c r="U90" s="10" t="n">
        <x:f>O90*P90</x:f>
        <x:v>0</x:v>
      </x:c>
      <x:c r="V90" s="10" t="str">
        <x:f>IF(ISNUMBER(Q90),O90*(Q90-P90),"n.a.")</x:f>
        <x:v>n.a.</x:v>
      </x:c>
      <x:c r="W90" s="10" t="n">
        <x:f>IF(ISNUMBER(Q90),U90,0)</x:f>
        <x:v>0</x:v>
      </x:c>
      <x:c r="X90" s="8" t="n">
        <x:f>MAX(0,K90-SUM(E90:J90))</x:f>
        <x:v>0</x:v>
      </x:c>
      <x:c r="Y90" s="1" t="str">
        <x:f>IF(AND(O90&gt;0,NOT(ISNUMBER(Q90))),"No proposed replacement standard",IF(X90&gt;0,"Demand exceeds available stock",""))</x:f>
      </x:c>
      <x:c r="Z90" s="1" t="n">
        <x:f>IF(ISNUMBER(Q90),1,0)</x:f>
        <x:v>0</x:v>
      </x:c>
    </x:row>
    <x:row r="91" ht="21" customHeight="1">
      <x:c r="A91" s="17" t="n">
        <x:f>Summary!B15</x:f>
        <x:v>46327</x:v>
      </x:c>
      <x:c r="B91" s="1" t="str">
        <x:f>'Current inventory'!A91</x:f>
        <x:v>30</x:v>
      </x:c>
      <x:c r="C91" s="1" t="str">
        <x:f>'Current inventory'!B91</x:f>
        <x:v>800BWHTBRC</x:v>
      </x:c>
      <x:c r="D91" s="7" t="n">
        <x:f>Summary!$D$5</x:f>
        <x:v>46304</x:v>
      </x:c>
      <x:c r="E91" s="8" t="n">
        <x:f>'Current inventory'!M91</x:f>
        <x:v>0</x:v>
      </x:c>
      <x:c r="F91" s="8" t="n">
        <x:f>'Current inventory'!N91</x:f>
        <x:v>0</x:v>
      </x:c>
      <x:c r="G91" s="8" t="n">
        <x:f>'Current inventory'!O91</x:f>
        <x:v>0</x:v>
      </x:c>
      <x:c r="H91" s="8" t="n">
        <x:f>SUMIFS('PO detail'!$U$2:$U$672,'PO detail'!$A$2:$A$672,B91,'PO detail'!$B$2:$B$672,C91,'PO detail'!$G$2:$G$672,"&gt;="&amp;D91,'PO detail'!$G$2:$G$672,"&lt;"&amp;A91)</x:f>
        <x:v>0</x:v>
      </x:c>
      <x:c r="I91" s="8" t="n">
        <x:f>SUMIFS('PO detail'!$V$2:$V$672,'PO detail'!$A$2:$A$672,B91,'PO detail'!$B$2:$B$672,C91,'PO detail'!$G$2:$G$672,"&gt;="&amp;D91,'PO detail'!$G$2:$G$672,"&lt;"&amp;A91)</x:f>
        <x:v>0</x:v>
      </x:c>
      <x:c r="J91" s="8" t="n">
        <x:f>SUMIFS('PO detail'!$W$2:$W$672,'PO detail'!$A$2:$A$672,B91,'PO detail'!$B$2:$B$672,C91,'PO detail'!$G$2:$G$672,"&gt;="&amp;D91,'PO detail'!$G$2:$G$672,"&lt;"&amp;A91)</x:f>
        <x:v>0</x:v>
      </x:c>
      <x:c r="K91" s="8" t="n">
        <x:f>'Current inventory'!E91*Summary!$D$6*(A91-D91)/30.4375</x:f>
        <x:v>0</x:v>
      </x:c>
      <x:c r="L91" s="8" t="n">
        <x:f>MAX(0,E91+H91-K91)</x:f>
        <x:v>0</x:v>
      </x:c>
      <x:c r="M91" s="8" t="n">
        <x:f>MAX(0,F91+I91-MAX(0,K91-E91-H91))</x:f>
        <x:v>0</x:v>
      </x:c>
      <x:c r="N91" s="8" t="n">
        <x:f>MAX(0,G91+J91-K91)</x:f>
        <x:v>0</x:v>
      </x:c>
      <x:c r="O91" s="8" t="n">
        <x:f>SUM(L91:N91)</x:f>
        <x:v>0</x:v>
      </x:c>
      <x:c r="P91" s="14" t="n">
        <x:f>'Current inventory'!V91</x:f>
        <x:v>0.18469999999999998</x:v>
      </x:c>
      <x:c r="Q91" s="14" t="str">
        <x:f>'Current inventory'!W91</x:f>
        <x:v>n.a.</x:v>
      </x:c>
      <x:c r="R91" s="10" t="n">
        <x:f>L91*P91</x:f>
        <x:v>0</x:v>
      </x:c>
      <x:c r="S91" s="10" t="n">
        <x:f>M91*P91</x:f>
        <x:v>0</x:v>
      </x:c>
      <x:c r="T91" s="10" t="n">
        <x:f>N91*P91</x:f>
        <x:v>0</x:v>
      </x:c>
      <x:c r="U91" s="10" t="n">
        <x:f>O91*P91</x:f>
        <x:v>0</x:v>
      </x:c>
      <x:c r="V91" s="10" t="str">
        <x:f>IF(ISNUMBER(Q91),O91*(Q91-P91),"n.a.")</x:f>
        <x:v>n.a.</x:v>
      </x:c>
      <x:c r="W91" s="10" t="n">
        <x:f>IF(ISNUMBER(Q91),U91,0)</x:f>
        <x:v>0</x:v>
      </x:c>
      <x:c r="X91" s="8" t="n">
        <x:f>MAX(0,K91-SUM(E91:J91))</x:f>
        <x:v>0</x:v>
      </x:c>
      <x:c r="Y91" s="1" t="str">
        <x:f>IF(AND(O91&gt;0,NOT(ISNUMBER(Q91))),"No proposed replacement standard",IF(X91&gt;0,"Demand exceeds available stock",""))</x:f>
      </x:c>
      <x:c r="Z91" s="1" t="n">
        <x:f>IF(ISNUMBER(Q91),1,0)</x:f>
        <x:v>0</x:v>
      </x:c>
    </x:row>
    <x:row r="92" ht="21" customHeight="1">
      <x:c r="A92" s="17" t="n">
        <x:f>Summary!B15</x:f>
        <x:v>46327</x:v>
      </x:c>
      <x:c r="B92" s="1" t="str">
        <x:f>'Current inventory'!A92</x:f>
        <x:v>30</x:v>
      </x:c>
      <x:c r="C92" s="1" t="str">
        <x:f>'Current inventory'!B92</x:f>
        <x:v>800BWHTCSC</x:v>
      </x:c>
      <x:c r="D92" s="7" t="n">
        <x:f>Summary!$D$5</x:f>
        <x:v>46304</x:v>
      </x:c>
      <x:c r="E92" s="8" t="n">
        <x:f>'Current inventory'!M92</x:f>
        <x:v>0</x:v>
      </x:c>
      <x:c r="F92" s="8" t="n">
        <x:f>'Current inventory'!N92</x:f>
        <x:v>0</x:v>
      </x:c>
      <x:c r="G92" s="8" t="n">
        <x:f>'Current inventory'!O92</x:f>
        <x:v>0</x:v>
      </x:c>
      <x:c r="H92" s="8" t="n">
        <x:f>SUMIFS('PO detail'!$U$2:$U$672,'PO detail'!$A$2:$A$672,B92,'PO detail'!$B$2:$B$672,C92,'PO detail'!$G$2:$G$672,"&gt;="&amp;D92,'PO detail'!$G$2:$G$672,"&lt;"&amp;A92)</x:f>
        <x:v>0</x:v>
      </x:c>
      <x:c r="I92" s="8" t="n">
        <x:f>SUMIFS('PO detail'!$V$2:$V$672,'PO detail'!$A$2:$A$672,B92,'PO detail'!$B$2:$B$672,C92,'PO detail'!$G$2:$G$672,"&gt;="&amp;D92,'PO detail'!$G$2:$G$672,"&lt;"&amp;A92)</x:f>
        <x:v>0</x:v>
      </x:c>
      <x:c r="J92" s="8" t="n">
        <x:f>SUMIFS('PO detail'!$W$2:$W$672,'PO detail'!$A$2:$A$672,B92,'PO detail'!$B$2:$B$672,C92,'PO detail'!$G$2:$G$672,"&gt;="&amp;D92,'PO detail'!$G$2:$G$672,"&lt;"&amp;A92)</x:f>
        <x:v>0</x:v>
      </x:c>
      <x:c r="K92" s="8" t="n">
        <x:f>'Current inventory'!E92*Summary!$D$6*(A92-D92)/30.4375</x:f>
        <x:v>0</x:v>
      </x:c>
      <x:c r="L92" s="8" t="n">
        <x:f>MAX(0,E92+H92-K92)</x:f>
        <x:v>0</x:v>
      </x:c>
      <x:c r="M92" s="8" t="n">
        <x:f>MAX(0,F92+I92-MAX(0,K92-E92-H92))</x:f>
        <x:v>0</x:v>
      </x:c>
      <x:c r="N92" s="8" t="n">
        <x:f>MAX(0,G92+J92-K92)</x:f>
        <x:v>0</x:v>
      </x:c>
      <x:c r="O92" s="8" t="n">
        <x:f>SUM(L92:N92)</x:f>
        <x:v>0</x:v>
      </x:c>
      <x:c r="P92" s="14" t="n">
        <x:f>'Current inventory'!V92</x:f>
        <x:v>0.21559999999999999</x:v>
      </x:c>
      <x:c r="Q92" s="14" t="str">
        <x:f>'Current inventory'!W92</x:f>
        <x:v>n.a.</x:v>
      </x:c>
      <x:c r="R92" s="10" t="n">
        <x:f>L92*P92</x:f>
        <x:v>0</x:v>
      </x:c>
      <x:c r="S92" s="10" t="n">
        <x:f>M92*P92</x:f>
        <x:v>0</x:v>
      </x:c>
      <x:c r="T92" s="10" t="n">
        <x:f>N92*P92</x:f>
        <x:v>0</x:v>
      </x:c>
      <x:c r="U92" s="10" t="n">
        <x:f>O92*P92</x:f>
        <x:v>0</x:v>
      </x:c>
      <x:c r="V92" s="10" t="str">
        <x:f>IF(ISNUMBER(Q92),O92*(Q92-P92),"n.a.")</x:f>
        <x:v>n.a.</x:v>
      </x:c>
      <x:c r="W92" s="10" t="n">
        <x:f>IF(ISNUMBER(Q92),U92,0)</x:f>
        <x:v>0</x:v>
      </x:c>
      <x:c r="X92" s="8" t="n">
        <x:f>MAX(0,K92-SUM(E92:J92))</x:f>
        <x:v>0</x:v>
      </x:c>
      <x:c r="Y92" s="1" t="str">
        <x:f>IF(AND(O92&gt;0,NOT(ISNUMBER(Q92))),"No proposed replacement standard",IF(X92&gt;0,"Demand exceeds available stock",""))</x:f>
      </x:c>
      <x:c r="Z92" s="1" t="n">
        <x:f>IF(ISNUMBER(Q92),1,0)</x:f>
        <x:v>0</x:v>
      </x:c>
    </x:row>
    <x:row r="93" ht="21" customHeight="1">
      <x:c r="A93" s="17" t="n">
        <x:f>Summary!B15</x:f>
        <x:v>46327</x:v>
      </x:c>
      <x:c r="B93" s="1" t="str">
        <x:f>'Current inventory'!A93</x:f>
        <x:v>30</x:v>
      </x:c>
      <x:c r="C93" s="1" t="str">
        <x:f>'Current inventory'!B93</x:f>
        <x:v>800BWHTDSC</x:v>
      </x:c>
      <x:c r="D93" s="7" t="n">
        <x:f>Summary!$D$5</x:f>
        <x:v>46304</x:v>
      </x:c>
      <x:c r="E93" s="8" t="n">
        <x:f>'Current inventory'!M93</x:f>
        <x:v>0</x:v>
      </x:c>
      <x:c r="F93" s="8" t="n">
        <x:f>'Current inventory'!N93</x:f>
        <x:v>0</x:v>
      </x:c>
      <x:c r="G93" s="8" t="n">
        <x:f>'Current inventory'!O93</x:f>
        <x:v>0</x:v>
      </x:c>
      <x:c r="H93" s="8" t="n">
        <x:f>SUMIFS('PO detail'!$U$2:$U$672,'PO detail'!$A$2:$A$672,B93,'PO detail'!$B$2:$B$672,C93,'PO detail'!$G$2:$G$672,"&gt;="&amp;D93,'PO detail'!$G$2:$G$672,"&lt;"&amp;A93)</x:f>
        <x:v>0</x:v>
      </x:c>
      <x:c r="I93" s="8" t="n">
        <x:f>SUMIFS('PO detail'!$V$2:$V$672,'PO detail'!$A$2:$A$672,B93,'PO detail'!$B$2:$B$672,C93,'PO detail'!$G$2:$G$672,"&gt;="&amp;D93,'PO detail'!$G$2:$G$672,"&lt;"&amp;A93)</x:f>
        <x:v>0</x:v>
      </x:c>
      <x:c r="J93" s="8" t="n">
        <x:f>SUMIFS('PO detail'!$W$2:$W$672,'PO detail'!$A$2:$A$672,B93,'PO detail'!$B$2:$B$672,C93,'PO detail'!$G$2:$G$672,"&gt;="&amp;D93,'PO detail'!$G$2:$G$672,"&lt;"&amp;A93)</x:f>
        <x:v>0</x:v>
      </x:c>
      <x:c r="K93" s="8" t="n">
        <x:f>'Current inventory'!E93*Summary!$D$6*(A93-D93)/30.4375</x:f>
        <x:v>0</x:v>
      </x:c>
      <x:c r="L93" s="8" t="n">
        <x:f>MAX(0,E93+H93-K93)</x:f>
        <x:v>0</x:v>
      </x:c>
      <x:c r="M93" s="8" t="n">
        <x:f>MAX(0,F93+I93-MAX(0,K93-E93-H93))</x:f>
        <x:v>0</x:v>
      </x:c>
      <x:c r="N93" s="8" t="n">
        <x:f>MAX(0,G93+J93-K93)</x:f>
        <x:v>0</x:v>
      </x:c>
      <x:c r="O93" s="8" t="n">
        <x:f>SUM(L93:N93)</x:f>
        <x:v>0</x:v>
      </x:c>
      <x:c r="P93" s="14" t="n">
        <x:f>'Current inventory'!V93</x:f>
        <x:v>0.38</x:v>
      </x:c>
      <x:c r="Q93" s="14" t="str">
        <x:f>'Current inventory'!W93</x:f>
        <x:v>n.a.</x:v>
      </x:c>
      <x:c r="R93" s="10" t="n">
        <x:f>L93*P93</x:f>
        <x:v>0</x:v>
      </x:c>
      <x:c r="S93" s="10" t="n">
        <x:f>M93*P93</x:f>
        <x:v>0</x:v>
      </x:c>
      <x:c r="T93" s="10" t="n">
        <x:f>N93*P93</x:f>
        <x:v>0</x:v>
      </x:c>
      <x:c r="U93" s="10" t="n">
        <x:f>O93*P93</x:f>
        <x:v>0</x:v>
      </x:c>
      <x:c r="V93" s="10" t="str">
        <x:f>IF(ISNUMBER(Q93),O93*(Q93-P93),"n.a.")</x:f>
        <x:v>n.a.</x:v>
      </x:c>
      <x:c r="W93" s="10" t="n">
        <x:f>IF(ISNUMBER(Q93),U93,0)</x:f>
        <x:v>0</x:v>
      </x:c>
      <x:c r="X93" s="8" t="n">
        <x:f>MAX(0,K93-SUM(E93:J93))</x:f>
        <x:v>0</x:v>
      </x:c>
      <x:c r="Y93" s="1" t="str">
        <x:f>IF(AND(O93&gt;0,NOT(ISNUMBER(Q93))),"No proposed replacement standard",IF(X93&gt;0,"Demand exceeds available stock",""))</x:f>
      </x:c>
      <x:c r="Z93" s="1" t="n">
        <x:f>IF(ISNUMBER(Q93),1,0)</x:f>
        <x:v>0</x:v>
      </x:c>
    </x:row>
    <x:row r="94" ht="21" customHeight="1">
      <x:c r="A94" s="17" t="n">
        <x:f>Summary!B15</x:f>
        <x:v>46327</x:v>
      </x:c>
      <x:c r="B94" s="1" t="str">
        <x:f>'Current inventory'!A94</x:f>
        <x:v>30</x:v>
      </x:c>
      <x:c r="C94" s="1" t="str">
        <x:f>'Current inventory'!B94</x:f>
        <x:v>800BWHTISC</x:v>
      </x:c>
      <x:c r="D94" s="7" t="n">
        <x:f>Summary!$D$5</x:f>
        <x:v>46304</x:v>
      </x:c>
      <x:c r="E94" s="8" t="n">
        <x:f>'Current inventory'!M94</x:f>
        <x:v>0</x:v>
      </x:c>
      <x:c r="F94" s="8" t="n">
        <x:f>'Current inventory'!N94</x:f>
        <x:v>0</x:v>
      </x:c>
      <x:c r="G94" s="8" t="n">
        <x:f>'Current inventory'!O94</x:f>
        <x:v>0</x:v>
      </x:c>
      <x:c r="H94" s="8" t="n">
        <x:f>SUMIFS('PO detail'!$U$2:$U$672,'PO detail'!$A$2:$A$672,B94,'PO detail'!$B$2:$B$672,C94,'PO detail'!$G$2:$G$672,"&gt;="&amp;D94,'PO detail'!$G$2:$G$672,"&lt;"&amp;A94)</x:f>
        <x:v>0</x:v>
      </x:c>
      <x:c r="I94" s="8" t="n">
        <x:f>SUMIFS('PO detail'!$V$2:$V$672,'PO detail'!$A$2:$A$672,B94,'PO detail'!$B$2:$B$672,C94,'PO detail'!$G$2:$G$672,"&gt;="&amp;D94,'PO detail'!$G$2:$G$672,"&lt;"&amp;A94)</x:f>
        <x:v>0</x:v>
      </x:c>
      <x:c r="J94" s="8" t="n">
        <x:f>SUMIFS('PO detail'!$W$2:$W$672,'PO detail'!$A$2:$A$672,B94,'PO detail'!$B$2:$B$672,C94,'PO detail'!$G$2:$G$672,"&gt;="&amp;D94,'PO detail'!$G$2:$G$672,"&lt;"&amp;A94)</x:f>
        <x:v>0</x:v>
      </x:c>
      <x:c r="K94" s="8" t="n">
        <x:f>'Current inventory'!E94*Summary!$D$6*(A94-D94)/30.4375</x:f>
        <x:v>0</x:v>
      </x:c>
      <x:c r="L94" s="8" t="n">
        <x:f>MAX(0,E94+H94-K94)</x:f>
        <x:v>0</x:v>
      </x:c>
      <x:c r="M94" s="8" t="n">
        <x:f>MAX(0,F94+I94-MAX(0,K94-E94-H94))</x:f>
        <x:v>0</x:v>
      </x:c>
      <x:c r="N94" s="8" t="n">
        <x:f>MAX(0,G94+J94-K94)</x:f>
        <x:v>0</x:v>
      </x:c>
      <x:c r="O94" s="8" t="n">
        <x:f>SUM(L94:N94)</x:f>
        <x:v>0</x:v>
      </x:c>
      <x:c r="P94" s="14" t="n">
        <x:f>'Current inventory'!V94</x:f>
        <x:v>0.1797</x:v>
      </x:c>
      <x:c r="Q94" s="14" t="str">
        <x:f>'Current inventory'!W94</x:f>
        <x:v>n.a.</x:v>
      </x:c>
      <x:c r="R94" s="10" t="n">
        <x:f>L94*P94</x:f>
        <x:v>0</x:v>
      </x:c>
      <x:c r="S94" s="10" t="n">
        <x:f>M94*P94</x:f>
        <x:v>0</x:v>
      </x:c>
      <x:c r="T94" s="10" t="n">
        <x:f>N94*P94</x:f>
        <x:v>0</x:v>
      </x:c>
      <x:c r="U94" s="10" t="n">
        <x:f>O94*P94</x:f>
        <x:v>0</x:v>
      </x:c>
      <x:c r="V94" s="10" t="str">
        <x:f>IF(ISNUMBER(Q94),O94*(Q94-P94),"n.a.")</x:f>
        <x:v>n.a.</x:v>
      </x:c>
      <x:c r="W94" s="10" t="n">
        <x:f>IF(ISNUMBER(Q94),U94,0)</x:f>
        <x:v>0</x:v>
      </x:c>
      <x:c r="X94" s="8" t="n">
        <x:f>MAX(0,K94-SUM(E94:J94))</x:f>
        <x:v>0</x:v>
      </x:c>
      <x:c r="Y94" s="1" t="str">
        <x:f>IF(AND(O94&gt;0,NOT(ISNUMBER(Q94))),"No proposed replacement standard",IF(X94&gt;0,"Demand exceeds available stock",""))</x:f>
      </x:c>
      <x:c r="Z94" s="1" t="n">
        <x:f>IF(ISNUMBER(Q94),1,0)</x:f>
        <x:v>0</x:v>
      </x:c>
    </x:row>
    <x:row r="95" ht="21" customHeight="1">
      <x:c r="A95" s="17" t="n">
        <x:f>Summary!B15</x:f>
        <x:v>46327</x:v>
      </x:c>
      <x:c r="B95" s="1" t="str">
        <x:f>'Current inventory'!A95</x:f>
        <x:v>30</x:v>
      </x:c>
      <x:c r="C95" s="1" t="str">
        <x:f>'Current inventory'!B95</x:f>
        <x:v>800BREDASC</x:v>
      </x:c>
      <x:c r="D95" s="7" t="n">
        <x:f>Summary!$D$5</x:f>
        <x:v>46304</x:v>
      </x:c>
      <x:c r="E95" s="8" t="n">
        <x:f>'Current inventory'!M95</x:f>
        <x:v>0</x:v>
      </x:c>
      <x:c r="F95" s="8" t="n">
        <x:f>'Current inventory'!N95</x:f>
        <x:v>0</x:v>
      </x:c>
      <x:c r="G95" s="8" t="n">
        <x:f>'Current inventory'!O95</x:f>
        <x:v>0</x:v>
      </x:c>
      <x:c r="H95" s="8" t="n">
        <x:f>SUMIFS('PO detail'!$U$2:$U$672,'PO detail'!$A$2:$A$672,B95,'PO detail'!$B$2:$B$672,C95,'PO detail'!$G$2:$G$672,"&gt;="&amp;D95,'PO detail'!$G$2:$G$672,"&lt;"&amp;A95)</x:f>
        <x:v>0</x:v>
      </x:c>
      <x:c r="I95" s="8" t="n">
        <x:f>SUMIFS('PO detail'!$V$2:$V$672,'PO detail'!$A$2:$A$672,B95,'PO detail'!$B$2:$B$672,C95,'PO detail'!$G$2:$G$672,"&gt;="&amp;D95,'PO detail'!$G$2:$G$672,"&lt;"&amp;A95)</x:f>
        <x:v>0</x:v>
      </x:c>
      <x:c r="J95" s="8" t="n">
        <x:f>SUMIFS('PO detail'!$W$2:$W$672,'PO detail'!$A$2:$A$672,B95,'PO detail'!$B$2:$B$672,C95,'PO detail'!$G$2:$G$672,"&gt;="&amp;D95,'PO detail'!$G$2:$G$672,"&lt;"&amp;A95)</x:f>
        <x:v>0</x:v>
      </x:c>
      <x:c r="K95" s="8" t="n">
        <x:f>'Current inventory'!E95*Summary!$D$6*(A95-D95)/30.4375</x:f>
        <x:v>0</x:v>
      </x:c>
      <x:c r="L95" s="8" t="n">
        <x:f>MAX(0,E95+H95-K95)</x:f>
        <x:v>0</x:v>
      </x:c>
      <x:c r="M95" s="8" t="n">
        <x:f>MAX(0,F95+I95-MAX(0,K95-E95-H95))</x:f>
        <x:v>0</x:v>
      </x:c>
      <x:c r="N95" s="8" t="n">
        <x:f>MAX(0,G95+J95-K95)</x:f>
        <x:v>0</x:v>
      </x:c>
      <x:c r="O95" s="8" t="n">
        <x:f>SUM(L95:N95)</x:f>
        <x:v>0</x:v>
      </x:c>
      <x:c r="P95" s="14" t="n">
        <x:f>'Current inventory'!V95</x:f>
        <x:v>0.07919999999999999</x:v>
      </x:c>
      <x:c r="Q95" s="14" t="str">
        <x:f>'Current inventory'!W95</x:f>
        <x:v>n.a.</x:v>
      </x:c>
      <x:c r="R95" s="10" t="n">
        <x:f>L95*P95</x:f>
        <x:v>0</x:v>
      </x:c>
      <x:c r="S95" s="10" t="n">
        <x:f>M95*P95</x:f>
        <x:v>0</x:v>
      </x:c>
      <x:c r="T95" s="10" t="n">
        <x:f>N95*P95</x:f>
        <x:v>0</x:v>
      </x:c>
      <x:c r="U95" s="10" t="n">
        <x:f>O95*P95</x:f>
        <x:v>0</x:v>
      </x:c>
      <x:c r="V95" s="10" t="str">
        <x:f>IF(ISNUMBER(Q95),O95*(Q95-P95),"n.a.")</x:f>
        <x:v>n.a.</x:v>
      </x:c>
      <x:c r="W95" s="10" t="n">
        <x:f>IF(ISNUMBER(Q95),U95,0)</x:f>
        <x:v>0</x:v>
      </x:c>
      <x:c r="X95" s="8" t="n">
        <x:f>MAX(0,K95-SUM(E95:J95))</x:f>
        <x:v>0</x:v>
      </x:c>
      <x:c r="Y95" s="1" t="str">
        <x:f>IF(AND(O95&gt;0,NOT(ISNUMBER(Q95))),"No proposed replacement standard",IF(X95&gt;0,"Demand exceeds available stock",""))</x:f>
      </x:c>
      <x:c r="Z95" s="1" t="n">
        <x:f>IF(ISNUMBER(Q95),1,0)</x:f>
        <x:v>0</x:v>
      </x:c>
    </x:row>
    <x:row r="96" ht="21" customHeight="1">
      <x:c r="A96" s="17" t="n">
        <x:f>Summary!B15</x:f>
        <x:v>46327</x:v>
      </x:c>
      <x:c r="B96" s="1" t="str">
        <x:f>'Current inventory'!A96</x:f>
        <x:v>30</x:v>
      </x:c>
      <x:c r="C96" s="1" t="str">
        <x:f>'Current inventory'!B96</x:f>
        <x:v>800BREDBRC</x:v>
      </x:c>
      <x:c r="D96" s="7" t="n">
        <x:f>Summary!$D$5</x:f>
        <x:v>46304</x:v>
      </x:c>
      <x:c r="E96" s="8" t="n">
        <x:f>'Current inventory'!M96</x:f>
        <x:v>0</x:v>
      </x:c>
      <x:c r="F96" s="8" t="n">
        <x:f>'Current inventory'!N96</x:f>
        <x:v>0</x:v>
      </x:c>
      <x:c r="G96" s="8" t="n">
        <x:f>'Current inventory'!O96</x:f>
        <x:v>0</x:v>
      </x:c>
      <x:c r="H96" s="8" t="n">
        <x:f>SUMIFS('PO detail'!$U$2:$U$672,'PO detail'!$A$2:$A$672,B96,'PO detail'!$B$2:$B$672,C96,'PO detail'!$G$2:$G$672,"&gt;="&amp;D96,'PO detail'!$G$2:$G$672,"&lt;"&amp;A96)</x:f>
        <x:v>0</x:v>
      </x:c>
      <x:c r="I96" s="8" t="n">
        <x:f>SUMIFS('PO detail'!$V$2:$V$672,'PO detail'!$A$2:$A$672,B96,'PO detail'!$B$2:$B$672,C96,'PO detail'!$G$2:$G$672,"&gt;="&amp;D96,'PO detail'!$G$2:$G$672,"&lt;"&amp;A96)</x:f>
        <x:v>0</x:v>
      </x:c>
      <x:c r="J96" s="8" t="n">
        <x:f>SUMIFS('PO detail'!$W$2:$W$672,'PO detail'!$A$2:$A$672,B96,'PO detail'!$B$2:$B$672,C96,'PO detail'!$G$2:$G$672,"&gt;="&amp;D96,'PO detail'!$G$2:$G$672,"&lt;"&amp;A96)</x:f>
        <x:v>0</x:v>
      </x:c>
      <x:c r="K96" s="8" t="n">
        <x:f>'Current inventory'!E96*Summary!$D$6*(A96-D96)/30.4375</x:f>
        <x:v>0</x:v>
      </x:c>
      <x:c r="L96" s="8" t="n">
        <x:f>MAX(0,E96+H96-K96)</x:f>
        <x:v>0</x:v>
      </x:c>
      <x:c r="M96" s="8" t="n">
        <x:f>MAX(0,F96+I96-MAX(0,K96-E96-H96))</x:f>
        <x:v>0</x:v>
      </x:c>
      <x:c r="N96" s="8" t="n">
        <x:f>MAX(0,G96+J96-K96)</x:f>
        <x:v>0</x:v>
      </x:c>
      <x:c r="O96" s="8" t="n">
        <x:f>SUM(L96:N96)</x:f>
        <x:v>0</x:v>
      </x:c>
      <x:c r="P96" s="14" t="n">
        <x:f>'Current inventory'!V96</x:f>
        <x:v>0.0898</x:v>
      </x:c>
      <x:c r="Q96" s="14" t="str">
        <x:f>'Current inventory'!W96</x:f>
        <x:v>n.a.</x:v>
      </x:c>
      <x:c r="R96" s="10" t="n">
        <x:f>L96*P96</x:f>
        <x:v>0</x:v>
      </x:c>
      <x:c r="S96" s="10" t="n">
        <x:f>M96*P96</x:f>
        <x:v>0</x:v>
      </x:c>
      <x:c r="T96" s="10" t="n">
        <x:f>N96*P96</x:f>
        <x:v>0</x:v>
      </x:c>
      <x:c r="U96" s="10" t="n">
        <x:f>O96*P96</x:f>
        <x:v>0</x:v>
      </x:c>
      <x:c r="V96" s="10" t="str">
        <x:f>IF(ISNUMBER(Q96),O96*(Q96-P96),"n.a.")</x:f>
        <x:v>n.a.</x:v>
      </x:c>
      <x:c r="W96" s="10" t="n">
        <x:f>IF(ISNUMBER(Q96),U96,0)</x:f>
        <x:v>0</x:v>
      </x:c>
      <x:c r="X96" s="8" t="n">
        <x:f>MAX(0,K96-SUM(E96:J96))</x:f>
        <x:v>0</x:v>
      </x:c>
      <x:c r="Y96" s="1" t="str">
        <x:f>IF(AND(O96&gt;0,NOT(ISNUMBER(Q96))),"No proposed replacement standard",IF(X96&gt;0,"Demand exceeds available stock",""))</x:f>
      </x:c>
      <x:c r="Z96" s="1" t="n">
        <x:f>IF(ISNUMBER(Q96),1,0)</x:f>
        <x:v>0</x:v>
      </x:c>
    </x:row>
    <x:row r="97" ht="21" customHeight="1">
      <x:c r="A97" s="17" t="n">
        <x:f>Summary!B15</x:f>
        <x:v>46327</x:v>
      </x:c>
      <x:c r="B97" s="1" t="str">
        <x:f>'Current inventory'!A97</x:f>
        <x:v>30</x:v>
      </x:c>
      <x:c r="C97" s="1" t="str">
        <x:f>'Current inventory'!B97</x:f>
        <x:v>800WBLKASC</x:v>
      </x:c>
      <x:c r="D97" s="7" t="n">
        <x:f>Summary!$D$5</x:f>
        <x:v>46304</x:v>
      </x:c>
      <x:c r="E97" s="8" t="n">
        <x:f>'Current inventory'!M97</x:f>
        <x:v>0</x:v>
      </x:c>
      <x:c r="F97" s="8" t="n">
        <x:f>'Current inventory'!N97</x:f>
        <x:v>0</x:v>
      </x:c>
      <x:c r="G97" s="8" t="n">
        <x:f>'Current inventory'!O97</x:f>
        <x:v>0</x:v>
      </x:c>
      <x:c r="H97" s="8" t="n">
        <x:f>SUMIFS('PO detail'!$U$2:$U$672,'PO detail'!$A$2:$A$672,B97,'PO detail'!$B$2:$B$672,C97,'PO detail'!$G$2:$G$672,"&gt;="&amp;D97,'PO detail'!$G$2:$G$672,"&lt;"&amp;A97)</x:f>
        <x:v>0</x:v>
      </x:c>
      <x:c r="I97" s="8" t="n">
        <x:f>SUMIFS('PO detail'!$V$2:$V$672,'PO detail'!$A$2:$A$672,B97,'PO detail'!$B$2:$B$672,C97,'PO detail'!$G$2:$G$672,"&gt;="&amp;D97,'PO detail'!$G$2:$G$672,"&lt;"&amp;A97)</x:f>
        <x:v>0</x:v>
      </x:c>
      <x:c r="J97" s="8" t="n">
        <x:f>SUMIFS('PO detail'!$W$2:$W$672,'PO detail'!$A$2:$A$672,B97,'PO detail'!$B$2:$B$672,C97,'PO detail'!$G$2:$G$672,"&gt;="&amp;D97,'PO detail'!$G$2:$G$672,"&lt;"&amp;A97)</x:f>
        <x:v>0</x:v>
      </x:c>
      <x:c r="K97" s="8" t="n">
        <x:f>'Current inventory'!E97*Summary!$D$6*(A97-D97)/30.4375</x:f>
        <x:v>0</x:v>
      </x:c>
      <x:c r="L97" s="8" t="n">
        <x:f>MAX(0,E97+H97-K97)</x:f>
        <x:v>0</x:v>
      </x:c>
      <x:c r="M97" s="8" t="n">
        <x:f>MAX(0,F97+I97-MAX(0,K97-E97-H97))</x:f>
        <x:v>0</x:v>
      </x:c>
      <x:c r="N97" s="8" t="n">
        <x:f>MAX(0,G97+J97-K97)</x:f>
        <x:v>0</x:v>
      </x:c>
      <x:c r="O97" s="8" t="n">
        <x:f>SUM(L97:N97)</x:f>
        <x:v>0</x:v>
      </x:c>
      <x:c r="P97" s="14" t="n">
        <x:f>'Current inventory'!V97</x:f>
        <x:v>0.111</x:v>
      </x:c>
      <x:c r="Q97" s="14" t="str">
        <x:f>'Current inventory'!W97</x:f>
        <x:v>n.a.</x:v>
      </x:c>
      <x:c r="R97" s="10" t="n">
        <x:f>L97*P97</x:f>
        <x:v>0</x:v>
      </x:c>
      <x:c r="S97" s="10" t="n">
        <x:f>M97*P97</x:f>
        <x:v>0</x:v>
      </x:c>
      <x:c r="T97" s="10" t="n">
        <x:f>N97*P97</x:f>
        <x:v>0</x:v>
      </x:c>
      <x:c r="U97" s="10" t="n">
        <x:f>O97*P97</x:f>
        <x:v>0</x:v>
      </x:c>
      <x:c r="V97" s="10" t="str">
        <x:f>IF(ISNUMBER(Q97),O97*(Q97-P97),"n.a.")</x:f>
        <x:v>n.a.</x:v>
      </x:c>
      <x:c r="W97" s="10" t="n">
        <x:f>IF(ISNUMBER(Q97),U97,0)</x:f>
        <x:v>0</x:v>
      </x:c>
      <x:c r="X97" s="8" t="n">
        <x:f>MAX(0,K97-SUM(E97:J97))</x:f>
        <x:v>0</x:v>
      </x:c>
      <x:c r="Y97" s="1" t="str">
        <x:f>IF(AND(O97&gt;0,NOT(ISNUMBER(Q97))),"No proposed replacement standard",IF(X97&gt;0,"Demand exceeds available stock",""))</x:f>
      </x:c>
      <x:c r="Z97" s="1" t="n">
        <x:f>IF(ISNUMBER(Q97),1,0)</x:f>
        <x:v>0</x:v>
      </x:c>
    </x:row>
    <x:row r="98" ht="21" customHeight="1">
      <x:c r="A98" s="17" t="n">
        <x:f>Summary!B15</x:f>
        <x:v>46327</x:v>
      </x:c>
      <x:c r="B98" s="1" t="str">
        <x:f>'Current inventory'!A98</x:f>
        <x:v>30</x:v>
      </x:c>
      <x:c r="C98" s="1" t="str">
        <x:f>'Current inventory'!B98</x:f>
        <x:v>800WNAVASC</x:v>
      </x:c>
      <x:c r="D98" s="7" t="n">
        <x:f>Summary!$D$5</x:f>
        <x:v>46304</x:v>
      </x:c>
      <x:c r="E98" s="8" t="n">
        <x:f>'Current inventory'!M98</x:f>
        <x:v>0</x:v>
      </x:c>
      <x:c r="F98" s="8" t="n">
        <x:f>'Current inventory'!N98</x:f>
        <x:v>0</x:v>
      </x:c>
      <x:c r="G98" s="8" t="n">
        <x:f>'Current inventory'!O98</x:f>
        <x:v>0</x:v>
      </x:c>
      <x:c r="H98" s="8" t="n">
        <x:f>SUMIFS('PO detail'!$U$2:$U$672,'PO detail'!$A$2:$A$672,B98,'PO detail'!$B$2:$B$672,C98,'PO detail'!$G$2:$G$672,"&gt;="&amp;D98,'PO detail'!$G$2:$G$672,"&lt;"&amp;A98)</x:f>
        <x:v>0</x:v>
      </x:c>
      <x:c r="I98" s="8" t="n">
        <x:f>SUMIFS('PO detail'!$V$2:$V$672,'PO detail'!$A$2:$A$672,B98,'PO detail'!$B$2:$B$672,C98,'PO detail'!$G$2:$G$672,"&gt;="&amp;D98,'PO detail'!$G$2:$G$672,"&lt;"&amp;A98)</x:f>
        <x:v>0</x:v>
      </x:c>
      <x:c r="J98" s="8" t="n">
        <x:f>SUMIFS('PO detail'!$W$2:$W$672,'PO detail'!$A$2:$A$672,B98,'PO detail'!$B$2:$B$672,C98,'PO detail'!$G$2:$G$672,"&gt;="&amp;D98,'PO detail'!$G$2:$G$672,"&lt;"&amp;A98)</x:f>
        <x:v>0</x:v>
      </x:c>
      <x:c r="K98" s="8" t="n">
        <x:f>'Current inventory'!E98*Summary!$D$6*(A98-D98)/30.4375</x:f>
        <x:v>0</x:v>
      </x:c>
      <x:c r="L98" s="8" t="n">
        <x:f>MAX(0,E98+H98-K98)</x:f>
        <x:v>0</x:v>
      </x:c>
      <x:c r="M98" s="8" t="n">
        <x:f>MAX(0,F98+I98-MAX(0,K98-E98-H98))</x:f>
        <x:v>0</x:v>
      </x:c>
      <x:c r="N98" s="8" t="n">
        <x:f>MAX(0,G98+J98-K98)</x:f>
        <x:v>0</x:v>
      </x:c>
      <x:c r="O98" s="8" t="n">
        <x:f>SUM(L98:N98)</x:f>
        <x:v>0</x:v>
      </x:c>
      <x:c r="P98" s="14" t="n">
        <x:f>'Current inventory'!V98</x:f>
        <x:v>0.13570000000000002</x:v>
      </x:c>
      <x:c r="Q98" s="14" t="str">
        <x:f>'Current inventory'!W98</x:f>
        <x:v>n.a.</x:v>
      </x:c>
      <x:c r="R98" s="10" t="n">
        <x:f>L98*P98</x:f>
        <x:v>0</x:v>
      </x:c>
      <x:c r="S98" s="10" t="n">
        <x:f>M98*P98</x:f>
        <x:v>0</x:v>
      </x:c>
      <x:c r="T98" s="10" t="n">
        <x:f>N98*P98</x:f>
        <x:v>0</x:v>
      </x:c>
      <x:c r="U98" s="10" t="n">
        <x:f>O98*P98</x:f>
        <x:v>0</x:v>
      </x:c>
      <x:c r="V98" s="10" t="str">
        <x:f>IF(ISNUMBER(Q98),O98*(Q98-P98),"n.a.")</x:f>
        <x:v>n.a.</x:v>
      </x:c>
      <x:c r="W98" s="10" t="n">
        <x:f>IF(ISNUMBER(Q98),U98,0)</x:f>
        <x:v>0</x:v>
      </x:c>
      <x:c r="X98" s="8" t="n">
        <x:f>MAX(0,K98-SUM(E98:J98))</x:f>
        <x:v>0</x:v>
      </x:c>
      <x:c r="Y98" s="1" t="str">
        <x:f>IF(AND(O98&gt;0,NOT(ISNUMBER(Q98))),"No proposed replacement standard",IF(X98&gt;0,"Demand exceeds available stock",""))</x:f>
      </x:c>
      <x:c r="Z98" s="1" t="n">
        <x:f>IF(ISNUMBER(Q98),1,0)</x:f>
        <x:v>0</x:v>
      </x:c>
    </x:row>
    <x:row r="99" ht="21" customHeight="1">
      <x:c r="A99" s="17" t="n">
        <x:f>Summary!B15</x:f>
        <x:v>46327</x:v>
      </x:c>
      <x:c r="B99" s="1" t="str">
        <x:f>'Current inventory'!A99</x:f>
        <x:v>30</x:v>
      </x:c>
      <x:c r="C99" s="1" t="str">
        <x:f>'Current inventory'!B99</x:f>
        <x:v>800WNAVBRC</x:v>
      </x:c>
      <x:c r="D99" s="7" t="n">
        <x:f>Summary!$D$5</x:f>
        <x:v>46304</x:v>
      </x:c>
      <x:c r="E99" s="8" t="n">
        <x:f>'Current inventory'!M99</x:f>
        <x:v>0</x:v>
      </x:c>
      <x:c r="F99" s="8" t="n">
        <x:f>'Current inventory'!N99</x:f>
        <x:v>0</x:v>
      </x:c>
      <x:c r="G99" s="8" t="n">
        <x:f>'Current inventory'!O99</x:f>
        <x:v>0</x:v>
      </x:c>
      <x:c r="H99" s="8" t="n">
        <x:f>SUMIFS('PO detail'!$U$2:$U$672,'PO detail'!$A$2:$A$672,B99,'PO detail'!$B$2:$B$672,C99,'PO detail'!$G$2:$G$672,"&gt;="&amp;D99,'PO detail'!$G$2:$G$672,"&lt;"&amp;A99)</x:f>
        <x:v>0</x:v>
      </x:c>
      <x:c r="I99" s="8" t="n">
        <x:f>SUMIFS('PO detail'!$V$2:$V$672,'PO detail'!$A$2:$A$672,B99,'PO detail'!$B$2:$B$672,C99,'PO detail'!$G$2:$G$672,"&gt;="&amp;D99,'PO detail'!$G$2:$G$672,"&lt;"&amp;A99)</x:f>
        <x:v>0</x:v>
      </x:c>
      <x:c r="J99" s="8" t="n">
        <x:f>SUMIFS('PO detail'!$W$2:$W$672,'PO detail'!$A$2:$A$672,B99,'PO detail'!$B$2:$B$672,C99,'PO detail'!$G$2:$G$672,"&gt;="&amp;D99,'PO detail'!$G$2:$G$672,"&lt;"&amp;A99)</x:f>
        <x:v>0</x:v>
      </x:c>
      <x:c r="K99" s="8" t="n">
        <x:f>'Current inventory'!E99*Summary!$D$6*(A99-D99)/30.4375</x:f>
        <x:v>0</x:v>
      </x:c>
      <x:c r="L99" s="8" t="n">
        <x:f>MAX(0,E99+H99-K99)</x:f>
        <x:v>0</x:v>
      </x:c>
      <x:c r="M99" s="8" t="n">
        <x:f>MAX(0,F99+I99-MAX(0,K99-E99-H99))</x:f>
        <x:v>0</x:v>
      </x:c>
      <x:c r="N99" s="8" t="n">
        <x:f>MAX(0,G99+J99-K99)</x:f>
        <x:v>0</x:v>
      </x:c>
      <x:c r="O99" s="8" t="n">
        <x:f>SUM(L99:N99)</x:f>
        <x:v>0</x:v>
      </x:c>
      <x:c r="P99" s="14" t="n">
        <x:f>'Current inventory'!V99</x:f>
        <x:v>0.17350000000000002</x:v>
      </x:c>
      <x:c r="Q99" s="14" t="str">
        <x:f>'Current inventory'!W99</x:f>
        <x:v>n.a.</x:v>
      </x:c>
      <x:c r="R99" s="10" t="n">
        <x:f>L99*P99</x:f>
        <x:v>0</x:v>
      </x:c>
      <x:c r="S99" s="10" t="n">
        <x:f>M99*P99</x:f>
        <x:v>0</x:v>
      </x:c>
      <x:c r="T99" s="10" t="n">
        <x:f>N99*P99</x:f>
        <x:v>0</x:v>
      </x:c>
      <x:c r="U99" s="10" t="n">
        <x:f>O99*P99</x:f>
        <x:v>0</x:v>
      </x:c>
      <x:c r="V99" s="10" t="str">
        <x:f>IF(ISNUMBER(Q99),O99*(Q99-P99),"n.a.")</x:f>
        <x:v>n.a.</x:v>
      </x:c>
      <x:c r="W99" s="10" t="n">
        <x:f>IF(ISNUMBER(Q99),U99,0)</x:f>
        <x:v>0</x:v>
      </x:c>
      <x:c r="X99" s="8" t="n">
        <x:f>MAX(0,K99-SUM(E99:J99))</x:f>
        <x:v>0</x:v>
      </x:c>
      <x:c r="Y99" s="1" t="str">
        <x:f>IF(AND(O99&gt;0,NOT(ISNUMBER(Q99))),"No proposed replacement standard",IF(X99&gt;0,"Demand exceeds available stock",""))</x:f>
      </x:c>
      <x:c r="Z99" s="1" t="n">
        <x:f>IF(ISNUMBER(Q99),1,0)</x:f>
        <x:v>0</x:v>
      </x:c>
    </x:row>
    <x:row r="100" ht="21" customHeight="1">
      <x:c r="A100" s="17" t="n">
        <x:f>Summary!B15</x:f>
        <x:v>46327</x:v>
      </x:c>
      <x:c r="B100" s="1" t="str">
        <x:f>'Current inventory'!A100</x:f>
        <x:v>60</x:v>
      </x:c>
      <x:c r="C100" s="1" t="str">
        <x:f>'Current inventory'!B100</x:f>
        <x:v>800BFGASC</x:v>
      </x:c>
      <x:c r="D100" s="7" t="n">
        <x:f>Summary!$D$5</x:f>
        <x:v>46304</x:v>
      </x:c>
      <x:c r="E100" s="8" t="n">
        <x:f>'Current inventory'!M100</x:f>
        <x:v>0</x:v>
      </x:c>
      <x:c r="F100" s="8" t="n">
        <x:f>'Current inventory'!N100</x:f>
        <x:v>0</x:v>
      </x:c>
      <x:c r="G100" s="8" t="n">
        <x:f>'Current inventory'!O100</x:f>
        <x:v>0</x:v>
      </x:c>
      <x:c r="H100" s="8" t="n">
        <x:f>SUMIFS('PO detail'!$U$2:$U$672,'PO detail'!$A$2:$A$672,B100,'PO detail'!$B$2:$B$672,C100,'PO detail'!$G$2:$G$672,"&gt;="&amp;D100,'PO detail'!$G$2:$G$672,"&lt;"&amp;A100)</x:f>
        <x:v>0</x:v>
      </x:c>
      <x:c r="I100" s="8" t="n">
        <x:f>SUMIFS('PO detail'!$V$2:$V$672,'PO detail'!$A$2:$A$672,B100,'PO detail'!$B$2:$B$672,C100,'PO detail'!$G$2:$G$672,"&gt;="&amp;D100,'PO detail'!$G$2:$G$672,"&lt;"&amp;A100)</x:f>
        <x:v>0</x:v>
      </x:c>
      <x:c r="J100" s="8" t="n">
        <x:f>SUMIFS('PO detail'!$W$2:$W$672,'PO detail'!$A$2:$A$672,B100,'PO detail'!$B$2:$B$672,C100,'PO detail'!$G$2:$G$672,"&gt;="&amp;D100,'PO detail'!$G$2:$G$672,"&lt;"&amp;A100)</x:f>
        <x:v>0</x:v>
      </x:c>
      <x:c r="K100" s="8" t="n">
        <x:f>'Current inventory'!E100*Summary!$D$6*(A100-D100)/30.4375</x:f>
        <x:v>0</x:v>
      </x:c>
      <x:c r="L100" s="8" t="n">
        <x:f>MAX(0,E100+H100-K100)</x:f>
        <x:v>0</x:v>
      </x:c>
      <x:c r="M100" s="8" t="n">
        <x:f>MAX(0,F100+I100-MAX(0,K100-E100-H100))</x:f>
        <x:v>0</x:v>
      </x:c>
      <x:c r="N100" s="8" t="n">
        <x:f>MAX(0,G100+J100-K100)</x:f>
        <x:v>0</x:v>
      </x:c>
      <x:c r="O100" s="8" t="n">
        <x:f>SUM(L100:N100)</x:f>
        <x:v>0</x:v>
      </x:c>
      <x:c r="P100" s="14" t="n">
        <x:f>'Current inventory'!V100</x:f>
        <x:v>0.1456</x:v>
      </x:c>
      <x:c r="Q100" s="14" t="str">
        <x:f>'Current inventory'!W100</x:f>
        <x:v>n.a.</x:v>
      </x:c>
      <x:c r="R100" s="10" t="n">
        <x:f>L100*P100</x:f>
        <x:v>0</x:v>
      </x:c>
      <x:c r="S100" s="10" t="n">
        <x:f>M100*P100</x:f>
        <x:v>0</x:v>
      </x:c>
      <x:c r="T100" s="10" t="n">
        <x:f>N100*P100</x:f>
        <x:v>0</x:v>
      </x:c>
      <x:c r="U100" s="10" t="n">
        <x:f>O100*P100</x:f>
        <x:v>0</x:v>
      </x:c>
      <x:c r="V100" s="10" t="str">
        <x:f>IF(ISNUMBER(Q100),O100*(Q100-P100),"n.a.")</x:f>
        <x:v>n.a.</x:v>
      </x:c>
      <x:c r="W100" s="10" t="n">
        <x:f>IF(ISNUMBER(Q100),U100,0)</x:f>
        <x:v>0</x:v>
      </x:c>
      <x:c r="X100" s="8" t="n">
        <x:f>MAX(0,K100-SUM(E100:J100))</x:f>
        <x:v>0</x:v>
      </x:c>
      <x:c r="Y100" s="1" t="str">
        <x:f>IF(AND(O100&gt;0,NOT(ISNUMBER(Q100))),"No proposed replacement standard",IF(X100&gt;0,"Demand exceeds available stock",""))</x:f>
      </x:c>
      <x:c r="Z100" s="1" t="n">
        <x:f>IF(ISNUMBER(Q100),1,0)</x:f>
        <x:v>0</x:v>
      </x:c>
    </x:row>
    <x:row r="101" ht="21" customHeight="1">
      <x:c r="A101" s="17" t="n">
        <x:f>Summary!B15</x:f>
        <x:v>46327</x:v>
      </x:c>
      <x:c r="B101" s="1" t="str">
        <x:f>'Current inventory'!A101</x:f>
        <x:v>60</x:v>
      </x:c>
      <x:c r="C101" s="1" t="str">
        <x:f>'Current inventory'!B101</x:f>
        <x:v>800BFGBRC</x:v>
      </x:c>
      <x:c r="D101" s="7" t="n">
        <x:f>Summary!$D$5</x:f>
        <x:v>46304</x:v>
      </x:c>
      <x:c r="E101" s="8" t="n">
        <x:f>'Current inventory'!M101</x:f>
        <x:v>0</x:v>
      </x:c>
      <x:c r="F101" s="8" t="n">
        <x:f>'Current inventory'!N101</x:f>
        <x:v>0</x:v>
      </x:c>
      <x:c r="G101" s="8" t="n">
        <x:f>'Current inventory'!O101</x:f>
        <x:v>0</x:v>
      </x:c>
      <x:c r="H101" s="8" t="n">
        <x:f>SUMIFS('PO detail'!$U$2:$U$672,'PO detail'!$A$2:$A$672,B101,'PO detail'!$B$2:$B$672,C101,'PO detail'!$G$2:$G$672,"&gt;="&amp;D101,'PO detail'!$G$2:$G$672,"&lt;"&amp;A101)</x:f>
        <x:v>0</x:v>
      </x:c>
      <x:c r="I101" s="8" t="n">
        <x:f>SUMIFS('PO detail'!$V$2:$V$672,'PO detail'!$A$2:$A$672,B101,'PO detail'!$B$2:$B$672,C101,'PO detail'!$G$2:$G$672,"&gt;="&amp;D101,'PO detail'!$G$2:$G$672,"&lt;"&amp;A101)</x:f>
        <x:v>0</x:v>
      </x:c>
      <x:c r="J101" s="8" t="n">
        <x:f>SUMIFS('PO detail'!$W$2:$W$672,'PO detail'!$A$2:$A$672,B101,'PO detail'!$B$2:$B$672,C101,'PO detail'!$G$2:$G$672,"&gt;="&amp;D101,'PO detail'!$G$2:$G$672,"&lt;"&amp;A101)</x:f>
        <x:v>0</x:v>
      </x:c>
      <x:c r="K101" s="8" t="n">
        <x:f>'Current inventory'!E101*Summary!$D$6*(A101-D101)/30.4375</x:f>
        <x:v>0</x:v>
      </x:c>
      <x:c r="L101" s="8" t="n">
        <x:f>MAX(0,E101+H101-K101)</x:f>
        <x:v>0</x:v>
      </x:c>
      <x:c r="M101" s="8" t="n">
        <x:f>MAX(0,F101+I101-MAX(0,K101-E101-H101))</x:f>
        <x:v>0</x:v>
      </x:c>
      <x:c r="N101" s="8" t="n">
        <x:f>MAX(0,G101+J101-K101)</x:f>
        <x:v>0</x:v>
      </x:c>
      <x:c r="O101" s="8" t="n">
        <x:f>SUM(L101:N101)</x:f>
        <x:v>0</x:v>
      </x:c>
      <x:c r="P101" s="14" t="n">
        <x:f>'Current inventory'!V101</x:f>
        <x:v>0.18469999999999998</x:v>
      </x:c>
      <x:c r="Q101" s="14" t="str">
        <x:f>'Current inventory'!W101</x:f>
        <x:v>n.a.</x:v>
      </x:c>
      <x:c r="R101" s="10" t="n">
        <x:f>L101*P101</x:f>
        <x:v>0</x:v>
      </x:c>
      <x:c r="S101" s="10" t="n">
        <x:f>M101*P101</x:f>
        <x:v>0</x:v>
      </x:c>
      <x:c r="T101" s="10" t="n">
        <x:f>N101*P101</x:f>
        <x:v>0</x:v>
      </x:c>
      <x:c r="U101" s="10" t="n">
        <x:f>O101*P101</x:f>
        <x:v>0</x:v>
      </x:c>
      <x:c r="V101" s="10" t="str">
        <x:f>IF(ISNUMBER(Q101),O101*(Q101-P101),"n.a.")</x:f>
        <x:v>n.a.</x:v>
      </x:c>
      <x:c r="W101" s="10" t="n">
        <x:f>IF(ISNUMBER(Q101),U101,0)</x:f>
        <x:v>0</x:v>
      </x:c>
      <x:c r="X101" s="8" t="n">
        <x:f>MAX(0,K101-SUM(E101:J101))</x:f>
        <x:v>0</x:v>
      </x:c>
      <x:c r="Y101" s="1" t="str">
        <x:f>IF(AND(O101&gt;0,NOT(ISNUMBER(Q101))),"No proposed replacement standard",IF(X101&gt;0,"Demand exceeds available stock",""))</x:f>
      </x:c>
      <x:c r="Z101" s="1" t="n">
        <x:f>IF(ISNUMBER(Q101),1,0)</x:f>
        <x:v>0</x:v>
      </x:c>
    </x:row>
    <x:row r="102" ht="21" customHeight="1">
      <x:c r="A102" s="17" t="n">
        <x:f>Summary!B15</x:f>
        <x:v>46327</x:v>
      </x:c>
      <x:c r="B102" s="1" t="str">
        <x:f>'Current inventory'!A102</x:f>
        <x:v>60</x:v>
      </x:c>
      <x:c r="C102" s="1" t="str">
        <x:f>'Current inventory'!B102</x:f>
        <x:v>800BFGCSC</x:v>
      </x:c>
      <x:c r="D102" s="7" t="n">
        <x:f>Summary!$D$5</x:f>
        <x:v>46304</x:v>
      </x:c>
      <x:c r="E102" s="8" t="n">
        <x:f>'Current inventory'!M102</x:f>
        <x:v>0</x:v>
      </x:c>
      <x:c r="F102" s="8" t="n">
        <x:f>'Current inventory'!N102</x:f>
        <x:v>0</x:v>
      </x:c>
      <x:c r="G102" s="8" t="n">
        <x:f>'Current inventory'!O102</x:f>
        <x:v>0</x:v>
      </x:c>
      <x:c r="H102" s="8" t="n">
        <x:f>SUMIFS('PO detail'!$U$2:$U$672,'PO detail'!$A$2:$A$672,B102,'PO detail'!$B$2:$B$672,C102,'PO detail'!$G$2:$G$672,"&gt;="&amp;D102,'PO detail'!$G$2:$G$672,"&lt;"&amp;A102)</x:f>
        <x:v>0</x:v>
      </x:c>
      <x:c r="I102" s="8" t="n">
        <x:f>SUMIFS('PO detail'!$V$2:$V$672,'PO detail'!$A$2:$A$672,B102,'PO detail'!$B$2:$B$672,C102,'PO detail'!$G$2:$G$672,"&gt;="&amp;D102,'PO detail'!$G$2:$G$672,"&lt;"&amp;A102)</x:f>
        <x:v>0</x:v>
      </x:c>
      <x:c r="J102" s="8" t="n">
        <x:f>SUMIFS('PO detail'!$W$2:$W$672,'PO detail'!$A$2:$A$672,B102,'PO detail'!$B$2:$B$672,C102,'PO detail'!$G$2:$G$672,"&gt;="&amp;D102,'PO detail'!$G$2:$G$672,"&lt;"&amp;A102)</x:f>
        <x:v>0</x:v>
      </x:c>
      <x:c r="K102" s="8" t="n">
        <x:f>'Current inventory'!E102*Summary!$D$6*(A102-D102)/30.4375</x:f>
        <x:v>0</x:v>
      </x:c>
      <x:c r="L102" s="8" t="n">
        <x:f>MAX(0,E102+H102-K102)</x:f>
        <x:v>0</x:v>
      </x:c>
      <x:c r="M102" s="8" t="n">
        <x:f>MAX(0,F102+I102-MAX(0,K102-E102-H102))</x:f>
        <x:v>0</x:v>
      </x:c>
      <x:c r="N102" s="8" t="n">
        <x:f>MAX(0,G102+J102-K102)</x:f>
        <x:v>0</x:v>
      </x:c>
      <x:c r="O102" s="8" t="n">
        <x:f>SUM(L102:N102)</x:f>
        <x:v>0</x:v>
      </x:c>
      <x:c r="P102" s="14" t="n">
        <x:f>'Current inventory'!V102</x:f>
        <x:v>0.21559999999999999</x:v>
      </x:c>
      <x:c r="Q102" s="14" t="str">
        <x:f>'Current inventory'!W102</x:f>
        <x:v>n.a.</x:v>
      </x:c>
      <x:c r="R102" s="10" t="n">
        <x:f>L102*P102</x:f>
        <x:v>0</x:v>
      </x:c>
      <x:c r="S102" s="10" t="n">
        <x:f>M102*P102</x:f>
        <x:v>0</x:v>
      </x:c>
      <x:c r="T102" s="10" t="n">
        <x:f>N102*P102</x:f>
        <x:v>0</x:v>
      </x:c>
      <x:c r="U102" s="10" t="n">
        <x:f>O102*P102</x:f>
        <x:v>0</x:v>
      </x:c>
      <x:c r="V102" s="10" t="str">
        <x:f>IF(ISNUMBER(Q102),O102*(Q102-P102),"n.a.")</x:f>
        <x:v>n.a.</x:v>
      </x:c>
      <x:c r="W102" s="10" t="n">
        <x:f>IF(ISNUMBER(Q102),U102,0)</x:f>
        <x:v>0</x:v>
      </x:c>
      <x:c r="X102" s="8" t="n">
        <x:f>MAX(0,K102-SUM(E102:J102))</x:f>
        <x:v>0</x:v>
      </x:c>
      <x:c r="Y102" s="1" t="str">
        <x:f>IF(AND(O102&gt;0,NOT(ISNUMBER(Q102))),"No proposed replacement standard",IF(X102&gt;0,"Demand exceeds available stock",""))</x:f>
      </x:c>
      <x:c r="Z102" s="1" t="n">
        <x:f>IF(ISNUMBER(Q102),1,0)</x:f>
        <x:v>0</x:v>
      </x:c>
    </x:row>
    <x:row r="103" ht="21" customHeight="1">
      <x:c r="A103" s="17" t="n">
        <x:f>Summary!B15</x:f>
        <x:v>46327</x:v>
      </x:c>
      <x:c r="B103" s="1" t="str">
        <x:f>'Current inventory'!A103</x:f>
        <x:v>60</x:v>
      </x:c>
      <x:c r="C103" s="1" t="str">
        <x:f>'Current inventory'!B103</x:f>
        <x:v>800BFGDSC</x:v>
      </x:c>
      <x:c r="D103" s="7" t="n">
        <x:f>Summary!$D$5</x:f>
        <x:v>46304</x:v>
      </x:c>
      <x:c r="E103" s="8" t="n">
        <x:f>'Current inventory'!M103</x:f>
        <x:v>0</x:v>
      </x:c>
      <x:c r="F103" s="8" t="n">
        <x:f>'Current inventory'!N103</x:f>
        <x:v>0</x:v>
      </x:c>
      <x:c r="G103" s="8" t="n">
        <x:f>'Current inventory'!O103</x:f>
        <x:v>0</x:v>
      </x:c>
      <x:c r="H103" s="8" t="n">
        <x:f>SUMIFS('PO detail'!$U$2:$U$672,'PO detail'!$A$2:$A$672,B103,'PO detail'!$B$2:$B$672,C103,'PO detail'!$G$2:$G$672,"&gt;="&amp;D103,'PO detail'!$G$2:$G$672,"&lt;"&amp;A103)</x:f>
        <x:v>0</x:v>
      </x:c>
      <x:c r="I103" s="8" t="n">
        <x:f>SUMIFS('PO detail'!$V$2:$V$672,'PO detail'!$A$2:$A$672,B103,'PO detail'!$B$2:$B$672,C103,'PO detail'!$G$2:$G$672,"&gt;="&amp;D103,'PO detail'!$G$2:$G$672,"&lt;"&amp;A103)</x:f>
        <x:v>0</x:v>
      </x:c>
      <x:c r="J103" s="8" t="n">
        <x:f>SUMIFS('PO detail'!$W$2:$W$672,'PO detail'!$A$2:$A$672,B103,'PO detail'!$B$2:$B$672,C103,'PO detail'!$G$2:$G$672,"&gt;="&amp;D103,'PO detail'!$G$2:$G$672,"&lt;"&amp;A103)</x:f>
        <x:v>0</x:v>
      </x:c>
      <x:c r="K103" s="8" t="n">
        <x:f>'Current inventory'!E103*Summary!$D$6*(A103-D103)/30.4375</x:f>
        <x:v>0</x:v>
      </x:c>
      <x:c r="L103" s="8" t="n">
        <x:f>MAX(0,E103+H103-K103)</x:f>
        <x:v>0</x:v>
      </x:c>
      <x:c r="M103" s="8" t="n">
        <x:f>MAX(0,F103+I103-MAX(0,K103-E103-H103))</x:f>
        <x:v>0</x:v>
      </x:c>
      <x:c r="N103" s="8" t="n">
        <x:f>MAX(0,G103+J103-K103)</x:f>
        <x:v>0</x:v>
      </x:c>
      <x:c r="O103" s="8" t="n">
        <x:f>SUM(L103:N103)</x:f>
        <x:v>0</x:v>
      </x:c>
      <x:c r="P103" s="14" t="n">
        <x:f>'Current inventory'!V103</x:f>
        <x:v>0.38</x:v>
      </x:c>
      <x:c r="Q103" s="14" t="str">
        <x:f>'Current inventory'!W103</x:f>
        <x:v>n.a.</x:v>
      </x:c>
      <x:c r="R103" s="10" t="n">
        <x:f>L103*P103</x:f>
        <x:v>0</x:v>
      </x:c>
      <x:c r="S103" s="10" t="n">
        <x:f>M103*P103</x:f>
        <x:v>0</x:v>
      </x:c>
      <x:c r="T103" s="10" t="n">
        <x:f>N103*P103</x:f>
        <x:v>0</x:v>
      </x:c>
      <x:c r="U103" s="10" t="n">
        <x:f>O103*P103</x:f>
        <x:v>0</x:v>
      </x:c>
      <x:c r="V103" s="10" t="str">
        <x:f>IF(ISNUMBER(Q103),O103*(Q103-P103),"n.a.")</x:f>
        <x:v>n.a.</x:v>
      </x:c>
      <x:c r="W103" s="10" t="n">
        <x:f>IF(ISNUMBER(Q103),U103,0)</x:f>
        <x:v>0</x:v>
      </x:c>
      <x:c r="X103" s="8" t="n">
        <x:f>MAX(0,K103-SUM(E103:J103))</x:f>
        <x:v>0</x:v>
      </x:c>
      <x:c r="Y103" s="1" t="str">
        <x:f>IF(AND(O103&gt;0,NOT(ISNUMBER(Q103))),"No proposed replacement standard",IF(X103&gt;0,"Demand exceeds available stock",""))</x:f>
      </x:c>
      <x:c r="Z103" s="1" t="n">
        <x:f>IF(ISNUMBER(Q103),1,0)</x:f>
        <x:v>0</x:v>
      </x:c>
    </x:row>
    <x:row r="104" ht="21" customHeight="1">
      <x:c r="A104" s="17" t="n">
        <x:f>Summary!B15</x:f>
        <x:v>46327</x:v>
      </x:c>
      <x:c r="B104" s="1" t="str">
        <x:f>'Current inventory'!A104</x:f>
        <x:v>60</x:v>
      </x:c>
      <x:c r="C104" s="1" t="str">
        <x:f>'Current inventory'!B104</x:f>
        <x:v>800BFGISC</x:v>
      </x:c>
      <x:c r="D104" s="7" t="n">
        <x:f>Summary!$D$5</x:f>
        <x:v>46304</x:v>
      </x:c>
      <x:c r="E104" s="8" t="n">
        <x:f>'Current inventory'!M104</x:f>
        <x:v>0</x:v>
      </x:c>
      <x:c r="F104" s="8" t="n">
        <x:f>'Current inventory'!N104</x:f>
        <x:v>0</x:v>
      </x:c>
      <x:c r="G104" s="8" t="n">
        <x:f>'Current inventory'!O104</x:f>
        <x:v>0</x:v>
      </x:c>
      <x:c r="H104" s="8" t="n">
        <x:f>SUMIFS('PO detail'!$U$2:$U$672,'PO detail'!$A$2:$A$672,B104,'PO detail'!$B$2:$B$672,C104,'PO detail'!$G$2:$G$672,"&gt;="&amp;D104,'PO detail'!$G$2:$G$672,"&lt;"&amp;A104)</x:f>
        <x:v>0</x:v>
      </x:c>
      <x:c r="I104" s="8" t="n">
        <x:f>SUMIFS('PO detail'!$V$2:$V$672,'PO detail'!$A$2:$A$672,B104,'PO detail'!$B$2:$B$672,C104,'PO detail'!$G$2:$G$672,"&gt;="&amp;D104,'PO detail'!$G$2:$G$672,"&lt;"&amp;A104)</x:f>
        <x:v>0</x:v>
      </x:c>
      <x:c r="J104" s="8" t="n">
        <x:f>SUMIFS('PO detail'!$W$2:$W$672,'PO detail'!$A$2:$A$672,B104,'PO detail'!$B$2:$B$672,C104,'PO detail'!$G$2:$G$672,"&gt;="&amp;D104,'PO detail'!$G$2:$G$672,"&lt;"&amp;A104)</x:f>
        <x:v>0</x:v>
      </x:c>
      <x:c r="K104" s="8" t="n">
        <x:f>'Current inventory'!E104*Summary!$D$6*(A104-D104)/30.4375</x:f>
        <x:v>0</x:v>
      </x:c>
      <x:c r="L104" s="8" t="n">
        <x:f>MAX(0,E104+H104-K104)</x:f>
        <x:v>0</x:v>
      </x:c>
      <x:c r="M104" s="8" t="n">
        <x:f>MAX(0,F104+I104-MAX(0,K104-E104-H104))</x:f>
        <x:v>0</x:v>
      </x:c>
      <x:c r="N104" s="8" t="n">
        <x:f>MAX(0,G104+J104-K104)</x:f>
        <x:v>0</x:v>
      </x:c>
      <x:c r="O104" s="8" t="n">
        <x:f>SUM(L104:N104)</x:f>
        <x:v>0</x:v>
      </x:c>
      <x:c r="P104" s="14" t="n">
        <x:f>'Current inventory'!V104</x:f>
        <x:v>0.1797</x:v>
      </x:c>
      <x:c r="Q104" s="14" t="str">
        <x:f>'Current inventory'!W104</x:f>
        <x:v>n.a.</x:v>
      </x:c>
      <x:c r="R104" s="10" t="n">
        <x:f>L104*P104</x:f>
        <x:v>0</x:v>
      </x:c>
      <x:c r="S104" s="10" t="n">
        <x:f>M104*P104</x:f>
        <x:v>0</x:v>
      </x:c>
      <x:c r="T104" s="10" t="n">
        <x:f>N104*P104</x:f>
        <x:v>0</x:v>
      </x:c>
      <x:c r="U104" s="10" t="n">
        <x:f>O104*P104</x:f>
        <x:v>0</x:v>
      </x:c>
      <x:c r="V104" s="10" t="str">
        <x:f>IF(ISNUMBER(Q104),O104*(Q104-P104),"n.a.")</x:f>
        <x:v>n.a.</x:v>
      </x:c>
      <x:c r="W104" s="10" t="n">
        <x:f>IF(ISNUMBER(Q104),U104,0)</x:f>
        <x:v>0</x:v>
      </x:c>
      <x:c r="X104" s="8" t="n">
        <x:f>MAX(0,K104-SUM(E104:J104))</x:f>
        <x:v>0</x:v>
      </x:c>
      <x:c r="Y104" s="1" t="str">
        <x:f>IF(AND(O104&gt;0,NOT(ISNUMBER(Q104))),"No proposed replacement standard",IF(X104&gt;0,"Demand exceeds available stock",""))</x:f>
      </x:c>
      <x:c r="Z104" s="1" t="n">
        <x:f>IF(ISNUMBER(Q104),1,0)</x:f>
        <x:v>0</x:v>
      </x:c>
    </x:row>
    <x:row r="105" ht="21" customHeight="1">
      <x:c r="A105" s="17" t="n">
        <x:f>Summary!B15</x:f>
        <x:v>46327</x:v>
      </x:c>
      <x:c r="B105" s="1" t="str">
        <x:f>'Current inventory'!A105</x:f>
        <x:v>60</x:v>
      </x:c>
      <x:c r="C105" s="1" t="str">
        <x:f>'Current inventory'!B105</x:f>
        <x:v>800BLKF</x:v>
      </x:c>
      <x:c r="D105" s="7" t="n">
        <x:f>Summary!$D$5</x:f>
        <x:v>46304</x:v>
      </x:c>
      <x:c r="E105" s="8" t="n">
        <x:f>'Current inventory'!M105</x:f>
        <x:v>0</x:v>
      </x:c>
      <x:c r="F105" s="8" t="n">
        <x:f>'Current inventory'!N105</x:f>
        <x:v>0</x:v>
      </x:c>
      <x:c r="G105" s="8" t="n">
        <x:f>'Current inventory'!O105</x:f>
        <x:v>0</x:v>
      </x:c>
      <x:c r="H105" s="8" t="n">
        <x:f>SUMIFS('PO detail'!$U$2:$U$672,'PO detail'!$A$2:$A$672,B105,'PO detail'!$B$2:$B$672,C105,'PO detail'!$G$2:$G$672,"&gt;="&amp;D105,'PO detail'!$G$2:$G$672,"&lt;"&amp;A105)</x:f>
        <x:v>0</x:v>
      </x:c>
      <x:c r="I105" s="8" t="n">
        <x:f>SUMIFS('PO detail'!$V$2:$V$672,'PO detail'!$A$2:$A$672,B105,'PO detail'!$B$2:$B$672,C105,'PO detail'!$G$2:$G$672,"&gt;="&amp;D105,'PO detail'!$G$2:$G$672,"&lt;"&amp;A105)</x:f>
        <x:v>0</x:v>
      </x:c>
      <x:c r="J105" s="8" t="n">
        <x:f>SUMIFS('PO detail'!$W$2:$W$672,'PO detail'!$A$2:$A$672,B105,'PO detail'!$B$2:$B$672,C105,'PO detail'!$G$2:$G$672,"&gt;="&amp;D105,'PO detail'!$G$2:$G$672,"&lt;"&amp;A105)</x:f>
        <x:v>0</x:v>
      </x:c>
      <x:c r="K105" s="8" t="n">
        <x:f>'Current inventory'!E105*Summary!$D$6*(A105-D105)/30.4375</x:f>
        <x:v>0</x:v>
      </x:c>
      <x:c r="L105" s="8" t="n">
        <x:f>MAX(0,E105+H105-K105)</x:f>
        <x:v>0</x:v>
      </x:c>
      <x:c r="M105" s="8" t="n">
        <x:f>MAX(0,F105+I105-MAX(0,K105-E105-H105))</x:f>
        <x:v>0</x:v>
      </x:c>
      <x:c r="N105" s="8" t="n">
        <x:f>MAX(0,G105+J105-K105)</x:f>
        <x:v>0</x:v>
      </x:c>
      <x:c r="O105" s="8" t="n">
        <x:f>SUM(L105:N105)</x:f>
        <x:v>0</x:v>
      </x:c>
      <x:c r="P105" s="14" t="n">
        <x:f>'Current inventory'!V105</x:f>
        <x:v>7.03</x:v>
      </x:c>
      <x:c r="Q105" s="14" t="str">
        <x:f>'Current inventory'!W105</x:f>
        <x:v>n.a.</x:v>
      </x:c>
      <x:c r="R105" s="10" t="n">
        <x:f>L105*P105</x:f>
        <x:v>0</x:v>
      </x:c>
      <x:c r="S105" s="10" t="n">
        <x:f>M105*P105</x:f>
        <x:v>0</x:v>
      </x:c>
      <x:c r="T105" s="10" t="n">
        <x:f>N105*P105</x:f>
        <x:v>0</x:v>
      </x:c>
      <x:c r="U105" s="10" t="n">
        <x:f>O105*P105</x:f>
        <x:v>0</x:v>
      </x:c>
      <x:c r="V105" s="10" t="str">
        <x:f>IF(ISNUMBER(Q105),O105*(Q105-P105),"n.a.")</x:f>
        <x:v>n.a.</x:v>
      </x:c>
      <x:c r="W105" s="10" t="n">
        <x:f>IF(ISNUMBER(Q105),U105,0)</x:f>
        <x:v>0</x:v>
      </x:c>
      <x:c r="X105" s="8" t="n">
        <x:f>MAX(0,K105-SUM(E105:J105))</x:f>
        <x:v>0</x:v>
      </x:c>
      <x:c r="Y105" s="1" t="str">
        <x:f>IF(AND(O105&gt;0,NOT(ISNUMBER(Q105))),"No proposed replacement standard",IF(X105&gt;0,"Demand exceeds available stock",""))</x:f>
      </x:c>
      <x:c r="Z105" s="1" t="n">
        <x:f>IF(ISNUMBER(Q105),1,0)</x:f>
        <x:v>0</x:v>
      </x:c>
    </x:row>
    <x:row r="106" ht="21" customHeight="1">
      <x:c r="A106" s="17" t="n">
        <x:f>Summary!B15</x:f>
        <x:v>46327</x:v>
      </x:c>
      <x:c r="B106" s="1" t="str">
        <x:f>'Current inventory'!A106</x:f>
        <x:v>60</x:v>
      </x:c>
      <x:c r="C106" s="1" t="str">
        <x:f>'Current inventory'!B106</x:f>
        <x:v>800BWHTASC</x:v>
      </x:c>
      <x:c r="D106" s="7" t="n">
        <x:f>Summary!$D$5</x:f>
        <x:v>46304</x:v>
      </x:c>
      <x:c r="E106" s="8" t="n">
        <x:f>'Current inventory'!M106</x:f>
        <x:v>0</x:v>
      </x:c>
      <x:c r="F106" s="8" t="n">
        <x:f>'Current inventory'!N106</x:f>
        <x:v>0</x:v>
      </x:c>
      <x:c r="G106" s="8" t="n">
        <x:f>'Current inventory'!O106</x:f>
        <x:v>0</x:v>
      </x:c>
      <x:c r="H106" s="8" t="n">
        <x:f>SUMIFS('PO detail'!$U$2:$U$672,'PO detail'!$A$2:$A$672,B106,'PO detail'!$B$2:$B$672,C106,'PO detail'!$G$2:$G$672,"&gt;="&amp;D106,'PO detail'!$G$2:$G$672,"&lt;"&amp;A106)</x:f>
        <x:v>0</x:v>
      </x:c>
      <x:c r="I106" s="8" t="n">
        <x:f>SUMIFS('PO detail'!$V$2:$V$672,'PO detail'!$A$2:$A$672,B106,'PO detail'!$B$2:$B$672,C106,'PO detail'!$G$2:$G$672,"&gt;="&amp;D106,'PO detail'!$G$2:$G$672,"&lt;"&amp;A106)</x:f>
        <x:v>0</x:v>
      </x:c>
      <x:c r="J106" s="8" t="n">
        <x:f>SUMIFS('PO detail'!$W$2:$W$672,'PO detail'!$A$2:$A$672,B106,'PO detail'!$B$2:$B$672,C106,'PO detail'!$G$2:$G$672,"&gt;="&amp;D106,'PO detail'!$G$2:$G$672,"&lt;"&amp;A106)</x:f>
        <x:v>0</x:v>
      </x:c>
      <x:c r="K106" s="8" t="n">
        <x:f>'Current inventory'!E106*Summary!$D$6*(A106-D106)/30.4375</x:f>
        <x:v>0</x:v>
      </x:c>
      <x:c r="L106" s="8" t="n">
        <x:f>MAX(0,E106+H106-K106)</x:f>
        <x:v>0</x:v>
      </x:c>
      <x:c r="M106" s="8" t="n">
        <x:f>MAX(0,F106+I106-MAX(0,K106-E106-H106))</x:f>
        <x:v>0</x:v>
      </x:c>
      <x:c r="N106" s="8" t="n">
        <x:f>MAX(0,G106+J106-K106)</x:f>
        <x:v>0</x:v>
      </x:c>
      <x:c r="O106" s="8" t="n">
        <x:f>SUM(L106:N106)</x:f>
        <x:v>0</x:v>
      </x:c>
      <x:c r="P106" s="14" t="n">
        <x:f>'Current inventory'!V106</x:f>
        <x:v>0.1456</x:v>
      </x:c>
      <x:c r="Q106" s="14" t="str">
        <x:f>'Current inventory'!W106</x:f>
        <x:v>n.a.</x:v>
      </x:c>
      <x:c r="R106" s="10" t="n">
        <x:f>L106*P106</x:f>
        <x:v>0</x:v>
      </x:c>
      <x:c r="S106" s="10" t="n">
        <x:f>M106*P106</x:f>
        <x:v>0</x:v>
      </x:c>
      <x:c r="T106" s="10" t="n">
        <x:f>N106*P106</x:f>
        <x:v>0</x:v>
      </x:c>
      <x:c r="U106" s="10" t="n">
        <x:f>O106*P106</x:f>
        <x:v>0</x:v>
      </x:c>
      <x:c r="V106" s="10" t="str">
        <x:f>IF(ISNUMBER(Q106),O106*(Q106-P106),"n.a.")</x:f>
        <x:v>n.a.</x:v>
      </x:c>
      <x:c r="W106" s="10" t="n">
        <x:f>IF(ISNUMBER(Q106),U106,0)</x:f>
        <x:v>0</x:v>
      </x:c>
      <x:c r="X106" s="8" t="n">
        <x:f>MAX(0,K106-SUM(E106:J106))</x:f>
        <x:v>0</x:v>
      </x:c>
      <x:c r="Y106" s="1" t="str">
        <x:f>IF(AND(O106&gt;0,NOT(ISNUMBER(Q106))),"No proposed replacement standard",IF(X106&gt;0,"Demand exceeds available stock",""))</x:f>
      </x:c>
      <x:c r="Z106" s="1" t="n">
        <x:f>IF(ISNUMBER(Q106),1,0)</x:f>
        <x:v>0</x:v>
      </x:c>
    </x:row>
    <x:row r="107" ht="21" customHeight="1">
      <x:c r="A107" s="17" t="n">
        <x:f>Summary!B15</x:f>
        <x:v>46327</x:v>
      </x:c>
      <x:c r="B107" s="1" t="str">
        <x:f>'Current inventory'!A107</x:f>
        <x:v>60</x:v>
      </x:c>
      <x:c r="C107" s="1" t="str">
        <x:f>'Current inventory'!B107</x:f>
        <x:v>800BWHTBRC</x:v>
      </x:c>
      <x:c r="D107" s="7" t="n">
        <x:f>Summary!$D$5</x:f>
        <x:v>46304</x:v>
      </x:c>
      <x:c r="E107" s="8" t="n">
        <x:f>'Current inventory'!M107</x:f>
        <x:v>0</x:v>
      </x:c>
      <x:c r="F107" s="8" t="n">
        <x:f>'Current inventory'!N107</x:f>
        <x:v>0</x:v>
      </x:c>
      <x:c r="G107" s="8" t="n">
        <x:f>'Current inventory'!O107</x:f>
        <x:v>0</x:v>
      </x:c>
      <x:c r="H107" s="8" t="n">
        <x:f>SUMIFS('PO detail'!$U$2:$U$672,'PO detail'!$A$2:$A$672,B107,'PO detail'!$B$2:$B$672,C107,'PO detail'!$G$2:$G$672,"&gt;="&amp;D107,'PO detail'!$G$2:$G$672,"&lt;"&amp;A107)</x:f>
        <x:v>0</x:v>
      </x:c>
      <x:c r="I107" s="8" t="n">
        <x:f>SUMIFS('PO detail'!$V$2:$V$672,'PO detail'!$A$2:$A$672,B107,'PO detail'!$B$2:$B$672,C107,'PO detail'!$G$2:$G$672,"&gt;="&amp;D107,'PO detail'!$G$2:$G$672,"&lt;"&amp;A107)</x:f>
        <x:v>0</x:v>
      </x:c>
      <x:c r="J107" s="8" t="n">
        <x:f>SUMIFS('PO detail'!$W$2:$W$672,'PO detail'!$A$2:$A$672,B107,'PO detail'!$B$2:$B$672,C107,'PO detail'!$G$2:$G$672,"&gt;="&amp;D107,'PO detail'!$G$2:$G$672,"&lt;"&amp;A107)</x:f>
        <x:v>0</x:v>
      </x:c>
      <x:c r="K107" s="8" t="n">
        <x:f>'Current inventory'!E107*Summary!$D$6*(A107-D107)/30.4375</x:f>
        <x:v>0</x:v>
      </x:c>
      <x:c r="L107" s="8" t="n">
        <x:f>MAX(0,E107+H107-K107)</x:f>
        <x:v>0</x:v>
      </x:c>
      <x:c r="M107" s="8" t="n">
        <x:f>MAX(0,F107+I107-MAX(0,K107-E107-H107))</x:f>
        <x:v>0</x:v>
      </x:c>
      <x:c r="N107" s="8" t="n">
        <x:f>MAX(0,G107+J107-K107)</x:f>
        <x:v>0</x:v>
      </x:c>
      <x:c r="O107" s="8" t="n">
        <x:f>SUM(L107:N107)</x:f>
        <x:v>0</x:v>
      </x:c>
      <x:c r="P107" s="14" t="n">
        <x:f>'Current inventory'!V107</x:f>
        <x:v>0.18469999999999998</x:v>
      </x:c>
      <x:c r="Q107" s="14" t="str">
        <x:f>'Current inventory'!W107</x:f>
        <x:v>n.a.</x:v>
      </x:c>
      <x:c r="R107" s="10" t="n">
        <x:f>L107*P107</x:f>
        <x:v>0</x:v>
      </x:c>
      <x:c r="S107" s="10" t="n">
        <x:f>M107*P107</x:f>
        <x:v>0</x:v>
      </x:c>
      <x:c r="T107" s="10" t="n">
        <x:f>N107*P107</x:f>
        <x:v>0</x:v>
      </x:c>
      <x:c r="U107" s="10" t="n">
        <x:f>O107*P107</x:f>
        <x:v>0</x:v>
      </x:c>
      <x:c r="V107" s="10" t="str">
        <x:f>IF(ISNUMBER(Q107),O107*(Q107-P107),"n.a.")</x:f>
        <x:v>n.a.</x:v>
      </x:c>
      <x:c r="W107" s="10" t="n">
        <x:f>IF(ISNUMBER(Q107),U107,0)</x:f>
        <x:v>0</x:v>
      </x:c>
      <x:c r="X107" s="8" t="n">
        <x:f>MAX(0,K107-SUM(E107:J107))</x:f>
        <x:v>0</x:v>
      </x:c>
      <x:c r="Y107" s="1" t="str">
        <x:f>IF(AND(O107&gt;0,NOT(ISNUMBER(Q107))),"No proposed replacement standard",IF(X107&gt;0,"Demand exceeds available stock",""))</x:f>
      </x:c>
      <x:c r="Z107" s="1" t="n">
        <x:f>IF(ISNUMBER(Q107),1,0)</x:f>
        <x:v>0</x:v>
      </x:c>
    </x:row>
    <x:row r="108" ht="21" customHeight="1">
      <x:c r="A108" s="17" t="n">
        <x:f>Summary!B15</x:f>
        <x:v>46327</x:v>
      </x:c>
      <x:c r="B108" s="1" t="str">
        <x:f>'Current inventory'!A108</x:f>
        <x:v>60</x:v>
      </x:c>
      <x:c r="C108" s="1" t="str">
        <x:f>'Current inventory'!B108</x:f>
        <x:v>800BWHTCSC</x:v>
      </x:c>
      <x:c r="D108" s="7" t="n">
        <x:f>Summary!$D$5</x:f>
        <x:v>46304</x:v>
      </x:c>
      <x:c r="E108" s="8" t="n">
        <x:f>'Current inventory'!M108</x:f>
        <x:v>0</x:v>
      </x:c>
      <x:c r="F108" s="8" t="n">
        <x:f>'Current inventory'!N108</x:f>
        <x:v>0</x:v>
      </x:c>
      <x:c r="G108" s="8" t="n">
        <x:f>'Current inventory'!O108</x:f>
        <x:v>0</x:v>
      </x:c>
      <x:c r="H108" s="8" t="n">
        <x:f>SUMIFS('PO detail'!$U$2:$U$672,'PO detail'!$A$2:$A$672,B108,'PO detail'!$B$2:$B$672,C108,'PO detail'!$G$2:$G$672,"&gt;="&amp;D108,'PO detail'!$G$2:$G$672,"&lt;"&amp;A108)</x:f>
        <x:v>0</x:v>
      </x:c>
      <x:c r="I108" s="8" t="n">
        <x:f>SUMIFS('PO detail'!$V$2:$V$672,'PO detail'!$A$2:$A$672,B108,'PO detail'!$B$2:$B$672,C108,'PO detail'!$G$2:$G$672,"&gt;="&amp;D108,'PO detail'!$G$2:$G$672,"&lt;"&amp;A108)</x:f>
        <x:v>0</x:v>
      </x:c>
      <x:c r="J108" s="8" t="n">
        <x:f>SUMIFS('PO detail'!$W$2:$W$672,'PO detail'!$A$2:$A$672,B108,'PO detail'!$B$2:$B$672,C108,'PO detail'!$G$2:$G$672,"&gt;="&amp;D108,'PO detail'!$G$2:$G$672,"&lt;"&amp;A108)</x:f>
        <x:v>0</x:v>
      </x:c>
      <x:c r="K108" s="8" t="n">
        <x:f>'Current inventory'!E108*Summary!$D$6*(A108-D108)/30.4375</x:f>
        <x:v>0</x:v>
      </x:c>
      <x:c r="L108" s="8" t="n">
        <x:f>MAX(0,E108+H108-K108)</x:f>
        <x:v>0</x:v>
      </x:c>
      <x:c r="M108" s="8" t="n">
        <x:f>MAX(0,F108+I108-MAX(0,K108-E108-H108))</x:f>
        <x:v>0</x:v>
      </x:c>
      <x:c r="N108" s="8" t="n">
        <x:f>MAX(0,G108+J108-K108)</x:f>
        <x:v>0</x:v>
      </x:c>
      <x:c r="O108" s="8" t="n">
        <x:f>SUM(L108:N108)</x:f>
        <x:v>0</x:v>
      </x:c>
      <x:c r="P108" s="14" t="n">
        <x:f>'Current inventory'!V108</x:f>
        <x:v>0.21559999999999999</x:v>
      </x:c>
      <x:c r="Q108" s="14" t="str">
        <x:f>'Current inventory'!W108</x:f>
        <x:v>n.a.</x:v>
      </x:c>
      <x:c r="R108" s="10" t="n">
        <x:f>L108*P108</x:f>
        <x:v>0</x:v>
      </x:c>
      <x:c r="S108" s="10" t="n">
        <x:f>M108*P108</x:f>
        <x:v>0</x:v>
      </x:c>
      <x:c r="T108" s="10" t="n">
        <x:f>N108*P108</x:f>
        <x:v>0</x:v>
      </x:c>
      <x:c r="U108" s="10" t="n">
        <x:f>O108*P108</x:f>
        <x:v>0</x:v>
      </x:c>
      <x:c r="V108" s="10" t="str">
        <x:f>IF(ISNUMBER(Q108),O108*(Q108-P108),"n.a.")</x:f>
        <x:v>n.a.</x:v>
      </x:c>
      <x:c r="W108" s="10" t="n">
        <x:f>IF(ISNUMBER(Q108),U108,0)</x:f>
        <x:v>0</x:v>
      </x:c>
      <x:c r="X108" s="8" t="n">
        <x:f>MAX(0,K108-SUM(E108:J108))</x:f>
        <x:v>0</x:v>
      </x:c>
      <x:c r="Y108" s="1" t="str">
        <x:f>IF(AND(O108&gt;0,NOT(ISNUMBER(Q108))),"No proposed replacement standard",IF(X108&gt;0,"Demand exceeds available stock",""))</x:f>
      </x:c>
      <x:c r="Z108" s="1" t="n">
        <x:f>IF(ISNUMBER(Q108),1,0)</x:f>
        <x:v>0</x:v>
      </x:c>
    </x:row>
    <x:row r="109" ht="21" customHeight="1">
      <x:c r="A109" s="17" t="n">
        <x:f>Summary!B15</x:f>
        <x:v>46327</x:v>
      </x:c>
      <x:c r="B109" s="1" t="str">
        <x:f>'Current inventory'!A109</x:f>
        <x:v>60</x:v>
      </x:c>
      <x:c r="C109" s="1" t="str">
        <x:f>'Current inventory'!B109</x:f>
        <x:v>800BWHTDSC</x:v>
      </x:c>
      <x:c r="D109" s="7" t="n">
        <x:f>Summary!$D$5</x:f>
        <x:v>46304</x:v>
      </x:c>
      <x:c r="E109" s="8" t="n">
        <x:f>'Current inventory'!M109</x:f>
        <x:v>0</x:v>
      </x:c>
      <x:c r="F109" s="8" t="n">
        <x:f>'Current inventory'!N109</x:f>
        <x:v>0</x:v>
      </x:c>
      <x:c r="G109" s="8" t="n">
        <x:f>'Current inventory'!O109</x:f>
        <x:v>0</x:v>
      </x:c>
      <x:c r="H109" s="8" t="n">
        <x:f>SUMIFS('PO detail'!$U$2:$U$672,'PO detail'!$A$2:$A$672,B109,'PO detail'!$B$2:$B$672,C109,'PO detail'!$G$2:$G$672,"&gt;="&amp;D109,'PO detail'!$G$2:$G$672,"&lt;"&amp;A109)</x:f>
        <x:v>0</x:v>
      </x:c>
      <x:c r="I109" s="8" t="n">
        <x:f>SUMIFS('PO detail'!$V$2:$V$672,'PO detail'!$A$2:$A$672,B109,'PO detail'!$B$2:$B$672,C109,'PO detail'!$G$2:$G$672,"&gt;="&amp;D109,'PO detail'!$G$2:$G$672,"&lt;"&amp;A109)</x:f>
        <x:v>0</x:v>
      </x:c>
      <x:c r="J109" s="8" t="n">
        <x:f>SUMIFS('PO detail'!$W$2:$W$672,'PO detail'!$A$2:$A$672,B109,'PO detail'!$B$2:$B$672,C109,'PO detail'!$G$2:$G$672,"&gt;="&amp;D109,'PO detail'!$G$2:$G$672,"&lt;"&amp;A109)</x:f>
        <x:v>0</x:v>
      </x:c>
      <x:c r="K109" s="8" t="n">
        <x:f>'Current inventory'!E109*Summary!$D$6*(A109-D109)/30.4375</x:f>
        <x:v>0</x:v>
      </x:c>
      <x:c r="L109" s="8" t="n">
        <x:f>MAX(0,E109+H109-K109)</x:f>
        <x:v>0</x:v>
      </x:c>
      <x:c r="M109" s="8" t="n">
        <x:f>MAX(0,F109+I109-MAX(0,K109-E109-H109))</x:f>
        <x:v>0</x:v>
      </x:c>
      <x:c r="N109" s="8" t="n">
        <x:f>MAX(0,G109+J109-K109)</x:f>
        <x:v>0</x:v>
      </x:c>
      <x:c r="O109" s="8" t="n">
        <x:f>SUM(L109:N109)</x:f>
        <x:v>0</x:v>
      </x:c>
      <x:c r="P109" s="14" t="n">
        <x:f>'Current inventory'!V109</x:f>
        <x:v>0.38</x:v>
      </x:c>
      <x:c r="Q109" s="14" t="str">
        <x:f>'Current inventory'!W109</x:f>
        <x:v>n.a.</x:v>
      </x:c>
      <x:c r="R109" s="10" t="n">
        <x:f>L109*P109</x:f>
        <x:v>0</x:v>
      </x:c>
      <x:c r="S109" s="10" t="n">
        <x:f>M109*P109</x:f>
        <x:v>0</x:v>
      </x:c>
      <x:c r="T109" s="10" t="n">
        <x:f>N109*P109</x:f>
        <x:v>0</x:v>
      </x:c>
      <x:c r="U109" s="10" t="n">
        <x:f>O109*P109</x:f>
        <x:v>0</x:v>
      </x:c>
      <x:c r="V109" s="10" t="str">
        <x:f>IF(ISNUMBER(Q109),O109*(Q109-P109),"n.a.")</x:f>
        <x:v>n.a.</x:v>
      </x:c>
      <x:c r="W109" s="10" t="n">
        <x:f>IF(ISNUMBER(Q109),U109,0)</x:f>
        <x:v>0</x:v>
      </x:c>
      <x:c r="X109" s="8" t="n">
        <x:f>MAX(0,K109-SUM(E109:J109))</x:f>
        <x:v>0</x:v>
      </x:c>
      <x:c r="Y109" s="1" t="str">
        <x:f>IF(AND(O109&gt;0,NOT(ISNUMBER(Q109))),"No proposed replacement standard",IF(X109&gt;0,"Demand exceeds available stock",""))</x:f>
      </x:c>
      <x:c r="Z109" s="1" t="n">
        <x:f>IF(ISNUMBER(Q109),1,0)</x:f>
        <x:v>0</x:v>
      </x:c>
    </x:row>
    <x:row r="110" ht="21" customHeight="1">
      <x:c r="A110" s="17" t="n">
        <x:f>Summary!B15</x:f>
        <x:v>46327</x:v>
      </x:c>
      <x:c r="B110" s="1" t="str">
        <x:f>'Current inventory'!A110</x:f>
        <x:v>60</x:v>
      </x:c>
      <x:c r="C110" s="1" t="str">
        <x:f>'Current inventory'!B110</x:f>
        <x:v>800BWHTISC</x:v>
      </x:c>
      <x:c r="D110" s="7" t="n">
        <x:f>Summary!$D$5</x:f>
        <x:v>46304</x:v>
      </x:c>
      <x:c r="E110" s="8" t="n">
        <x:f>'Current inventory'!M110</x:f>
        <x:v>0</x:v>
      </x:c>
      <x:c r="F110" s="8" t="n">
        <x:f>'Current inventory'!N110</x:f>
        <x:v>0</x:v>
      </x:c>
      <x:c r="G110" s="8" t="n">
        <x:f>'Current inventory'!O110</x:f>
        <x:v>0</x:v>
      </x:c>
      <x:c r="H110" s="8" t="n">
        <x:f>SUMIFS('PO detail'!$U$2:$U$672,'PO detail'!$A$2:$A$672,B110,'PO detail'!$B$2:$B$672,C110,'PO detail'!$G$2:$G$672,"&gt;="&amp;D110,'PO detail'!$G$2:$G$672,"&lt;"&amp;A110)</x:f>
        <x:v>0</x:v>
      </x:c>
      <x:c r="I110" s="8" t="n">
        <x:f>SUMIFS('PO detail'!$V$2:$V$672,'PO detail'!$A$2:$A$672,B110,'PO detail'!$B$2:$B$672,C110,'PO detail'!$G$2:$G$672,"&gt;="&amp;D110,'PO detail'!$G$2:$G$672,"&lt;"&amp;A110)</x:f>
        <x:v>0</x:v>
      </x:c>
      <x:c r="J110" s="8" t="n">
        <x:f>SUMIFS('PO detail'!$W$2:$W$672,'PO detail'!$A$2:$A$672,B110,'PO detail'!$B$2:$B$672,C110,'PO detail'!$G$2:$G$672,"&gt;="&amp;D110,'PO detail'!$G$2:$G$672,"&lt;"&amp;A110)</x:f>
        <x:v>0</x:v>
      </x:c>
      <x:c r="K110" s="8" t="n">
        <x:f>'Current inventory'!E110*Summary!$D$6*(A110-D110)/30.4375</x:f>
        <x:v>0</x:v>
      </x:c>
      <x:c r="L110" s="8" t="n">
        <x:f>MAX(0,E110+H110-K110)</x:f>
        <x:v>0</x:v>
      </x:c>
      <x:c r="M110" s="8" t="n">
        <x:f>MAX(0,F110+I110-MAX(0,K110-E110-H110))</x:f>
        <x:v>0</x:v>
      </x:c>
      <x:c r="N110" s="8" t="n">
        <x:f>MAX(0,G110+J110-K110)</x:f>
        <x:v>0</x:v>
      </x:c>
      <x:c r="O110" s="8" t="n">
        <x:f>SUM(L110:N110)</x:f>
        <x:v>0</x:v>
      </x:c>
      <x:c r="P110" s="14" t="n">
        <x:f>'Current inventory'!V110</x:f>
        <x:v>0.1797</x:v>
      </x:c>
      <x:c r="Q110" s="14" t="str">
        <x:f>'Current inventory'!W110</x:f>
        <x:v>n.a.</x:v>
      </x:c>
      <x:c r="R110" s="10" t="n">
        <x:f>L110*P110</x:f>
        <x:v>0</x:v>
      </x:c>
      <x:c r="S110" s="10" t="n">
        <x:f>M110*P110</x:f>
        <x:v>0</x:v>
      </x:c>
      <x:c r="T110" s="10" t="n">
        <x:f>N110*P110</x:f>
        <x:v>0</x:v>
      </x:c>
      <x:c r="U110" s="10" t="n">
        <x:f>O110*P110</x:f>
        <x:v>0</x:v>
      </x:c>
      <x:c r="V110" s="10" t="str">
        <x:f>IF(ISNUMBER(Q110),O110*(Q110-P110),"n.a.")</x:f>
        <x:v>n.a.</x:v>
      </x:c>
      <x:c r="W110" s="10" t="n">
        <x:f>IF(ISNUMBER(Q110),U110,0)</x:f>
        <x:v>0</x:v>
      </x:c>
      <x:c r="X110" s="8" t="n">
        <x:f>MAX(0,K110-SUM(E110:J110))</x:f>
        <x:v>0</x:v>
      </x:c>
      <x:c r="Y110" s="1" t="str">
        <x:f>IF(AND(O110&gt;0,NOT(ISNUMBER(Q110))),"No proposed replacement standard",IF(X110&gt;0,"Demand exceeds available stock",""))</x:f>
      </x:c>
      <x:c r="Z110" s="1" t="n">
        <x:f>IF(ISNUMBER(Q110),1,0)</x:f>
        <x:v>0</x:v>
      </x:c>
    </x:row>
    <x:row r="111" ht="21" customHeight="1">
      <x:c r="A111" s="17" t="n">
        <x:f>Summary!B15</x:f>
        <x:v>46327</x:v>
      </x:c>
      <x:c r="B111" s="1" t="str">
        <x:f>'Current inventory'!A111</x:f>
        <x:v>60</x:v>
      </x:c>
      <x:c r="C111" s="1" t="str">
        <x:f>'Current inventory'!B111</x:f>
        <x:v>800FGE</x:v>
      </x:c>
      <x:c r="D111" s="7" t="n">
        <x:f>Summary!$D$5</x:f>
        <x:v>46304</x:v>
      </x:c>
      <x:c r="E111" s="8" t="n">
        <x:f>'Current inventory'!M111</x:f>
        <x:v>0</x:v>
      </x:c>
      <x:c r="F111" s="8" t="n">
        <x:f>'Current inventory'!N111</x:f>
        <x:v>0</x:v>
      </x:c>
      <x:c r="G111" s="8" t="n">
        <x:f>'Current inventory'!O111</x:f>
        <x:v>0</x:v>
      </x:c>
      <x:c r="H111" s="8" t="n">
        <x:f>SUMIFS('PO detail'!$U$2:$U$672,'PO detail'!$A$2:$A$672,B111,'PO detail'!$B$2:$B$672,C111,'PO detail'!$G$2:$G$672,"&gt;="&amp;D111,'PO detail'!$G$2:$G$672,"&lt;"&amp;A111)</x:f>
        <x:v>0</x:v>
      </x:c>
      <x:c r="I111" s="8" t="n">
        <x:f>SUMIFS('PO detail'!$V$2:$V$672,'PO detail'!$A$2:$A$672,B111,'PO detail'!$B$2:$B$672,C111,'PO detail'!$G$2:$G$672,"&gt;="&amp;D111,'PO detail'!$G$2:$G$672,"&lt;"&amp;A111)</x:f>
        <x:v>0</x:v>
      </x:c>
      <x:c r="J111" s="8" t="n">
        <x:f>SUMIFS('PO detail'!$W$2:$W$672,'PO detail'!$A$2:$A$672,B111,'PO detail'!$B$2:$B$672,C111,'PO detail'!$G$2:$G$672,"&gt;="&amp;D111,'PO detail'!$G$2:$G$672,"&lt;"&amp;A111)</x:f>
        <x:v>0</x:v>
      </x:c>
      <x:c r="K111" s="8" t="n">
        <x:f>'Current inventory'!E111*Summary!$D$6*(A111-D111)/30.4375</x:f>
        <x:v>0</x:v>
      </x:c>
      <x:c r="L111" s="8" t="n">
        <x:f>MAX(0,E111+H111-K111)</x:f>
        <x:v>0</x:v>
      </x:c>
      <x:c r="M111" s="8" t="n">
        <x:f>MAX(0,F111+I111-MAX(0,K111-E111-H111))</x:f>
        <x:v>0</x:v>
      </x:c>
      <x:c r="N111" s="8" t="n">
        <x:f>MAX(0,G111+J111-K111)</x:f>
        <x:v>0</x:v>
      </x:c>
      <x:c r="O111" s="8" t="n">
        <x:f>SUM(L111:N111)</x:f>
        <x:v>0</x:v>
      </x:c>
      <x:c r="P111" s="14" t="n">
        <x:f>'Current inventory'!V111</x:f>
        <x:v>10.78</x:v>
      </x:c>
      <x:c r="Q111" s="14" t="str">
        <x:f>'Current inventory'!W111</x:f>
        <x:v>n.a.</x:v>
      </x:c>
      <x:c r="R111" s="10" t="n">
        <x:f>L111*P111</x:f>
        <x:v>0</x:v>
      </x:c>
      <x:c r="S111" s="10" t="n">
        <x:f>M111*P111</x:f>
        <x:v>0</x:v>
      </x:c>
      <x:c r="T111" s="10" t="n">
        <x:f>N111*P111</x:f>
        <x:v>0</x:v>
      </x:c>
      <x:c r="U111" s="10" t="n">
        <x:f>O111*P111</x:f>
        <x:v>0</x:v>
      </x:c>
      <x:c r="V111" s="10" t="str">
        <x:f>IF(ISNUMBER(Q111),O111*(Q111-P111),"n.a.")</x:f>
        <x:v>n.a.</x:v>
      </x:c>
      <x:c r="W111" s="10" t="n">
        <x:f>IF(ISNUMBER(Q111),U111,0)</x:f>
        <x:v>0</x:v>
      </x:c>
      <x:c r="X111" s="8" t="n">
        <x:f>MAX(0,K111-SUM(E111:J111))</x:f>
        <x:v>0</x:v>
      </x:c>
      <x:c r="Y111" s="1" t="str">
        <x:f>IF(AND(O111&gt;0,NOT(ISNUMBER(Q111))),"No proposed replacement standard",IF(X111&gt;0,"Demand exceeds available stock",""))</x:f>
      </x:c>
      <x:c r="Z111" s="1" t="n">
        <x:f>IF(ISNUMBER(Q111),1,0)</x:f>
        <x:v>0</x:v>
      </x:c>
    </x:row>
    <x:row r="112" ht="21" customHeight="1">
      <x:c r="A112" s="17" t="n">
        <x:f>Summary!B15</x:f>
        <x:v>46327</x:v>
      </x:c>
      <x:c r="B112" s="1" t="str">
        <x:f>'Current inventory'!A112</x:f>
        <x:v>60</x:v>
      </x:c>
      <x:c r="C112" s="1" t="str">
        <x:f>'Current inventory'!B112</x:f>
        <x:v>800NAVF</x:v>
      </x:c>
      <x:c r="D112" s="7" t="n">
        <x:f>Summary!$D$5</x:f>
        <x:v>46304</x:v>
      </x:c>
      <x:c r="E112" s="8" t="n">
        <x:f>'Current inventory'!M112</x:f>
        <x:v>0</x:v>
      </x:c>
      <x:c r="F112" s="8" t="n">
        <x:f>'Current inventory'!N112</x:f>
        <x:v>0</x:v>
      </x:c>
      <x:c r="G112" s="8" t="n">
        <x:f>'Current inventory'!O112</x:f>
        <x:v>0</x:v>
      </x:c>
      <x:c r="H112" s="8" t="n">
        <x:f>SUMIFS('PO detail'!$U$2:$U$672,'PO detail'!$A$2:$A$672,B112,'PO detail'!$B$2:$B$672,C112,'PO detail'!$G$2:$G$672,"&gt;="&amp;D112,'PO detail'!$G$2:$G$672,"&lt;"&amp;A112)</x:f>
        <x:v>0</x:v>
      </x:c>
      <x:c r="I112" s="8" t="n">
        <x:f>SUMIFS('PO detail'!$V$2:$V$672,'PO detail'!$A$2:$A$672,B112,'PO detail'!$B$2:$B$672,C112,'PO detail'!$G$2:$G$672,"&gt;="&amp;D112,'PO detail'!$G$2:$G$672,"&lt;"&amp;A112)</x:f>
        <x:v>0</x:v>
      </x:c>
      <x:c r="J112" s="8" t="n">
        <x:f>SUMIFS('PO detail'!$W$2:$W$672,'PO detail'!$A$2:$A$672,B112,'PO detail'!$B$2:$B$672,C112,'PO detail'!$G$2:$G$672,"&gt;="&amp;D112,'PO detail'!$G$2:$G$672,"&lt;"&amp;A112)</x:f>
        <x:v>0</x:v>
      </x:c>
      <x:c r="K112" s="8" t="n">
        <x:f>'Current inventory'!E112*Summary!$D$6*(A112-D112)/30.4375</x:f>
        <x:v>0</x:v>
      </x:c>
      <x:c r="L112" s="8" t="n">
        <x:f>MAX(0,E112+H112-K112)</x:f>
        <x:v>0</x:v>
      </x:c>
      <x:c r="M112" s="8" t="n">
        <x:f>MAX(0,F112+I112-MAX(0,K112-E112-H112))</x:f>
        <x:v>0</x:v>
      </x:c>
      <x:c r="N112" s="8" t="n">
        <x:f>MAX(0,G112+J112-K112)</x:f>
        <x:v>0</x:v>
      </x:c>
      <x:c r="O112" s="8" t="n">
        <x:f>SUM(L112:N112)</x:f>
        <x:v>0</x:v>
      </x:c>
      <x:c r="P112" s="14" t="n">
        <x:f>'Current inventory'!V112</x:f>
        <x:v>7.03</x:v>
      </x:c>
      <x:c r="Q112" s="14" t="str">
        <x:f>'Current inventory'!W112</x:f>
        <x:v>n.a.</x:v>
      </x:c>
      <x:c r="R112" s="10" t="n">
        <x:f>L112*P112</x:f>
        <x:v>0</x:v>
      </x:c>
      <x:c r="S112" s="10" t="n">
        <x:f>M112*P112</x:f>
        <x:v>0</x:v>
      </x:c>
      <x:c r="T112" s="10" t="n">
        <x:f>N112*P112</x:f>
        <x:v>0</x:v>
      </x:c>
      <x:c r="U112" s="10" t="n">
        <x:f>O112*P112</x:f>
        <x:v>0</x:v>
      </x:c>
      <x:c r="V112" s="10" t="str">
        <x:f>IF(ISNUMBER(Q112),O112*(Q112-P112),"n.a.")</x:f>
        <x:v>n.a.</x:v>
      </x:c>
      <x:c r="W112" s="10" t="n">
        <x:f>IF(ISNUMBER(Q112),U112,0)</x:f>
        <x:v>0</x:v>
      </x:c>
      <x:c r="X112" s="8" t="n">
        <x:f>MAX(0,K112-SUM(E112:J112))</x:f>
        <x:v>0</x:v>
      </x:c>
      <x:c r="Y112" s="1" t="str">
        <x:f>IF(AND(O112&gt;0,NOT(ISNUMBER(Q112))),"No proposed replacement standard",IF(X112&gt;0,"Demand exceeds available stock",""))</x:f>
      </x:c>
      <x:c r="Z112" s="1" t="n">
        <x:f>IF(ISNUMBER(Q112),1,0)</x:f>
        <x:v>0</x:v>
      </x:c>
    </x:row>
    <x:row r="113" ht="21" customHeight="1">
      <x:c r="A113" s="17" t="n">
        <x:f>Summary!B15</x:f>
        <x:v>46327</x:v>
      </x:c>
      <x:c r="B113" s="1" t="str">
        <x:f>'Current inventory'!A113</x:f>
        <x:v>60</x:v>
      </x:c>
      <x:c r="C113" s="1" t="str">
        <x:f>'Current inventory'!B113</x:f>
        <x:v>800WHTE</x:v>
      </x:c>
      <x:c r="D113" s="7" t="n">
        <x:f>Summary!$D$5</x:f>
        <x:v>46304</x:v>
      </x:c>
      <x:c r="E113" s="8" t="n">
        <x:f>'Current inventory'!M113</x:f>
        <x:v>0</x:v>
      </x:c>
      <x:c r="F113" s="8" t="n">
        <x:f>'Current inventory'!N113</x:f>
        <x:v>0</x:v>
      </x:c>
      <x:c r="G113" s="8" t="n">
        <x:f>'Current inventory'!O113</x:f>
        <x:v>0</x:v>
      </x:c>
      <x:c r="H113" s="8" t="n">
        <x:f>SUMIFS('PO detail'!$U$2:$U$672,'PO detail'!$A$2:$A$672,B113,'PO detail'!$B$2:$B$672,C113,'PO detail'!$G$2:$G$672,"&gt;="&amp;D113,'PO detail'!$G$2:$G$672,"&lt;"&amp;A113)</x:f>
        <x:v>0</x:v>
      </x:c>
      <x:c r="I113" s="8" t="n">
        <x:f>SUMIFS('PO detail'!$V$2:$V$672,'PO detail'!$A$2:$A$672,B113,'PO detail'!$B$2:$B$672,C113,'PO detail'!$G$2:$G$672,"&gt;="&amp;D113,'PO detail'!$G$2:$G$672,"&lt;"&amp;A113)</x:f>
        <x:v>0</x:v>
      </x:c>
      <x:c r="J113" s="8" t="n">
        <x:f>SUMIFS('PO detail'!$W$2:$W$672,'PO detail'!$A$2:$A$672,B113,'PO detail'!$B$2:$B$672,C113,'PO detail'!$G$2:$G$672,"&gt;="&amp;D113,'PO detail'!$G$2:$G$672,"&lt;"&amp;A113)</x:f>
        <x:v>0</x:v>
      </x:c>
      <x:c r="K113" s="8" t="n">
        <x:f>'Current inventory'!E113*Summary!$D$6*(A113-D113)/30.4375</x:f>
        <x:v>0</x:v>
      </x:c>
      <x:c r="L113" s="8" t="n">
        <x:f>MAX(0,E113+H113-K113)</x:f>
        <x:v>0</x:v>
      </x:c>
      <x:c r="M113" s="8" t="n">
        <x:f>MAX(0,F113+I113-MAX(0,K113-E113-H113))</x:f>
        <x:v>0</x:v>
      </x:c>
      <x:c r="N113" s="8" t="n">
        <x:f>MAX(0,G113+J113-K113)</x:f>
        <x:v>0</x:v>
      </x:c>
      <x:c r="O113" s="8" t="n">
        <x:f>SUM(L113:N113)</x:f>
        <x:v>0</x:v>
      </x:c>
      <x:c r="P113" s="14" t="n">
        <x:f>'Current inventory'!V113</x:f>
        <x:v>11.44</x:v>
      </x:c>
      <x:c r="Q113" s="14" t="str">
        <x:f>'Current inventory'!W113</x:f>
        <x:v>n.a.</x:v>
      </x:c>
      <x:c r="R113" s="10" t="n">
        <x:f>L113*P113</x:f>
        <x:v>0</x:v>
      </x:c>
      <x:c r="S113" s="10" t="n">
        <x:f>M113*P113</x:f>
        <x:v>0</x:v>
      </x:c>
      <x:c r="T113" s="10" t="n">
        <x:f>N113*P113</x:f>
        <x:v>0</x:v>
      </x:c>
      <x:c r="U113" s="10" t="n">
        <x:f>O113*P113</x:f>
        <x:v>0</x:v>
      </x:c>
      <x:c r="V113" s="10" t="str">
        <x:f>IF(ISNUMBER(Q113),O113*(Q113-P113),"n.a.")</x:f>
        <x:v>n.a.</x:v>
      </x:c>
      <x:c r="W113" s="10" t="n">
        <x:f>IF(ISNUMBER(Q113),U113,0)</x:f>
        <x:v>0</x:v>
      </x:c>
      <x:c r="X113" s="8" t="n">
        <x:f>MAX(0,K113-SUM(E113:J113))</x:f>
        <x:v>0</x:v>
      </x:c>
      <x:c r="Y113" s="1" t="str">
        <x:f>IF(AND(O113&gt;0,NOT(ISNUMBER(Q113))),"No proposed replacement standard",IF(X113&gt;0,"Demand exceeds available stock",""))</x:f>
      </x:c>
      <x:c r="Z113" s="1" t="n">
        <x:f>IF(ISNUMBER(Q113),1,0)</x:f>
        <x:v>0</x:v>
      </x:c>
    </x:row>
    <x:row r="114" ht="21" customHeight="1">
      <x:c r="A114" s="17" t="n">
        <x:f>Summary!B15</x:f>
        <x:v>46327</x:v>
      </x:c>
      <x:c r="B114" s="1" t="str">
        <x:f>'Current inventory'!A114</x:f>
        <x:v>60</x:v>
      </x:c>
      <x:c r="C114" s="1" t="str">
        <x:f>'Current inventory'!B114</x:f>
        <x:v>800BLKTB</x:v>
      </x:c>
      <x:c r="D114" s="7" t="n">
        <x:f>Summary!$D$5</x:f>
        <x:v>46304</x:v>
      </x:c>
      <x:c r="E114" s="8" t="n">
        <x:f>'Current inventory'!M114</x:f>
        <x:v>0</x:v>
      </x:c>
      <x:c r="F114" s="8" t="n">
        <x:f>'Current inventory'!N114</x:f>
        <x:v>0</x:v>
      </x:c>
      <x:c r="G114" s="8" t="n">
        <x:f>'Current inventory'!O114</x:f>
        <x:v>0</x:v>
      </x:c>
      <x:c r="H114" s="8" t="n">
        <x:f>SUMIFS('PO detail'!$U$2:$U$672,'PO detail'!$A$2:$A$672,B114,'PO detail'!$B$2:$B$672,C114,'PO detail'!$G$2:$G$672,"&gt;="&amp;D114,'PO detail'!$G$2:$G$672,"&lt;"&amp;A114)</x:f>
        <x:v>0</x:v>
      </x:c>
      <x:c r="I114" s="8" t="n">
        <x:f>SUMIFS('PO detail'!$V$2:$V$672,'PO detail'!$A$2:$A$672,B114,'PO detail'!$B$2:$B$672,C114,'PO detail'!$G$2:$G$672,"&gt;="&amp;D114,'PO detail'!$G$2:$G$672,"&lt;"&amp;A114)</x:f>
        <x:v>0</x:v>
      </x:c>
      <x:c r="J114" s="8" t="n">
        <x:f>SUMIFS('PO detail'!$W$2:$W$672,'PO detail'!$A$2:$A$672,B114,'PO detail'!$B$2:$B$672,C114,'PO detail'!$G$2:$G$672,"&gt;="&amp;D114,'PO detail'!$G$2:$G$672,"&lt;"&amp;A114)</x:f>
        <x:v>0</x:v>
      </x:c>
      <x:c r="K114" s="8" t="n">
        <x:f>'Current inventory'!E114*Summary!$D$6*(A114-D114)/30.4375</x:f>
        <x:v>0</x:v>
      </x:c>
      <x:c r="L114" s="8" t="n">
        <x:f>MAX(0,E114+H114-K114)</x:f>
        <x:v>0</x:v>
      </x:c>
      <x:c r="M114" s="8" t="n">
        <x:f>MAX(0,F114+I114-MAX(0,K114-E114-H114))</x:f>
        <x:v>0</x:v>
      </x:c>
      <x:c r="N114" s="8" t="n">
        <x:f>MAX(0,G114+J114-K114)</x:f>
        <x:v>0</x:v>
      </x:c>
      <x:c r="O114" s="8" t="n">
        <x:f>SUM(L114:N114)</x:f>
        <x:v>0</x:v>
      </x:c>
      <x:c r="P114" s="14" t="n">
        <x:f>'Current inventory'!V114</x:f>
        <x:v>0</x:v>
      </x:c>
      <x:c r="Q114" s="14" t="str">
        <x:f>'Current inventory'!W114</x:f>
        <x:v>n.a.</x:v>
      </x:c>
      <x:c r="R114" s="10" t="n">
        <x:f>L114*P114</x:f>
        <x:v>0</x:v>
      </x:c>
      <x:c r="S114" s="10" t="n">
        <x:f>M114*P114</x:f>
        <x:v>0</x:v>
      </x:c>
      <x:c r="T114" s="10" t="n">
        <x:f>N114*P114</x:f>
        <x:v>0</x:v>
      </x:c>
      <x:c r="U114" s="10" t="n">
        <x:f>O114*P114</x:f>
        <x:v>0</x:v>
      </x:c>
      <x:c r="V114" s="10" t="str">
        <x:f>IF(ISNUMBER(Q114),O114*(Q114-P114),"n.a.")</x:f>
        <x:v>n.a.</x:v>
      </x:c>
      <x:c r="W114" s="10" t="n">
        <x:f>IF(ISNUMBER(Q114),U114,0)</x:f>
        <x:v>0</x:v>
      </x:c>
      <x:c r="X114" s="8" t="n">
        <x:f>MAX(0,K114-SUM(E114:J114))</x:f>
        <x:v>0</x:v>
      </x:c>
      <x:c r="Y114" s="1" t="str">
        <x:f>IF(AND(O114&gt;0,NOT(ISNUMBER(Q114))),"No proposed replacement standard",IF(X114&gt;0,"Demand exceeds available stock",""))</x:f>
      </x:c>
      <x:c r="Z114" s="1" t="n">
        <x:f>IF(ISNUMBER(Q114),1,0)</x:f>
        <x:v>0</x:v>
      </x:c>
    </x:row>
    <x:row r="115" ht="21" customHeight="1">
      <x:c r="A115" s="17" t="n">
        <x:f>Summary!B15</x:f>
        <x:v>46327</x:v>
      </x:c>
      <x:c r="B115" s="1" t="str">
        <x:f>'Current inventory'!A115</x:f>
        <x:v>60</x:v>
      </x:c>
      <x:c r="C115" s="1" t="str">
        <x:f>'Current inventory'!B115</x:f>
        <x:v>800BMARCSC</x:v>
      </x:c>
      <x:c r="D115" s="7" t="n">
        <x:f>Summary!$D$5</x:f>
        <x:v>46304</x:v>
      </x:c>
      <x:c r="E115" s="8" t="n">
        <x:f>'Current inventory'!M115</x:f>
        <x:v>0</x:v>
      </x:c>
      <x:c r="F115" s="8" t="n">
        <x:f>'Current inventory'!N115</x:f>
        <x:v>0</x:v>
      </x:c>
      <x:c r="G115" s="8" t="n">
        <x:f>'Current inventory'!O115</x:f>
        <x:v>1300</x:v>
      </x:c>
      <x:c r="H115" s="8" t="n">
        <x:f>SUMIFS('PO detail'!$U$2:$U$672,'PO detail'!$A$2:$A$672,B115,'PO detail'!$B$2:$B$672,C115,'PO detail'!$G$2:$G$672,"&gt;="&amp;D115,'PO detail'!$G$2:$G$672,"&lt;"&amp;A115)</x:f>
        <x:v>0</x:v>
      </x:c>
      <x:c r="I115" s="8" t="n">
        <x:f>SUMIFS('PO detail'!$V$2:$V$672,'PO detail'!$A$2:$A$672,B115,'PO detail'!$B$2:$B$672,C115,'PO detail'!$G$2:$G$672,"&gt;="&amp;D115,'PO detail'!$G$2:$G$672,"&lt;"&amp;A115)</x:f>
        <x:v>0</x:v>
      </x:c>
      <x:c r="J115" s="8" t="n">
        <x:f>SUMIFS('PO detail'!$W$2:$W$672,'PO detail'!$A$2:$A$672,B115,'PO detail'!$B$2:$B$672,C115,'PO detail'!$G$2:$G$672,"&gt;="&amp;D115,'PO detail'!$G$2:$G$672,"&lt;"&amp;A115)</x:f>
        <x:v>0</x:v>
      </x:c>
      <x:c r="K115" s="8" t="n">
        <x:f>'Current inventory'!E115*Summary!$D$6*(A115-D115)/30.4375</x:f>
        <x:v>0</x:v>
      </x:c>
      <x:c r="L115" s="8" t="n">
        <x:f>MAX(0,E115+H115-K115)</x:f>
        <x:v>0</x:v>
      </x:c>
      <x:c r="M115" s="8" t="n">
        <x:f>MAX(0,F115+I115-MAX(0,K115-E115-H115))</x:f>
        <x:v>0</x:v>
      </x:c>
      <x:c r="N115" s="8" t="n">
        <x:f>MAX(0,G115+J115-K115)</x:f>
        <x:v>1300</x:v>
      </x:c>
      <x:c r="O115" s="8" t="n">
        <x:f>SUM(L115:N115)</x:f>
        <x:v>1300</x:v>
      </x:c>
      <x:c r="P115" s="14" t="n">
        <x:f>'Current inventory'!V115</x:f>
        <x:v>0.23329999999999998</x:v>
      </x:c>
      <x:c r="Q115" s="14" t="str">
        <x:f>'Current inventory'!W115</x:f>
        <x:v>n.a.</x:v>
      </x:c>
      <x:c r="R115" s="10" t="n">
        <x:f>L115*P115</x:f>
        <x:v>0</x:v>
      </x:c>
      <x:c r="S115" s="10" t="n">
        <x:f>M115*P115</x:f>
        <x:v>0</x:v>
      </x:c>
      <x:c r="T115" s="10" t="n">
        <x:f>N115*P115</x:f>
        <x:v>303.28999999999996</x:v>
      </x:c>
      <x:c r="U115" s="10" t="n">
        <x:f>O115*P115</x:f>
        <x:v>303.28999999999996</x:v>
      </x:c>
      <x:c r="V115" s="10" t="str">
        <x:f>IF(ISNUMBER(Q115),O115*(Q115-P115),"n.a.")</x:f>
        <x:v>n.a.</x:v>
      </x:c>
      <x:c r="W115" s="10" t="n">
        <x:f>IF(ISNUMBER(Q115),U115,0)</x:f>
        <x:v>0</x:v>
      </x:c>
      <x:c r="X115" s="8" t="n">
        <x:f>MAX(0,K115-SUM(E115:J115))</x:f>
        <x:v>0</x:v>
      </x:c>
      <x:c r="Y115" s="1" t="str">
        <x:f>IF(AND(O115&gt;0,NOT(ISNUMBER(Q115))),"No proposed replacement standard",IF(X115&gt;0,"Demand exceeds available stock",""))</x:f>
        <x:v>No proposed replacement standard</x:v>
      </x:c>
      <x:c r="Z115" s="1" t="n">
        <x:f>IF(ISNUMBER(Q115),1,0)</x:f>
        <x:v>0</x:v>
      </x:c>
    </x:row>
    <x:row r="116" ht="21" customHeight="1">
      <x:c r="A116" s="17" t="n">
        <x:f>Summary!B15</x:f>
        <x:v>46327</x:v>
      </x:c>
      <x:c r="B116" s="1" t="str">
        <x:f>'Current inventory'!A116</x:f>
        <x:v>60</x:v>
      </x:c>
      <x:c r="C116" s="1" t="str">
        <x:f>'Current inventory'!B116</x:f>
        <x:v>800BREDASC</x:v>
      </x:c>
      <x:c r="D116" s="7" t="n">
        <x:f>Summary!$D$5</x:f>
        <x:v>46304</x:v>
      </x:c>
      <x:c r="E116" s="8" t="n">
        <x:f>'Current inventory'!M116</x:f>
        <x:v>0</x:v>
      </x:c>
      <x:c r="F116" s="8" t="n">
        <x:f>'Current inventory'!N116</x:f>
        <x:v>0</x:v>
      </x:c>
      <x:c r="G116" s="8" t="n">
        <x:f>'Current inventory'!O116</x:f>
        <x:v>0</x:v>
      </x:c>
      <x:c r="H116" s="8" t="n">
        <x:f>SUMIFS('PO detail'!$U$2:$U$672,'PO detail'!$A$2:$A$672,B116,'PO detail'!$B$2:$B$672,C116,'PO detail'!$G$2:$G$672,"&gt;="&amp;D116,'PO detail'!$G$2:$G$672,"&lt;"&amp;A116)</x:f>
        <x:v>0</x:v>
      </x:c>
      <x:c r="I116" s="8" t="n">
        <x:f>SUMIFS('PO detail'!$V$2:$V$672,'PO detail'!$A$2:$A$672,B116,'PO detail'!$B$2:$B$672,C116,'PO detail'!$G$2:$G$672,"&gt;="&amp;D116,'PO detail'!$G$2:$G$672,"&lt;"&amp;A116)</x:f>
        <x:v>0</x:v>
      </x:c>
      <x:c r="J116" s="8" t="n">
        <x:f>SUMIFS('PO detail'!$W$2:$W$672,'PO detail'!$A$2:$A$672,B116,'PO detail'!$B$2:$B$672,C116,'PO detail'!$G$2:$G$672,"&gt;="&amp;D116,'PO detail'!$G$2:$G$672,"&lt;"&amp;A116)</x:f>
        <x:v>0</x:v>
      </x:c>
      <x:c r="K116" s="8" t="n">
        <x:f>'Current inventory'!E116*Summary!$D$6*(A116-D116)/30.4375</x:f>
        <x:v>0</x:v>
      </x:c>
      <x:c r="L116" s="8" t="n">
        <x:f>MAX(0,E116+H116-K116)</x:f>
        <x:v>0</x:v>
      </x:c>
      <x:c r="M116" s="8" t="n">
        <x:f>MAX(0,F116+I116-MAX(0,K116-E116-H116))</x:f>
        <x:v>0</x:v>
      </x:c>
      <x:c r="N116" s="8" t="n">
        <x:f>MAX(0,G116+J116-K116)</x:f>
        <x:v>0</x:v>
      </x:c>
      <x:c r="O116" s="8" t="n">
        <x:f>SUM(L116:N116)</x:f>
        <x:v>0</x:v>
      </x:c>
      <x:c r="P116" s="14" t="n">
        <x:f>'Current inventory'!V116</x:f>
        <x:v>0.07919999999999999</x:v>
      </x:c>
      <x:c r="Q116" s="14" t="str">
        <x:f>'Current inventory'!W116</x:f>
        <x:v>n.a.</x:v>
      </x:c>
      <x:c r="R116" s="10" t="n">
        <x:f>L116*P116</x:f>
        <x:v>0</x:v>
      </x:c>
      <x:c r="S116" s="10" t="n">
        <x:f>M116*P116</x:f>
        <x:v>0</x:v>
      </x:c>
      <x:c r="T116" s="10" t="n">
        <x:f>N116*P116</x:f>
        <x:v>0</x:v>
      </x:c>
      <x:c r="U116" s="10" t="n">
        <x:f>O116*P116</x:f>
        <x:v>0</x:v>
      </x:c>
      <x:c r="V116" s="10" t="str">
        <x:f>IF(ISNUMBER(Q116),O116*(Q116-P116),"n.a.")</x:f>
        <x:v>n.a.</x:v>
      </x:c>
      <x:c r="W116" s="10" t="n">
        <x:f>IF(ISNUMBER(Q116),U116,0)</x:f>
        <x:v>0</x:v>
      </x:c>
      <x:c r="X116" s="8" t="n">
        <x:f>MAX(0,K116-SUM(E116:J116))</x:f>
        <x:v>0</x:v>
      </x:c>
      <x:c r="Y116" s="1" t="str">
        <x:f>IF(AND(O116&gt;0,NOT(ISNUMBER(Q116))),"No proposed replacement standard",IF(X116&gt;0,"Demand exceeds available stock",""))</x:f>
      </x:c>
      <x:c r="Z116" s="1" t="n">
        <x:f>IF(ISNUMBER(Q116),1,0)</x:f>
        <x:v>0</x:v>
      </x:c>
    </x:row>
    <x:row r="117" ht="21" customHeight="1">
      <x:c r="A117" s="17" t="n">
        <x:f>Summary!B15</x:f>
        <x:v>46327</x:v>
      </x:c>
      <x:c r="B117" s="1" t="str">
        <x:f>'Current inventory'!A117</x:f>
        <x:v>60</x:v>
      </x:c>
      <x:c r="C117" s="1" t="str">
        <x:f>'Current inventory'!B117</x:f>
        <x:v>800BREDBRC</x:v>
      </x:c>
      <x:c r="D117" s="7" t="n">
        <x:f>Summary!$D$5</x:f>
        <x:v>46304</x:v>
      </x:c>
      <x:c r="E117" s="8" t="n">
        <x:f>'Current inventory'!M117</x:f>
        <x:v>0</x:v>
      </x:c>
      <x:c r="F117" s="8" t="n">
        <x:f>'Current inventory'!N117</x:f>
        <x:v>0</x:v>
      </x:c>
      <x:c r="G117" s="8" t="n">
        <x:f>'Current inventory'!O117</x:f>
        <x:v>0</x:v>
      </x:c>
      <x:c r="H117" s="8" t="n">
        <x:f>SUMIFS('PO detail'!$U$2:$U$672,'PO detail'!$A$2:$A$672,B117,'PO detail'!$B$2:$B$672,C117,'PO detail'!$G$2:$G$672,"&gt;="&amp;D117,'PO detail'!$G$2:$G$672,"&lt;"&amp;A117)</x:f>
        <x:v>0</x:v>
      </x:c>
      <x:c r="I117" s="8" t="n">
        <x:f>SUMIFS('PO detail'!$V$2:$V$672,'PO detail'!$A$2:$A$672,B117,'PO detail'!$B$2:$B$672,C117,'PO detail'!$G$2:$G$672,"&gt;="&amp;D117,'PO detail'!$G$2:$G$672,"&lt;"&amp;A117)</x:f>
        <x:v>0</x:v>
      </x:c>
      <x:c r="J117" s="8" t="n">
        <x:f>SUMIFS('PO detail'!$W$2:$W$672,'PO detail'!$A$2:$A$672,B117,'PO detail'!$B$2:$B$672,C117,'PO detail'!$G$2:$G$672,"&gt;="&amp;D117,'PO detail'!$G$2:$G$672,"&lt;"&amp;A117)</x:f>
        <x:v>0</x:v>
      </x:c>
      <x:c r="K117" s="8" t="n">
        <x:f>'Current inventory'!E117*Summary!$D$6*(A117-D117)/30.4375</x:f>
        <x:v>0</x:v>
      </x:c>
      <x:c r="L117" s="8" t="n">
        <x:f>MAX(0,E117+H117-K117)</x:f>
        <x:v>0</x:v>
      </x:c>
      <x:c r="M117" s="8" t="n">
        <x:f>MAX(0,F117+I117-MAX(0,K117-E117-H117))</x:f>
        <x:v>0</x:v>
      </x:c>
      <x:c r="N117" s="8" t="n">
        <x:f>MAX(0,G117+J117-K117)</x:f>
        <x:v>0</x:v>
      </x:c>
      <x:c r="O117" s="8" t="n">
        <x:f>SUM(L117:N117)</x:f>
        <x:v>0</x:v>
      </x:c>
      <x:c r="P117" s="14" t="n">
        <x:f>'Current inventory'!V117</x:f>
        <x:v>0.0898</x:v>
      </x:c>
      <x:c r="Q117" s="14" t="str">
        <x:f>'Current inventory'!W117</x:f>
        <x:v>n.a.</x:v>
      </x:c>
      <x:c r="R117" s="10" t="n">
        <x:f>L117*P117</x:f>
        <x:v>0</x:v>
      </x:c>
      <x:c r="S117" s="10" t="n">
        <x:f>M117*P117</x:f>
        <x:v>0</x:v>
      </x:c>
      <x:c r="T117" s="10" t="n">
        <x:f>N117*P117</x:f>
        <x:v>0</x:v>
      </x:c>
      <x:c r="U117" s="10" t="n">
        <x:f>O117*P117</x:f>
        <x:v>0</x:v>
      </x:c>
      <x:c r="V117" s="10" t="str">
        <x:f>IF(ISNUMBER(Q117),O117*(Q117-P117),"n.a.")</x:f>
        <x:v>n.a.</x:v>
      </x:c>
      <x:c r="W117" s="10" t="n">
        <x:f>IF(ISNUMBER(Q117),U117,0)</x:f>
        <x:v>0</x:v>
      </x:c>
      <x:c r="X117" s="8" t="n">
        <x:f>MAX(0,K117-SUM(E117:J117))</x:f>
        <x:v>0</x:v>
      </x:c>
      <x:c r="Y117" s="1" t="str">
        <x:f>IF(AND(O117&gt;0,NOT(ISNUMBER(Q117))),"No proposed replacement standard",IF(X117&gt;0,"Demand exceeds available stock",""))</x:f>
      </x:c>
      <x:c r="Z117" s="1" t="n">
        <x:f>IF(ISNUMBER(Q117),1,0)</x:f>
        <x:v>0</x:v>
      </x:c>
    </x:row>
    <x:row r="118" ht="21" customHeight="1">
      <x:c r="A118" s="17" t="n">
        <x:f>Summary!B15</x:f>
        <x:v>46327</x:v>
      </x:c>
      <x:c r="B118" s="1" t="str">
        <x:f>'Current inventory'!A118</x:f>
        <x:v>60</x:v>
      </x:c>
      <x:c r="C118" s="1" t="str">
        <x:f>'Current inventory'!B118</x:f>
        <x:v>800WBLKBRC</x:v>
      </x:c>
      <x:c r="D118" s="7" t="n">
        <x:f>Summary!$D$5</x:f>
        <x:v>46304</x:v>
      </x:c>
      <x:c r="E118" s="8" t="n">
        <x:f>'Current inventory'!M118</x:f>
        <x:v>0</x:v>
      </x:c>
      <x:c r="F118" s="8" t="n">
        <x:f>'Current inventory'!N118</x:f>
        <x:v>0</x:v>
      </x:c>
      <x:c r="G118" s="8" t="n">
        <x:f>'Current inventory'!O118</x:f>
        <x:v>0</x:v>
      </x:c>
      <x:c r="H118" s="8" t="n">
        <x:f>SUMIFS('PO detail'!$U$2:$U$672,'PO detail'!$A$2:$A$672,B118,'PO detail'!$B$2:$B$672,C118,'PO detail'!$G$2:$G$672,"&gt;="&amp;D118,'PO detail'!$G$2:$G$672,"&lt;"&amp;A118)</x:f>
        <x:v>0</x:v>
      </x:c>
      <x:c r="I118" s="8" t="n">
        <x:f>SUMIFS('PO detail'!$V$2:$V$672,'PO detail'!$A$2:$A$672,B118,'PO detail'!$B$2:$B$672,C118,'PO detail'!$G$2:$G$672,"&gt;="&amp;D118,'PO detail'!$G$2:$G$672,"&lt;"&amp;A118)</x:f>
        <x:v>0</x:v>
      </x:c>
      <x:c r="J118" s="8" t="n">
        <x:f>SUMIFS('PO detail'!$W$2:$W$672,'PO detail'!$A$2:$A$672,B118,'PO detail'!$B$2:$B$672,C118,'PO detail'!$G$2:$G$672,"&gt;="&amp;D118,'PO detail'!$G$2:$G$672,"&lt;"&amp;A118)</x:f>
        <x:v>0</x:v>
      </x:c>
      <x:c r="K118" s="8" t="n">
        <x:f>'Current inventory'!E118*Summary!$D$6*(A118-D118)/30.4375</x:f>
        <x:v>0</x:v>
      </x:c>
      <x:c r="L118" s="8" t="n">
        <x:f>MAX(0,E118+H118-K118)</x:f>
        <x:v>0</x:v>
      </x:c>
      <x:c r="M118" s="8" t="n">
        <x:f>MAX(0,F118+I118-MAX(0,K118-E118-H118))</x:f>
        <x:v>0</x:v>
      </x:c>
      <x:c r="N118" s="8" t="n">
        <x:f>MAX(0,G118+J118-K118)</x:f>
        <x:v>0</x:v>
      </x:c>
      <x:c r="O118" s="8" t="n">
        <x:f>SUM(L118:N118)</x:f>
        <x:v>0</x:v>
      </x:c>
      <x:c r="P118" s="14" t="n">
        <x:f>'Current inventory'!V118</x:f>
        <x:v>0.14150000000000001</x:v>
      </x:c>
      <x:c r="Q118" s="14" t="str">
        <x:f>'Current inventory'!W118</x:f>
        <x:v>n.a.</x:v>
      </x:c>
      <x:c r="R118" s="10" t="n">
        <x:f>L118*P118</x:f>
        <x:v>0</x:v>
      </x:c>
      <x:c r="S118" s="10" t="n">
        <x:f>M118*P118</x:f>
        <x:v>0</x:v>
      </x:c>
      <x:c r="T118" s="10" t="n">
        <x:f>N118*P118</x:f>
        <x:v>0</x:v>
      </x:c>
      <x:c r="U118" s="10" t="n">
        <x:f>O118*P118</x:f>
        <x:v>0</x:v>
      </x:c>
      <x:c r="V118" s="10" t="str">
        <x:f>IF(ISNUMBER(Q118),O118*(Q118-P118),"n.a.")</x:f>
        <x:v>n.a.</x:v>
      </x:c>
      <x:c r="W118" s="10" t="n">
        <x:f>IF(ISNUMBER(Q118),U118,0)</x:f>
        <x:v>0</x:v>
      </x:c>
      <x:c r="X118" s="8" t="n">
        <x:f>MAX(0,K118-SUM(E118:J118))</x:f>
        <x:v>0</x:v>
      </x:c>
      <x:c r="Y118" s="1" t="str">
        <x:f>IF(AND(O118&gt;0,NOT(ISNUMBER(Q118))),"No proposed replacement standard",IF(X118&gt;0,"Demand exceeds available stock",""))</x:f>
      </x:c>
      <x:c r="Z118" s="1" t="n">
        <x:f>IF(ISNUMBER(Q118),1,0)</x:f>
        <x:v>0</x:v>
      </x:c>
    </x:row>
    <x:row r="119" ht="21" customHeight="1">
      <x:c r="A119" s="17" t="n">
        <x:f>Summary!B15</x:f>
        <x:v>46327</x:v>
      </x:c>
      <x:c r="B119" s="1" t="str">
        <x:f>'Current inventory'!A119</x:f>
        <x:v>60</x:v>
      </x:c>
      <x:c r="C119" s="1" t="str">
        <x:f>'Current inventory'!B119</x:f>
        <x:v>800WFGASC</x:v>
      </x:c>
      <x:c r="D119" s="7" t="n">
        <x:f>Summary!$D$5</x:f>
        <x:v>46304</x:v>
      </x:c>
      <x:c r="E119" s="8" t="n">
        <x:f>'Current inventory'!M119</x:f>
        <x:v>0</x:v>
      </x:c>
      <x:c r="F119" s="8" t="n">
        <x:f>'Current inventory'!N119</x:f>
        <x:v>0</x:v>
      </x:c>
      <x:c r="G119" s="8" t="n">
        <x:f>'Current inventory'!O119</x:f>
        <x:v>0</x:v>
      </x:c>
      <x:c r="H119" s="8" t="n">
        <x:f>SUMIFS('PO detail'!$U$2:$U$672,'PO detail'!$A$2:$A$672,B119,'PO detail'!$B$2:$B$672,C119,'PO detail'!$G$2:$G$672,"&gt;="&amp;D119,'PO detail'!$G$2:$G$672,"&lt;"&amp;A119)</x:f>
        <x:v>0</x:v>
      </x:c>
      <x:c r="I119" s="8" t="n">
        <x:f>SUMIFS('PO detail'!$V$2:$V$672,'PO detail'!$A$2:$A$672,B119,'PO detail'!$B$2:$B$672,C119,'PO detail'!$G$2:$G$672,"&gt;="&amp;D119,'PO detail'!$G$2:$G$672,"&lt;"&amp;A119)</x:f>
        <x:v>0</x:v>
      </x:c>
      <x:c r="J119" s="8" t="n">
        <x:f>SUMIFS('PO detail'!$W$2:$W$672,'PO detail'!$A$2:$A$672,B119,'PO detail'!$B$2:$B$672,C119,'PO detail'!$G$2:$G$672,"&gt;="&amp;D119,'PO detail'!$G$2:$G$672,"&lt;"&amp;A119)</x:f>
        <x:v>0</x:v>
      </x:c>
      <x:c r="K119" s="8" t="n">
        <x:f>'Current inventory'!E119*Summary!$D$6*(A119-D119)/30.4375</x:f>
        <x:v>0</x:v>
      </x:c>
      <x:c r="L119" s="8" t="n">
        <x:f>MAX(0,E119+H119-K119)</x:f>
        <x:v>0</x:v>
      </x:c>
      <x:c r="M119" s="8" t="n">
        <x:f>MAX(0,F119+I119-MAX(0,K119-E119-H119))</x:f>
        <x:v>0</x:v>
      </x:c>
      <x:c r="N119" s="8" t="n">
        <x:f>MAX(0,G119+J119-K119)</x:f>
        <x:v>0</x:v>
      </x:c>
      <x:c r="O119" s="8" t="n">
        <x:f>SUM(L119:N119)</x:f>
        <x:v>0</x:v>
      </x:c>
      <x:c r="P119" s="14" t="n">
        <x:f>'Current inventory'!V119</x:f>
        <x:v>0.1456</x:v>
      </x:c>
      <x:c r="Q119" s="14" t="str">
        <x:f>'Current inventory'!W119</x:f>
        <x:v>n.a.</x:v>
      </x:c>
      <x:c r="R119" s="10" t="n">
        <x:f>L119*P119</x:f>
        <x:v>0</x:v>
      </x:c>
      <x:c r="S119" s="10" t="n">
        <x:f>M119*P119</x:f>
        <x:v>0</x:v>
      </x:c>
      <x:c r="T119" s="10" t="n">
        <x:f>N119*P119</x:f>
        <x:v>0</x:v>
      </x:c>
      <x:c r="U119" s="10" t="n">
        <x:f>O119*P119</x:f>
        <x:v>0</x:v>
      </x:c>
      <x:c r="V119" s="10" t="str">
        <x:f>IF(ISNUMBER(Q119),O119*(Q119-P119),"n.a.")</x:f>
        <x:v>n.a.</x:v>
      </x:c>
      <x:c r="W119" s="10" t="n">
        <x:f>IF(ISNUMBER(Q119),U119,0)</x:f>
        <x:v>0</x:v>
      </x:c>
      <x:c r="X119" s="8" t="n">
        <x:f>MAX(0,K119-SUM(E119:J119))</x:f>
        <x:v>0</x:v>
      </x:c>
      <x:c r="Y119" s="1" t="str">
        <x:f>IF(AND(O119&gt;0,NOT(ISNUMBER(Q119))),"No proposed replacement standard",IF(X119&gt;0,"Demand exceeds available stock",""))</x:f>
      </x:c>
      <x:c r="Z119" s="1" t="n">
        <x:f>IF(ISNUMBER(Q119),1,0)</x:f>
        <x:v>0</x:v>
      </x:c>
    </x:row>
    <x:row r="120" ht="21" customHeight="1">
      <x:c r="A120" s="17" t="n">
        <x:f>Summary!B15</x:f>
        <x:v>46327</x:v>
      </x:c>
      <x:c r="B120" s="1" t="str">
        <x:f>'Current inventory'!A120</x:f>
        <x:v>60</x:v>
      </x:c>
      <x:c r="C120" s="1" t="str">
        <x:f>'Current inventory'!B120</x:f>
        <x:v>800WFGBRC</x:v>
      </x:c>
      <x:c r="D120" s="7" t="n">
        <x:f>Summary!$D$5</x:f>
        <x:v>46304</x:v>
      </x:c>
      <x:c r="E120" s="8" t="n">
        <x:f>'Current inventory'!M120</x:f>
        <x:v>0</x:v>
      </x:c>
      <x:c r="F120" s="8" t="n">
        <x:f>'Current inventory'!N120</x:f>
        <x:v>0</x:v>
      </x:c>
      <x:c r="G120" s="8" t="n">
        <x:f>'Current inventory'!O120</x:f>
        <x:v>0</x:v>
      </x:c>
      <x:c r="H120" s="8" t="n">
        <x:f>SUMIFS('PO detail'!$U$2:$U$672,'PO detail'!$A$2:$A$672,B120,'PO detail'!$B$2:$B$672,C120,'PO detail'!$G$2:$G$672,"&gt;="&amp;D120,'PO detail'!$G$2:$G$672,"&lt;"&amp;A120)</x:f>
        <x:v>0</x:v>
      </x:c>
      <x:c r="I120" s="8" t="n">
        <x:f>SUMIFS('PO detail'!$V$2:$V$672,'PO detail'!$A$2:$A$672,B120,'PO detail'!$B$2:$B$672,C120,'PO detail'!$G$2:$G$672,"&gt;="&amp;D120,'PO detail'!$G$2:$G$672,"&lt;"&amp;A120)</x:f>
        <x:v>0</x:v>
      </x:c>
      <x:c r="J120" s="8" t="n">
        <x:f>SUMIFS('PO detail'!$W$2:$W$672,'PO detail'!$A$2:$A$672,B120,'PO detail'!$B$2:$B$672,C120,'PO detail'!$G$2:$G$672,"&gt;="&amp;D120,'PO detail'!$G$2:$G$672,"&lt;"&amp;A120)</x:f>
        <x:v>0</x:v>
      </x:c>
      <x:c r="K120" s="8" t="n">
        <x:f>'Current inventory'!E120*Summary!$D$6*(A120-D120)/30.4375</x:f>
        <x:v>0</x:v>
      </x:c>
      <x:c r="L120" s="8" t="n">
        <x:f>MAX(0,E120+H120-K120)</x:f>
        <x:v>0</x:v>
      </x:c>
      <x:c r="M120" s="8" t="n">
        <x:f>MAX(0,F120+I120-MAX(0,K120-E120-H120))</x:f>
        <x:v>0</x:v>
      </x:c>
      <x:c r="N120" s="8" t="n">
        <x:f>MAX(0,G120+J120-K120)</x:f>
        <x:v>0</x:v>
      </x:c>
      <x:c r="O120" s="8" t="n">
        <x:f>SUM(L120:N120)</x:f>
        <x:v>0</x:v>
      </x:c>
      <x:c r="P120" s="14" t="n">
        <x:f>'Current inventory'!V120</x:f>
        <x:v>0.18469999999999998</x:v>
      </x:c>
      <x:c r="Q120" s="14" t="str">
        <x:f>'Current inventory'!W120</x:f>
        <x:v>n.a.</x:v>
      </x:c>
      <x:c r="R120" s="10" t="n">
        <x:f>L120*P120</x:f>
        <x:v>0</x:v>
      </x:c>
      <x:c r="S120" s="10" t="n">
        <x:f>M120*P120</x:f>
        <x:v>0</x:v>
      </x:c>
      <x:c r="T120" s="10" t="n">
        <x:f>N120*P120</x:f>
        <x:v>0</x:v>
      </x:c>
      <x:c r="U120" s="10" t="n">
        <x:f>O120*P120</x:f>
        <x:v>0</x:v>
      </x:c>
      <x:c r="V120" s="10" t="str">
        <x:f>IF(ISNUMBER(Q120),O120*(Q120-P120),"n.a.")</x:f>
        <x:v>n.a.</x:v>
      </x:c>
      <x:c r="W120" s="10" t="n">
        <x:f>IF(ISNUMBER(Q120),U120,0)</x:f>
        <x:v>0</x:v>
      </x:c>
      <x:c r="X120" s="8" t="n">
        <x:f>MAX(0,K120-SUM(E120:J120))</x:f>
        <x:v>0</x:v>
      </x:c>
      <x:c r="Y120" s="1" t="str">
        <x:f>IF(AND(O120&gt;0,NOT(ISNUMBER(Q120))),"No proposed replacement standard",IF(X120&gt;0,"Demand exceeds available stock",""))</x:f>
      </x:c>
      <x:c r="Z120" s="1" t="n">
        <x:f>IF(ISNUMBER(Q120),1,0)</x:f>
        <x:v>0</x:v>
      </x:c>
    </x:row>
    <x:row r="121" ht="21" customHeight="1">
      <x:c r="A121" s="17" t="n">
        <x:f>Summary!B15</x:f>
        <x:v>46327</x:v>
      </x:c>
      <x:c r="B121" s="1" t="str">
        <x:f>'Current inventory'!A121</x:f>
        <x:v>60</x:v>
      </x:c>
      <x:c r="C121" s="1" t="str">
        <x:f>'Current inventory'!B121</x:f>
        <x:v>800WMARASC</x:v>
      </x:c>
      <x:c r="D121" s="7" t="n">
        <x:f>Summary!$D$5</x:f>
        <x:v>46304</x:v>
      </x:c>
      <x:c r="E121" s="8" t="n">
        <x:f>'Current inventory'!M121</x:f>
        <x:v>0</x:v>
      </x:c>
      <x:c r="F121" s="8" t="n">
        <x:f>'Current inventory'!N121</x:f>
        <x:v>0</x:v>
      </x:c>
      <x:c r="G121" s="8" t="n">
        <x:f>'Current inventory'!O121</x:f>
        <x:v>0</x:v>
      </x:c>
      <x:c r="H121" s="8" t="n">
        <x:f>SUMIFS('PO detail'!$U$2:$U$672,'PO detail'!$A$2:$A$672,B121,'PO detail'!$B$2:$B$672,C121,'PO detail'!$G$2:$G$672,"&gt;="&amp;D121,'PO detail'!$G$2:$G$672,"&lt;"&amp;A121)</x:f>
        <x:v>0</x:v>
      </x:c>
      <x:c r="I121" s="8" t="n">
        <x:f>SUMIFS('PO detail'!$V$2:$V$672,'PO detail'!$A$2:$A$672,B121,'PO detail'!$B$2:$B$672,C121,'PO detail'!$G$2:$G$672,"&gt;="&amp;D121,'PO detail'!$G$2:$G$672,"&lt;"&amp;A121)</x:f>
        <x:v>0</x:v>
      </x:c>
      <x:c r="J121" s="8" t="n">
        <x:f>SUMIFS('PO detail'!$W$2:$W$672,'PO detail'!$A$2:$A$672,B121,'PO detail'!$B$2:$B$672,C121,'PO detail'!$G$2:$G$672,"&gt;="&amp;D121,'PO detail'!$G$2:$G$672,"&lt;"&amp;A121)</x:f>
        <x:v>0</x:v>
      </x:c>
      <x:c r="K121" s="8" t="n">
        <x:f>'Current inventory'!E121*Summary!$D$6*(A121-D121)/30.4375</x:f>
        <x:v>0</x:v>
      </x:c>
      <x:c r="L121" s="8" t="n">
        <x:f>MAX(0,E121+H121-K121)</x:f>
        <x:v>0</x:v>
      </x:c>
      <x:c r="M121" s="8" t="n">
        <x:f>MAX(0,F121+I121-MAX(0,K121-E121-H121))</x:f>
        <x:v>0</x:v>
      </x:c>
      <x:c r="N121" s="8" t="n">
        <x:f>MAX(0,G121+J121-K121)</x:f>
        <x:v>0</x:v>
      </x:c>
      <x:c r="O121" s="8" t="n">
        <x:f>SUM(L121:N121)</x:f>
        <x:v>0</x:v>
      </x:c>
      <x:c r="P121" s="14" t="n">
        <x:f>'Current inventory'!V121</x:f>
        <x:v>0.1383</x:v>
      </x:c>
      <x:c r="Q121" s="14" t="str">
        <x:f>'Current inventory'!W121</x:f>
        <x:v>n.a.</x:v>
      </x:c>
      <x:c r="R121" s="10" t="n">
        <x:f>L121*P121</x:f>
        <x:v>0</x:v>
      </x:c>
      <x:c r="S121" s="10" t="n">
        <x:f>M121*P121</x:f>
        <x:v>0</x:v>
      </x:c>
      <x:c r="T121" s="10" t="n">
        <x:f>N121*P121</x:f>
        <x:v>0</x:v>
      </x:c>
      <x:c r="U121" s="10" t="n">
        <x:f>O121*P121</x:f>
        <x:v>0</x:v>
      </x:c>
      <x:c r="V121" s="10" t="str">
        <x:f>IF(ISNUMBER(Q121),O121*(Q121-P121),"n.a.")</x:f>
        <x:v>n.a.</x:v>
      </x:c>
      <x:c r="W121" s="10" t="n">
        <x:f>IF(ISNUMBER(Q121),U121,0)</x:f>
        <x:v>0</x:v>
      </x:c>
      <x:c r="X121" s="8" t="n">
        <x:f>MAX(0,K121-SUM(E121:J121))</x:f>
        <x:v>0</x:v>
      </x:c>
      <x:c r="Y121" s="1" t="str">
        <x:f>IF(AND(O121&gt;0,NOT(ISNUMBER(Q121))),"No proposed replacement standard",IF(X121&gt;0,"Demand exceeds available stock",""))</x:f>
      </x:c>
      <x:c r="Z121" s="1" t="n">
        <x:f>IF(ISNUMBER(Q121),1,0)</x:f>
        <x:v>0</x:v>
      </x:c>
    </x:row>
    <x:row r="122" ht="21" customHeight="1">
      <x:c r="A122" s="17" t="n">
        <x:f>Summary!B15</x:f>
        <x:v>46327</x:v>
      </x:c>
      <x:c r="B122" s="1" t="str">
        <x:f>'Current inventory'!A122</x:f>
        <x:v>60</x:v>
      </x:c>
      <x:c r="C122" s="1" t="str">
        <x:f>'Current inventory'!B122</x:f>
        <x:v>800WMARBRC</x:v>
      </x:c>
      <x:c r="D122" s="7" t="n">
        <x:f>Summary!$D$5</x:f>
        <x:v>46304</x:v>
      </x:c>
      <x:c r="E122" s="8" t="n">
        <x:f>'Current inventory'!M122</x:f>
        <x:v>0</x:v>
      </x:c>
      <x:c r="F122" s="8" t="n">
        <x:f>'Current inventory'!N122</x:f>
        <x:v>0</x:v>
      </x:c>
      <x:c r="G122" s="8" t="n">
        <x:f>'Current inventory'!O122</x:f>
        <x:v>0</x:v>
      </x:c>
      <x:c r="H122" s="8" t="n">
        <x:f>SUMIFS('PO detail'!$U$2:$U$672,'PO detail'!$A$2:$A$672,B122,'PO detail'!$B$2:$B$672,C122,'PO detail'!$G$2:$G$672,"&gt;="&amp;D122,'PO detail'!$G$2:$G$672,"&lt;"&amp;A122)</x:f>
        <x:v>0</x:v>
      </x:c>
      <x:c r="I122" s="8" t="n">
        <x:f>SUMIFS('PO detail'!$V$2:$V$672,'PO detail'!$A$2:$A$672,B122,'PO detail'!$B$2:$B$672,C122,'PO detail'!$G$2:$G$672,"&gt;="&amp;D122,'PO detail'!$G$2:$G$672,"&lt;"&amp;A122)</x:f>
        <x:v>0</x:v>
      </x:c>
      <x:c r="J122" s="8" t="n">
        <x:f>SUMIFS('PO detail'!$W$2:$W$672,'PO detail'!$A$2:$A$672,B122,'PO detail'!$B$2:$B$672,C122,'PO detail'!$G$2:$G$672,"&gt;="&amp;D122,'PO detail'!$G$2:$G$672,"&lt;"&amp;A122)</x:f>
        <x:v>0</x:v>
      </x:c>
      <x:c r="K122" s="8" t="n">
        <x:f>'Current inventory'!E122*Summary!$D$6*(A122-D122)/30.4375</x:f>
        <x:v>0</x:v>
      </x:c>
      <x:c r="L122" s="8" t="n">
        <x:f>MAX(0,E122+H122-K122)</x:f>
        <x:v>0</x:v>
      </x:c>
      <x:c r="M122" s="8" t="n">
        <x:f>MAX(0,F122+I122-MAX(0,K122-E122-H122))</x:f>
        <x:v>0</x:v>
      </x:c>
      <x:c r="N122" s="8" t="n">
        <x:f>MAX(0,G122+J122-K122)</x:f>
        <x:v>0</x:v>
      </x:c>
      <x:c r="O122" s="8" t="n">
        <x:f>SUM(L122:N122)</x:f>
        <x:v>0</x:v>
      </x:c>
      <x:c r="P122" s="14" t="n">
        <x:f>'Current inventory'!V122</x:f>
        <x:v>0.17350000000000002</x:v>
      </x:c>
      <x:c r="Q122" s="14" t="str">
        <x:f>'Current inventory'!W122</x:f>
        <x:v>n.a.</x:v>
      </x:c>
      <x:c r="R122" s="10" t="n">
        <x:f>L122*P122</x:f>
        <x:v>0</x:v>
      </x:c>
      <x:c r="S122" s="10" t="n">
        <x:f>M122*P122</x:f>
        <x:v>0</x:v>
      </x:c>
      <x:c r="T122" s="10" t="n">
        <x:f>N122*P122</x:f>
        <x:v>0</x:v>
      </x:c>
      <x:c r="U122" s="10" t="n">
        <x:f>O122*P122</x:f>
        <x:v>0</x:v>
      </x:c>
      <x:c r="V122" s="10" t="str">
        <x:f>IF(ISNUMBER(Q122),O122*(Q122-P122),"n.a.")</x:f>
        <x:v>n.a.</x:v>
      </x:c>
      <x:c r="W122" s="10" t="n">
        <x:f>IF(ISNUMBER(Q122),U122,0)</x:f>
        <x:v>0</x:v>
      </x:c>
      <x:c r="X122" s="8" t="n">
        <x:f>MAX(0,K122-SUM(E122:J122))</x:f>
        <x:v>0</x:v>
      </x:c>
      <x:c r="Y122" s="1" t="str">
        <x:f>IF(AND(O122&gt;0,NOT(ISNUMBER(Q122))),"No proposed replacement standard",IF(X122&gt;0,"Demand exceeds available stock",""))</x:f>
      </x:c>
      <x:c r="Z122" s="1" t="n">
        <x:f>IF(ISNUMBER(Q122),1,0)</x:f>
        <x:v>0</x:v>
      </x:c>
    </x:row>
    <x:row r="123" ht="21" customHeight="1">
      <x:c r="A123" s="17" t="n">
        <x:f>Summary!B15</x:f>
        <x:v>46327</x:v>
      </x:c>
      <x:c r="B123" s="1" t="str">
        <x:f>'Current inventory'!A123</x:f>
        <x:v>60</x:v>
      </x:c>
      <x:c r="C123" s="1" t="str">
        <x:f>'Current inventory'!B123</x:f>
        <x:v>800WNAVBRC</x:v>
      </x:c>
      <x:c r="D123" s="7" t="n">
        <x:f>Summary!$D$5</x:f>
        <x:v>46304</x:v>
      </x:c>
      <x:c r="E123" s="8" t="n">
        <x:f>'Current inventory'!M123</x:f>
        <x:v>0</x:v>
      </x:c>
      <x:c r="F123" s="8" t="n">
        <x:f>'Current inventory'!N123</x:f>
        <x:v>0</x:v>
      </x:c>
      <x:c r="G123" s="8" t="n">
        <x:f>'Current inventory'!O123</x:f>
        <x:v>0</x:v>
      </x:c>
      <x:c r="H123" s="8" t="n">
        <x:f>SUMIFS('PO detail'!$U$2:$U$672,'PO detail'!$A$2:$A$672,B123,'PO detail'!$B$2:$B$672,C123,'PO detail'!$G$2:$G$672,"&gt;="&amp;D123,'PO detail'!$G$2:$G$672,"&lt;"&amp;A123)</x:f>
        <x:v>0</x:v>
      </x:c>
      <x:c r="I123" s="8" t="n">
        <x:f>SUMIFS('PO detail'!$V$2:$V$672,'PO detail'!$A$2:$A$672,B123,'PO detail'!$B$2:$B$672,C123,'PO detail'!$G$2:$G$672,"&gt;="&amp;D123,'PO detail'!$G$2:$G$672,"&lt;"&amp;A123)</x:f>
        <x:v>0</x:v>
      </x:c>
      <x:c r="J123" s="8" t="n">
        <x:f>SUMIFS('PO detail'!$W$2:$W$672,'PO detail'!$A$2:$A$672,B123,'PO detail'!$B$2:$B$672,C123,'PO detail'!$G$2:$G$672,"&gt;="&amp;D123,'PO detail'!$G$2:$G$672,"&lt;"&amp;A123)</x:f>
        <x:v>0</x:v>
      </x:c>
      <x:c r="K123" s="8" t="n">
        <x:f>'Current inventory'!E123*Summary!$D$6*(A123-D123)/30.4375</x:f>
        <x:v>0</x:v>
      </x:c>
      <x:c r="L123" s="8" t="n">
        <x:f>MAX(0,E123+H123-K123)</x:f>
        <x:v>0</x:v>
      </x:c>
      <x:c r="M123" s="8" t="n">
        <x:f>MAX(0,F123+I123-MAX(0,K123-E123-H123))</x:f>
        <x:v>0</x:v>
      </x:c>
      <x:c r="N123" s="8" t="n">
        <x:f>MAX(0,G123+J123-K123)</x:f>
        <x:v>0</x:v>
      </x:c>
      <x:c r="O123" s="8" t="n">
        <x:f>SUM(L123:N123)</x:f>
        <x:v>0</x:v>
      </x:c>
      <x:c r="P123" s="14" t="n">
        <x:f>'Current inventory'!V123</x:f>
        <x:v>0.17350000000000002</x:v>
      </x:c>
      <x:c r="Q123" s="14" t="str">
        <x:f>'Current inventory'!W123</x:f>
        <x:v>n.a.</x:v>
      </x:c>
      <x:c r="R123" s="10" t="n">
        <x:f>L123*P123</x:f>
        <x:v>0</x:v>
      </x:c>
      <x:c r="S123" s="10" t="n">
        <x:f>M123*P123</x:f>
        <x:v>0</x:v>
      </x:c>
      <x:c r="T123" s="10" t="n">
        <x:f>N123*P123</x:f>
        <x:v>0</x:v>
      </x:c>
      <x:c r="U123" s="10" t="n">
        <x:f>O123*P123</x:f>
        <x:v>0</x:v>
      </x:c>
      <x:c r="V123" s="10" t="str">
        <x:f>IF(ISNUMBER(Q123),O123*(Q123-P123),"n.a.")</x:f>
        <x:v>n.a.</x:v>
      </x:c>
      <x:c r="W123" s="10" t="n">
        <x:f>IF(ISNUMBER(Q123),U123,0)</x:f>
        <x:v>0</x:v>
      </x:c>
      <x:c r="X123" s="8" t="n">
        <x:f>MAX(0,K123-SUM(E123:J123))</x:f>
        <x:v>0</x:v>
      </x:c>
      <x:c r="Y123" s="1" t="str">
        <x:f>IF(AND(O123&gt;0,NOT(ISNUMBER(Q123))),"No proposed replacement standard",IF(X123&gt;0,"Demand exceeds available stock",""))</x:f>
      </x:c>
      <x:c r="Z123" s="1" t="n">
        <x:f>IF(ISNUMBER(Q123),1,0)</x:f>
        <x:v>0</x:v>
      </x:c>
    </x:row>
    <x:row r="124" ht="21" customHeight="1">
      <x:c r="A124" s="17" t="n">
        <x:f>Summary!B15</x:f>
        <x:v>46327</x:v>
      </x:c>
      <x:c r="B124" s="1" t="str">
        <x:f>'Current inventory'!A124</x:f>
        <x:v>60</x:v>
      </x:c>
      <x:c r="C124" s="1" t="str">
        <x:f>'Current inventory'!B124</x:f>
        <x:v>800WREDASC</x:v>
      </x:c>
      <x:c r="D124" s="7" t="n">
        <x:f>Summary!$D$5</x:f>
        <x:v>46304</x:v>
      </x:c>
      <x:c r="E124" s="8" t="n">
        <x:f>'Current inventory'!M124</x:f>
        <x:v>0</x:v>
      </x:c>
      <x:c r="F124" s="8" t="n">
        <x:f>'Current inventory'!N124</x:f>
        <x:v>0</x:v>
      </x:c>
      <x:c r="G124" s="8" t="n">
        <x:f>'Current inventory'!O124</x:f>
        <x:v>0</x:v>
      </x:c>
      <x:c r="H124" s="8" t="n">
        <x:f>SUMIFS('PO detail'!$U$2:$U$672,'PO detail'!$A$2:$A$672,B124,'PO detail'!$B$2:$B$672,C124,'PO detail'!$G$2:$G$672,"&gt;="&amp;D124,'PO detail'!$G$2:$G$672,"&lt;"&amp;A124)</x:f>
        <x:v>0</x:v>
      </x:c>
      <x:c r="I124" s="8" t="n">
        <x:f>SUMIFS('PO detail'!$V$2:$V$672,'PO detail'!$A$2:$A$672,B124,'PO detail'!$B$2:$B$672,C124,'PO detail'!$G$2:$G$672,"&gt;="&amp;D124,'PO detail'!$G$2:$G$672,"&lt;"&amp;A124)</x:f>
        <x:v>0</x:v>
      </x:c>
      <x:c r="J124" s="8" t="n">
        <x:f>SUMIFS('PO detail'!$W$2:$W$672,'PO detail'!$A$2:$A$672,B124,'PO detail'!$B$2:$B$672,C124,'PO detail'!$G$2:$G$672,"&gt;="&amp;D124,'PO detail'!$G$2:$G$672,"&lt;"&amp;A124)</x:f>
        <x:v>0</x:v>
      </x:c>
      <x:c r="K124" s="8" t="n">
        <x:f>'Current inventory'!E124*Summary!$D$6*(A124-D124)/30.4375</x:f>
        <x:v>0</x:v>
      </x:c>
      <x:c r="L124" s="8" t="n">
        <x:f>MAX(0,E124+H124-K124)</x:f>
        <x:v>0</x:v>
      </x:c>
      <x:c r="M124" s="8" t="n">
        <x:f>MAX(0,F124+I124-MAX(0,K124-E124-H124))</x:f>
        <x:v>0</x:v>
      </x:c>
      <x:c r="N124" s="8" t="n">
        <x:f>MAX(0,G124+J124-K124)</x:f>
        <x:v>0</x:v>
      </x:c>
      <x:c r="O124" s="8" t="n">
        <x:f>SUM(L124:N124)</x:f>
        <x:v>0</x:v>
      </x:c>
      <x:c r="P124" s="14" t="n">
        <x:f>'Current inventory'!V124</x:f>
        <x:v>0.07919999999999999</x:v>
      </x:c>
      <x:c r="Q124" s="14" t="str">
        <x:f>'Current inventory'!W124</x:f>
        <x:v>n.a.</x:v>
      </x:c>
      <x:c r="R124" s="10" t="n">
        <x:f>L124*P124</x:f>
        <x:v>0</x:v>
      </x:c>
      <x:c r="S124" s="10" t="n">
        <x:f>M124*P124</x:f>
        <x:v>0</x:v>
      </x:c>
      <x:c r="T124" s="10" t="n">
        <x:f>N124*P124</x:f>
        <x:v>0</x:v>
      </x:c>
      <x:c r="U124" s="10" t="n">
        <x:f>O124*P124</x:f>
        <x:v>0</x:v>
      </x:c>
      <x:c r="V124" s="10" t="str">
        <x:f>IF(ISNUMBER(Q124),O124*(Q124-P124),"n.a.")</x:f>
        <x:v>n.a.</x:v>
      </x:c>
      <x:c r="W124" s="10" t="n">
        <x:f>IF(ISNUMBER(Q124),U124,0)</x:f>
        <x:v>0</x:v>
      </x:c>
      <x:c r="X124" s="8" t="n">
        <x:f>MAX(0,K124-SUM(E124:J124))</x:f>
        <x:v>0</x:v>
      </x:c>
      <x:c r="Y124" s="1" t="str">
        <x:f>IF(AND(O124&gt;0,NOT(ISNUMBER(Q124))),"No proposed replacement standard",IF(X124&gt;0,"Demand exceeds available stock",""))</x:f>
      </x:c>
      <x:c r="Z124" s="1" t="n">
        <x:f>IF(ISNUMBER(Q124),1,0)</x:f>
        <x:v>0</x:v>
      </x:c>
    </x:row>
    <x:row r="125" ht="21" customHeight="1">
      <x:c r="A125" s="17" t="n">
        <x:f>Summary!B15</x:f>
        <x:v>46327</x:v>
      </x:c>
      <x:c r="B125" s="1" t="str">
        <x:f>'Current inventory'!A125</x:f>
        <x:v>60</x:v>
      </x:c>
      <x:c r="C125" s="1" t="str">
        <x:f>'Current inventory'!B125</x:f>
        <x:v>800WREDBRC</x:v>
      </x:c>
      <x:c r="D125" s="7" t="n">
        <x:f>Summary!$D$5</x:f>
        <x:v>46304</x:v>
      </x:c>
      <x:c r="E125" s="8" t="n">
        <x:f>'Current inventory'!M125</x:f>
        <x:v>0</x:v>
      </x:c>
      <x:c r="F125" s="8" t="n">
        <x:f>'Current inventory'!N125</x:f>
        <x:v>0</x:v>
      </x:c>
      <x:c r="G125" s="8" t="n">
        <x:f>'Current inventory'!O125</x:f>
        <x:v>0</x:v>
      </x:c>
      <x:c r="H125" s="8" t="n">
        <x:f>SUMIFS('PO detail'!$U$2:$U$672,'PO detail'!$A$2:$A$672,B125,'PO detail'!$B$2:$B$672,C125,'PO detail'!$G$2:$G$672,"&gt;="&amp;D125,'PO detail'!$G$2:$G$672,"&lt;"&amp;A125)</x:f>
        <x:v>0</x:v>
      </x:c>
      <x:c r="I125" s="8" t="n">
        <x:f>SUMIFS('PO detail'!$V$2:$V$672,'PO detail'!$A$2:$A$672,B125,'PO detail'!$B$2:$B$672,C125,'PO detail'!$G$2:$G$672,"&gt;="&amp;D125,'PO detail'!$G$2:$G$672,"&lt;"&amp;A125)</x:f>
        <x:v>0</x:v>
      </x:c>
      <x:c r="J125" s="8" t="n">
        <x:f>SUMIFS('PO detail'!$W$2:$W$672,'PO detail'!$A$2:$A$672,B125,'PO detail'!$B$2:$B$672,C125,'PO detail'!$G$2:$G$672,"&gt;="&amp;D125,'PO detail'!$G$2:$G$672,"&lt;"&amp;A125)</x:f>
        <x:v>0</x:v>
      </x:c>
      <x:c r="K125" s="8" t="n">
        <x:f>'Current inventory'!E125*Summary!$D$6*(A125-D125)/30.4375</x:f>
        <x:v>0</x:v>
      </x:c>
      <x:c r="L125" s="8" t="n">
        <x:f>MAX(0,E125+H125-K125)</x:f>
        <x:v>0</x:v>
      </x:c>
      <x:c r="M125" s="8" t="n">
        <x:f>MAX(0,F125+I125-MAX(0,K125-E125-H125))</x:f>
        <x:v>0</x:v>
      </x:c>
      <x:c r="N125" s="8" t="n">
        <x:f>MAX(0,G125+J125-K125)</x:f>
        <x:v>0</x:v>
      </x:c>
      <x:c r="O125" s="8" t="n">
        <x:f>SUM(L125:N125)</x:f>
        <x:v>0</x:v>
      </x:c>
      <x:c r="P125" s="14" t="n">
        <x:f>'Current inventory'!V125</x:f>
        <x:v>0.0898</x:v>
      </x:c>
      <x:c r="Q125" s="14" t="str">
        <x:f>'Current inventory'!W125</x:f>
        <x:v>n.a.</x:v>
      </x:c>
      <x:c r="R125" s="10" t="n">
        <x:f>L125*P125</x:f>
        <x:v>0</x:v>
      </x:c>
      <x:c r="S125" s="10" t="n">
        <x:f>M125*P125</x:f>
        <x:v>0</x:v>
      </x:c>
      <x:c r="T125" s="10" t="n">
        <x:f>N125*P125</x:f>
        <x:v>0</x:v>
      </x:c>
      <x:c r="U125" s="10" t="n">
        <x:f>O125*P125</x:f>
        <x:v>0</x:v>
      </x:c>
      <x:c r="V125" s="10" t="str">
        <x:f>IF(ISNUMBER(Q125),O125*(Q125-P125),"n.a.")</x:f>
        <x:v>n.a.</x:v>
      </x:c>
      <x:c r="W125" s="10" t="n">
        <x:f>IF(ISNUMBER(Q125),U125,0)</x:f>
        <x:v>0</x:v>
      </x:c>
      <x:c r="X125" s="8" t="n">
        <x:f>MAX(0,K125-SUM(E125:J125))</x:f>
        <x:v>0</x:v>
      </x:c>
      <x:c r="Y125" s="1" t="str">
        <x:f>IF(AND(O125&gt;0,NOT(ISNUMBER(Q125))),"No proposed replacement standard",IF(X125&gt;0,"Demand exceeds available stock",""))</x:f>
      </x:c>
      <x:c r="Z125" s="1" t="n">
        <x:f>IF(ISNUMBER(Q125),1,0)</x:f>
        <x:v>0</x:v>
      </x:c>
    </x:row>
    <x:row r="126" ht="21" customHeight="1">
      <x:c r="A126" s="17" t="n">
        <x:f>Summary!B15</x:f>
        <x:v>46327</x:v>
      </x:c>
      <x:c r="B126" s="1" t="str">
        <x:f>'Current inventory'!A126</x:f>
        <x:v>60</x:v>
      </x:c>
      <x:c r="C126" s="1" t="str">
        <x:f>'Current inventory'!B126</x:f>
        <x:v>800WWHTASC</x:v>
      </x:c>
      <x:c r="D126" s="7" t="n">
        <x:f>Summary!$D$5</x:f>
        <x:v>46304</x:v>
      </x:c>
      <x:c r="E126" s="8" t="n">
        <x:f>'Current inventory'!M126</x:f>
        <x:v>0</x:v>
      </x:c>
      <x:c r="F126" s="8" t="n">
        <x:f>'Current inventory'!N126</x:f>
        <x:v>0</x:v>
      </x:c>
      <x:c r="G126" s="8" t="n">
        <x:f>'Current inventory'!O126</x:f>
        <x:v>0</x:v>
      </x:c>
      <x:c r="H126" s="8" t="n">
        <x:f>SUMIFS('PO detail'!$U$2:$U$672,'PO detail'!$A$2:$A$672,B126,'PO detail'!$B$2:$B$672,C126,'PO detail'!$G$2:$G$672,"&gt;="&amp;D126,'PO detail'!$G$2:$G$672,"&lt;"&amp;A126)</x:f>
        <x:v>0</x:v>
      </x:c>
      <x:c r="I126" s="8" t="n">
        <x:f>SUMIFS('PO detail'!$V$2:$V$672,'PO detail'!$A$2:$A$672,B126,'PO detail'!$B$2:$B$672,C126,'PO detail'!$G$2:$G$672,"&gt;="&amp;D126,'PO detail'!$G$2:$G$672,"&lt;"&amp;A126)</x:f>
        <x:v>0</x:v>
      </x:c>
      <x:c r="J126" s="8" t="n">
        <x:f>SUMIFS('PO detail'!$W$2:$W$672,'PO detail'!$A$2:$A$672,B126,'PO detail'!$B$2:$B$672,C126,'PO detail'!$G$2:$G$672,"&gt;="&amp;D126,'PO detail'!$G$2:$G$672,"&lt;"&amp;A126)</x:f>
        <x:v>0</x:v>
      </x:c>
      <x:c r="K126" s="8" t="n">
        <x:f>'Current inventory'!E126*Summary!$D$6*(A126-D126)/30.4375</x:f>
        <x:v>0</x:v>
      </x:c>
      <x:c r="L126" s="8" t="n">
        <x:f>MAX(0,E126+H126-K126)</x:f>
        <x:v>0</x:v>
      </x:c>
      <x:c r="M126" s="8" t="n">
        <x:f>MAX(0,F126+I126-MAX(0,K126-E126-H126))</x:f>
        <x:v>0</x:v>
      </x:c>
      <x:c r="N126" s="8" t="n">
        <x:f>MAX(0,G126+J126-K126)</x:f>
        <x:v>0</x:v>
      </x:c>
      <x:c r="O126" s="8" t="n">
        <x:f>SUM(L126:N126)</x:f>
        <x:v>0</x:v>
      </x:c>
      <x:c r="P126" s="14" t="n">
        <x:f>'Current inventory'!V126</x:f>
        <x:v>0.1456</x:v>
      </x:c>
      <x:c r="Q126" s="14" t="str">
        <x:f>'Current inventory'!W126</x:f>
        <x:v>n.a.</x:v>
      </x:c>
      <x:c r="R126" s="10" t="n">
        <x:f>L126*P126</x:f>
        <x:v>0</x:v>
      </x:c>
      <x:c r="S126" s="10" t="n">
        <x:f>M126*P126</x:f>
        <x:v>0</x:v>
      </x:c>
      <x:c r="T126" s="10" t="n">
        <x:f>N126*P126</x:f>
        <x:v>0</x:v>
      </x:c>
      <x:c r="U126" s="10" t="n">
        <x:f>O126*P126</x:f>
        <x:v>0</x:v>
      </x:c>
      <x:c r="V126" s="10" t="str">
        <x:f>IF(ISNUMBER(Q126),O126*(Q126-P126),"n.a.")</x:f>
        <x:v>n.a.</x:v>
      </x:c>
      <x:c r="W126" s="10" t="n">
        <x:f>IF(ISNUMBER(Q126),U126,0)</x:f>
        <x:v>0</x:v>
      </x:c>
      <x:c r="X126" s="8" t="n">
        <x:f>MAX(0,K126-SUM(E126:J126))</x:f>
        <x:v>0</x:v>
      </x:c>
      <x:c r="Y126" s="1" t="str">
        <x:f>IF(AND(O126&gt;0,NOT(ISNUMBER(Q126))),"No proposed replacement standard",IF(X126&gt;0,"Demand exceeds available stock",""))</x:f>
      </x:c>
      <x:c r="Z126" s="1" t="n">
        <x:f>IF(ISNUMBER(Q126),1,0)</x:f>
        <x:v>0</x:v>
      </x:c>
    </x:row>
    <x:row r="127" ht="21" customHeight="1">
      <x:c r="A127" s="17" t="n">
        <x:f>Summary!B15</x:f>
        <x:v>46327</x:v>
      </x:c>
      <x:c r="B127" s="1" t="str">
        <x:f>'Current inventory'!A127</x:f>
        <x:v>60</x:v>
      </x:c>
      <x:c r="C127" s="1" t="str">
        <x:f>'Current inventory'!B127</x:f>
        <x:v>800WWHTBRC</x:v>
      </x:c>
      <x:c r="D127" s="7" t="n">
        <x:f>Summary!$D$5</x:f>
        <x:v>46304</x:v>
      </x:c>
      <x:c r="E127" s="8" t="n">
        <x:f>'Current inventory'!M127</x:f>
        <x:v>0</x:v>
      </x:c>
      <x:c r="F127" s="8" t="n">
        <x:f>'Current inventory'!N127</x:f>
        <x:v>0</x:v>
      </x:c>
      <x:c r="G127" s="8" t="n">
        <x:f>'Current inventory'!O127</x:f>
        <x:v>0</x:v>
      </x:c>
      <x:c r="H127" s="8" t="n">
        <x:f>SUMIFS('PO detail'!$U$2:$U$672,'PO detail'!$A$2:$A$672,B127,'PO detail'!$B$2:$B$672,C127,'PO detail'!$G$2:$G$672,"&gt;="&amp;D127,'PO detail'!$G$2:$G$672,"&lt;"&amp;A127)</x:f>
        <x:v>0</x:v>
      </x:c>
      <x:c r="I127" s="8" t="n">
        <x:f>SUMIFS('PO detail'!$V$2:$V$672,'PO detail'!$A$2:$A$672,B127,'PO detail'!$B$2:$B$672,C127,'PO detail'!$G$2:$G$672,"&gt;="&amp;D127,'PO detail'!$G$2:$G$672,"&lt;"&amp;A127)</x:f>
        <x:v>0</x:v>
      </x:c>
      <x:c r="J127" s="8" t="n">
        <x:f>SUMIFS('PO detail'!$W$2:$W$672,'PO detail'!$A$2:$A$672,B127,'PO detail'!$B$2:$B$672,C127,'PO detail'!$G$2:$G$672,"&gt;="&amp;D127,'PO detail'!$G$2:$G$672,"&lt;"&amp;A127)</x:f>
        <x:v>0</x:v>
      </x:c>
      <x:c r="K127" s="8" t="n">
        <x:f>'Current inventory'!E127*Summary!$D$6*(A127-D127)/30.4375</x:f>
        <x:v>0</x:v>
      </x:c>
      <x:c r="L127" s="8" t="n">
        <x:f>MAX(0,E127+H127-K127)</x:f>
        <x:v>0</x:v>
      </x:c>
      <x:c r="M127" s="8" t="n">
        <x:f>MAX(0,F127+I127-MAX(0,K127-E127-H127))</x:f>
        <x:v>0</x:v>
      </x:c>
      <x:c r="N127" s="8" t="n">
        <x:f>MAX(0,G127+J127-K127)</x:f>
        <x:v>0</x:v>
      </x:c>
      <x:c r="O127" s="8" t="n">
        <x:f>SUM(L127:N127)</x:f>
        <x:v>0</x:v>
      </x:c>
      <x:c r="P127" s="14" t="n">
        <x:f>'Current inventory'!V127</x:f>
        <x:v>0.18469999999999998</x:v>
      </x:c>
      <x:c r="Q127" s="14" t="str">
        <x:f>'Current inventory'!W127</x:f>
        <x:v>n.a.</x:v>
      </x:c>
      <x:c r="R127" s="10" t="n">
        <x:f>L127*P127</x:f>
        <x:v>0</x:v>
      </x:c>
      <x:c r="S127" s="10" t="n">
        <x:f>M127*P127</x:f>
        <x:v>0</x:v>
      </x:c>
      <x:c r="T127" s="10" t="n">
        <x:f>N127*P127</x:f>
        <x:v>0</x:v>
      </x:c>
      <x:c r="U127" s="10" t="n">
        <x:f>O127*P127</x:f>
        <x:v>0</x:v>
      </x:c>
      <x:c r="V127" s="10" t="str">
        <x:f>IF(ISNUMBER(Q127),O127*(Q127-P127),"n.a.")</x:f>
        <x:v>n.a.</x:v>
      </x:c>
      <x:c r="W127" s="10" t="n">
        <x:f>IF(ISNUMBER(Q127),U127,0)</x:f>
        <x:v>0</x:v>
      </x:c>
      <x:c r="X127" s="8" t="n">
        <x:f>MAX(0,K127-SUM(E127:J127))</x:f>
        <x:v>0</x:v>
      </x:c>
      <x:c r="Y127" s="1" t="str">
        <x:f>IF(AND(O127&gt;0,NOT(ISNUMBER(Q127))),"No proposed replacement standard",IF(X127&gt;0,"Demand exceeds available stock",""))</x:f>
      </x:c>
      <x:c r="Z127" s="1" t="n">
        <x:f>IF(ISNUMBER(Q127),1,0)</x:f>
        <x:v>0</x:v>
      </x:c>
    </x:row>
    <x:row r="128" ht="21" customHeight="1">
      <x:c r="A128" s="17" t="n">
        <x:f>Summary!B16</x:f>
        <x:v>46357</x:v>
      </x:c>
      <x:c r="B128" s="1" t="str">
        <x:f>'Current inventory'!A2</x:f>
        <x:v>10</x:v>
      </x:c>
      <x:c r="C128" s="1" t="str">
        <x:f>'Current inventory'!B2</x:f>
        <x:v>800BBLKASC</x:v>
      </x:c>
      <x:c r="D128" s="7" t="n">
        <x:f>A2</x:f>
        <x:v>46327</x:v>
      </x:c>
      <x:c r="E128" s="8" t="n">
        <x:f>L2</x:f>
        <x:v>382339.9701026694</x:v>
      </x:c>
      <x:c r="F128" s="8" t="n">
        <x:f>M2</x:f>
        <x:v>0</x:v>
      </x:c>
      <x:c r="G128" s="8" t="n">
        <x:f>N2</x:f>
        <x:v>0</x:v>
      </x:c>
      <x:c r="H128" s="8" t="n">
        <x:f>SUMIFS('PO detail'!$U$2:$U$672,'PO detail'!$A$2:$A$672,B128,'PO detail'!$B$2:$B$672,C128,'PO detail'!$G$2:$G$672,"&gt;="&amp;D128,'PO detail'!$G$2:$G$672,"&lt;"&amp;A128)</x:f>
        <x:v>0</x:v>
      </x:c>
      <x:c r="I128" s="8" t="n">
        <x:f>SUMIFS('PO detail'!$V$2:$V$672,'PO detail'!$A$2:$A$672,B128,'PO detail'!$B$2:$B$672,C128,'PO detail'!$G$2:$G$672,"&gt;="&amp;D128,'PO detail'!$G$2:$G$672,"&lt;"&amp;A128)</x:f>
        <x:v>0</x:v>
      </x:c>
      <x:c r="J128" s="8" t="n">
        <x:f>SUMIFS('PO detail'!$W$2:$W$672,'PO detail'!$A$2:$A$672,B128,'PO detail'!$B$2:$B$672,C128,'PO detail'!$G$2:$G$672,"&gt;="&amp;D128,'PO detail'!$G$2:$G$672,"&lt;"&amp;A128)</x:f>
        <x:v>0</x:v>
      </x:c>
      <x:c r="K128" s="8" t="n">
        <x:f>'Current inventory'!E2*Summary!$D$6*(A128-D128)/30.4375</x:f>
        <x:v>152295.69117043124</x:v>
      </x:c>
      <x:c r="L128" s="8" t="n">
        <x:f>MAX(0,E128+H128-K128)</x:f>
        <x:v>230044.27893223814</x:v>
      </x:c>
      <x:c r="M128" s="8" t="n">
        <x:f>MAX(0,F128+I128-MAX(0,K128-E128-H128))</x:f>
        <x:v>0</x:v>
      </x:c>
      <x:c r="N128" s="8" t="n">
        <x:f>MAX(0,G128+J128-K128)</x:f>
        <x:v>0</x:v>
      </x:c>
      <x:c r="O128" s="8" t="n">
        <x:f>SUM(L128:N128)</x:f>
        <x:v>230044.27893223814</x:v>
      </x:c>
      <x:c r="P128" s="14" t="n">
        <x:f>'Current inventory'!V2</x:f>
        <x:v>0.1229</x:v>
      </x:c>
      <x:c r="Q128" s="14" t="n">
        <x:f>'Current inventory'!W2</x:f>
        <x:v>0.12841500000000003</x:v>
      </x:c>
      <x:c r="R128" s="10" t="n">
        <x:f>L128*P128</x:f>
        <x:v>28272.44188077207</x:v>
      </x:c>
      <x:c r="S128" s="10" t="n">
        <x:f>M128*P128</x:f>
        <x:v>0</x:v>
      </x:c>
      <x:c r="T128" s="10" t="n">
        <x:f>N128*P128</x:f>
        <x:v>0</x:v>
      </x:c>
      <x:c r="U128" s="10" t="n">
        <x:f>O128*P128</x:f>
        <x:v>28272.44188077207</x:v>
      </x:c>
      <x:c r="V128" s="10" t="n">
        <x:f>IF(ISNUMBER(Q128),O128*(Q128-P128),"n.a.")</x:f>
        <x:v>1268.694198311301</x:v>
      </x:c>
      <x:c r="W128" s="10" t="n">
        <x:f>IF(ISNUMBER(Q128),U128,0)</x:f>
        <x:v>28272.44188077207</x:v>
      </x:c>
      <x:c r="X128" s="8" t="n">
        <x:f>MAX(0,K128-SUM(E128:J128))</x:f>
        <x:v>0</x:v>
      </x:c>
      <x:c r="Y128" s="1" t="str">
        <x:f>IF(AND(O128&gt;0,NOT(ISNUMBER(Q128))),"No proposed replacement standard",IF(X128&gt;0,"Demand exceeds available stock",""))</x:f>
      </x:c>
      <x:c r="Z128" s="1" t="n">
        <x:f>IF(ISNUMBER(Q128),1,0)</x:f>
        <x:v>1</x:v>
      </x:c>
    </x:row>
    <x:row r="129" ht="21" customHeight="1">
      <x:c r="A129" s="17" t="n">
        <x:f>Summary!B16</x:f>
        <x:v>46357</x:v>
      </x:c>
      <x:c r="B129" s="1" t="str">
        <x:f>'Current inventory'!A3</x:f>
        <x:v>60</x:v>
      </x:c>
      <x:c r="C129" s="1" t="str">
        <x:f>'Current inventory'!B3</x:f>
        <x:v>800BBLKASC</x:v>
      </x:c>
      <x:c r="D129" s="7" t="n">
        <x:f>A3</x:f>
        <x:v>46327</x:v>
      </x:c>
      <x:c r="E129" s="8" t="n">
        <x:f>L3</x:f>
        <x:v>260520.87359342916</x:v>
      </x:c>
      <x:c r="F129" s="8" t="n">
        <x:f>M3</x:f>
        <x:v>0</x:v>
      </x:c>
      <x:c r="G129" s="8" t="n">
        <x:f>N3</x:f>
        <x:v>0</x:v>
      </x:c>
      <x:c r="H129" s="8" t="n">
        <x:f>SUMIFS('PO detail'!$U$2:$U$672,'PO detail'!$A$2:$A$672,B129,'PO detail'!$B$2:$B$672,C129,'PO detail'!$G$2:$G$672,"&gt;="&amp;D129,'PO detail'!$G$2:$G$672,"&lt;"&amp;A129)</x:f>
        <x:v>0</x:v>
      </x:c>
      <x:c r="I129" s="8" t="n">
        <x:f>SUMIFS('PO detail'!$V$2:$V$672,'PO detail'!$A$2:$A$672,B129,'PO detail'!$B$2:$B$672,C129,'PO detail'!$G$2:$G$672,"&gt;="&amp;D129,'PO detail'!$G$2:$G$672,"&lt;"&amp;A129)</x:f>
        <x:v>0</x:v>
      </x:c>
      <x:c r="J129" s="8" t="n">
        <x:f>SUMIFS('PO detail'!$W$2:$W$672,'PO detail'!$A$2:$A$672,B129,'PO detail'!$B$2:$B$672,C129,'PO detail'!$G$2:$G$672,"&gt;="&amp;D129,'PO detail'!$G$2:$G$672,"&lt;"&amp;A129)</x:f>
        <x:v>0</x:v>
      </x:c>
      <x:c r="K129" s="8" t="n">
        <x:f>'Current inventory'!E3*Summary!$D$6*(A129-D129)/30.4375</x:f>
        <x:v>142537.9909650924</x:v>
      </x:c>
      <x:c r="L129" s="8" t="n">
        <x:f>MAX(0,E129+H129-K129)</x:f>
        <x:v>117982.88262833675</x:v>
      </x:c>
      <x:c r="M129" s="8" t="n">
        <x:f>MAX(0,F129+I129-MAX(0,K129-E129-H129))</x:f>
        <x:v>0</x:v>
      </x:c>
      <x:c r="N129" s="8" t="n">
        <x:f>MAX(0,G129+J129-K129)</x:f>
        <x:v>0</x:v>
      </x:c>
      <x:c r="O129" s="8" t="n">
        <x:f>SUM(L129:N129)</x:f>
        <x:v>117982.88262833675</x:v>
      </x:c>
      <x:c r="P129" s="14" t="n">
        <x:f>'Current inventory'!V3</x:f>
        <x:v>0.1229</x:v>
      </x:c>
      <x:c r="Q129" s="14" t="n">
        <x:f>'Current inventory'!W3</x:f>
        <x:v>0.12841500000000003</x:v>
      </x:c>
      <x:c r="R129" s="10" t="n">
        <x:f>L129*P129</x:f>
        <x:v>14500.096275022586</x:v>
      </x:c>
      <x:c r="S129" s="10" t="n">
        <x:f>M129*P129</x:f>
        <x:v>0</x:v>
      </x:c>
      <x:c r="T129" s="10" t="n">
        <x:f>N129*P129</x:f>
        <x:v>0</x:v>
      </x:c>
      <x:c r="U129" s="10" t="n">
        <x:f>O129*P129</x:f>
        <x:v>14500.096275022586</x:v>
      </x:c>
      <x:c r="V129" s="10" t="n">
        <x:f>IF(ISNUMBER(Q129),O129*(Q129-P129),"n.a.")</x:f>
        <x:v>650.6755976952812</x:v>
      </x:c>
      <x:c r="W129" s="10" t="n">
        <x:f>IF(ISNUMBER(Q129),U129,0)</x:f>
        <x:v>14500.096275022586</x:v>
      </x:c>
      <x:c r="X129" s="8" t="n">
        <x:f>MAX(0,K129-SUM(E129:J129))</x:f>
        <x:v>0</x:v>
      </x:c>
      <x:c r="Y129" s="1" t="str">
        <x:f>IF(AND(O129&gt;0,NOT(ISNUMBER(Q129))),"No proposed replacement standard",IF(X129&gt;0,"Demand exceeds available stock",""))</x:f>
      </x:c>
      <x:c r="Z129" s="1" t="n">
        <x:f>IF(ISNUMBER(Q129),1,0)</x:f>
        <x:v>1</x:v>
      </x:c>
    </x:row>
    <x:row r="130" ht="21" customHeight="1">
      <x:c r="A130" s="17" t="n">
        <x:f>Summary!B16</x:f>
        <x:v>46357</x:v>
      </x:c>
      <x:c r="B130" s="1" t="str">
        <x:f>'Current inventory'!A4</x:f>
        <x:v>30</x:v>
      </x:c>
      <x:c r="C130" s="1" t="str">
        <x:f>'Current inventory'!B4</x:f>
        <x:v>800BBLKASC</x:v>
      </x:c>
      <x:c r="D130" s="7" t="n">
        <x:f>A4</x:f>
        <x:v>46327</x:v>
      </x:c>
      <x:c r="E130" s="8" t="n">
        <x:f>L4</x:f>
        <x:v>151142.91581108829</x:v>
      </x:c>
      <x:c r="F130" s="8" t="n">
        <x:f>M4</x:f>
        <x:v>0</x:v>
      </x:c>
      <x:c r="G130" s="8" t="n">
        <x:f>N4</x:f>
        <x:v>0</x:v>
      </x:c>
      <x:c r="H130" s="8" t="n">
        <x:f>SUMIFS('PO detail'!$U$2:$U$672,'PO detail'!$A$2:$A$672,B130,'PO detail'!$B$2:$B$672,C130,'PO detail'!$G$2:$G$672,"&gt;="&amp;D130,'PO detail'!$G$2:$G$672,"&lt;"&amp;A130)</x:f>
        <x:v>0</x:v>
      </x:c>
      <x:c r="I130" s="8" t="n">
        <x:f>SUMIFS('PO detail'!$V$2:$V$672,'PO detail'!$A$2:$A$672,B130,'PO detail'!$B$2:$B$672,C130,'PO detail'!$G$2:$G$672,"&gt;="&amp;D130,'PO detail'!$G$2:$G$672,"&lt;"&amp;A130)</x:f>
        <x:v>0</x:v>
      </x:c>
      <x:c r="J130" s="8" t="n">
        <x:f>SUMIFS('PO detail'!$W$2:$W$672,'PO detail'!$A$2:$A$672,B130,'PO detail'!$B$2:$B$672,C130,'PO detail'!$G$2:$G$672,"&gt;="&amp;D130,'PO detail'!$G$2:$G$672,"&lt;"&amp;A130)</x:f>
        <x:v>0</x:v>
      </x:c>
      <x:c r="K130" s="8" t="n">
        <x:f>'Current inventory'!E4*Summary!$D$6*(A130-D130)/30.4375</x:f>
        <x:v>52509.240246406574</x:v>
      </x:c>
      <x:c r="L130" s="8" t="n">
        <x:f>MAX(0,E130+H130-K130)</x:f>
        <x:v>98633.6755646817</x:v>
      </x:c>
      <x:c r="M130" s="8" t="n">
        <x:f>MAX(0,F130+I130-MAX(0,K130-E130-H130))</x:f>
        <x:v>0</x:v>
      </x:c>
      <x:c r="N130" s="8" t="n">
        <x:f>MAX(0,G130+J130-K130)</x:f>
        <x:v>0</x:v>
      </x:c>
      <x:c r="O130" s="8" t="n">
        <x:f>SUM(L130:N130)</x:f>
        <x:v>98633.6755646817</x:v>
      </x:c>
      <x:c r="P130" s="14" t="n">
        <x:f>'Current inventory'!V4</x:f>
        <x:v>0.1229</x:v>
      </x:c>
      <x:c r="Q130" s="14" t="n">
        <x:f>'Current inventory'!W4</x:f>
        <x:v>0.12841500000000003</x:v>
      </x:c>
      <x:c r="R130" s="10" t="n">
        <x:f>L130*P130</x:f>
        <x:v>12122.07872689938</x:v>
      </x:c>
      <x:c r="S130" s="10" t="n">
        <x:f>M130*P130</x:f>
        <x:v>0</x:v>
      </x:c>
      <x:c r="T130" s="10" t="n">
        <x:f>N130*P130</x:f>
        <x:v>0</x:v>
      </x:c>
      <x:c r="U130" s="10" t="n">
        <x:f>O130*P130</x:f>
        <x:v>12122.07872689938</x:v>
      </x:c>
      <x:c r="V130" s="10" t="n">
        <x:f>IF(ISNUMBER(Q130),O130*(Q130-P130),"n.a.")</x:f>
        <x:v>543.9647207392229</x:v>
      </x:c>
      <x:c r="W130" s="10" t="n">
        <x:f>IF(ISNUMBER(Q130),U130,0)</x:f>
        <x:v>12122.07872689938</x:v>
      </x:c>
      <x:c r="X130" s="8" t="n">
        <x:f>MAX(0,K130-SUM(E130:J130))</x:f>
        <x:v>0</x:v>
      </x:c>
      <x:c r="Y130" s="1" t="str">
        <x:f>IF(AND(O130&gt;0,NOT(ISNUMBER(Q130))),"No proposed replacement standard",IF(X130&gt;0,"Demand exceeds available stock",""))</x:f>
      </x:c>
      <x:c r="Z130" s="1" t="n">
        <x:f>IF(ISNUMBER(Q130),1,0)</x:f>
        <x:v>1</x:v>
      </x:c>
    </x:row>
    <x:row r="131" ht="21" customHeight="1">
      <x:c r="A131" s="17" t="n">
        <x:f>Summary!B16</x:f>
        <x:v>46357</x:v>
      </x:c>
      <x:c r="B131" s="1" t="str">
        <x:f>'Current inventory'!A5</x:f>
        <x:v>60</x:v>
      </x:c>
      <x:c r="C131" s="1" t="str">
        <x:f>'Current inventory'!B5</x:f>
        <x:v>800BNAVASC</x:v>
      </x:c>
      <x:c r="D131" s="7" t="n">
        <x:f>A5</x:f>
        <x:v>46327</x:v>
      </x:c>
      <x:c r="E131" s="8" t="n">
        <x:f>L5</x:f>
        <x:v>19792.607802874743</x:v>
      </x:c>
      <x:c r="F131" s="8" t="n">
        <x:f>M5</x:f>
        <x:v>0</x:v>
      </x:c>
      <x:c r="G131" s="8" t="n">
        <x:f>N5</x:f>
        <x:v>0</x:v>
      </x:c>
      <x:c r="H131" s="8" t="n">
        <x:f>SUMIFS('PO detail'!$U$2:$U$672,'PO detail'!$A$2:$A$672,B131,'PO detail'!$B$2:$B$672,C131,'PO detail'!$G$2:$G$672,"&gt;="&amp;D131,'PO detail'!$G$2:$G$672,"&lt;"&amp;A131)</x:f>
        <x:v>0</x:v>
      </x:c>
      <x:c r="I131" s="8" t="n">
        <x:f>SUMIFS('PO detail'!$V$2:$V$672,'PO detail'!$A$2:$A$672,B131,'PO detail'!$B$2:$B$672,C131,'PO detail'!$G$2:$G$672,"&gt;="&amp;D131,'PO detail'!$G$2:$G$672,"&lt;"&amp;A131)</x:f>
        <x:v>0</x:v>
      </x:c>
      <x:c r="J131" s="8" t="n">
        <x:f>SUMIFS('PO detail'!$W$2:$W$672,'PO detail'!$A$2:$A$672,B131,'PO detail'!$B$2:$B$672,C131,'PO detail'!$G$2:$G$672,"&gt;="&amp;D131,'PO detail'!$G$2:$G$672,"&lt;"&amp;A131)</x:f>
        <x:v>0</x:v>
      </x:c>
      <x:c r="K131" s="8" t="n">
        <x:f>'Current inventory'!E5*Summary!$D$6*(A131-D131)/30.4375</x:f>
        <x:v>19835.728952772075</x:v>
      </x:c>
      <x:c r="L131" s="8" t="n">
        <x:f>MAX(0,E131+H131-K131)</x:f>
        <x:v>0</x:v>
      </x:c>
      <x:c r="M131" s="8" t="n">
        <x:f>MAX(0,F131+I131-MAX(0,K131-E131-H131))</x:f>
        <x:v>0</x:v>
      </x:c>
      <x:c r="N131" s="8" t="n">
        <x:f>MAX(0,G131+J131-K131)</x:f>
        <x:v>0</x:v>
      </x:c>
      <x:c r="O131" s="8" t="n">
        <x:f>SUM(L131:N131)</x:f>
        <x:v>0</x:v>
      </x:c>
      <x:c r="P131" s="14" t="n">
        <x:f>'Current inventory'!V5</x:f>
        <x:v>0.1515</x:v>
      </x:c>
      <x:c r="Q131" s="14" t="n">
        <x:f>'Current inventory'!W5</x:f>
        <x:v>0.15834</x:v>
      </x:c>
      <x:c r="R131" s="10" t="n">
        <x:f>L131*P131</x:f>
        <x:v>0</x:v>
      </x:c>
      <x:c r="S131" s="10" t="n">
        <x:f>M131*P131</x:f>
        <x:v>0</x:v>
      </x:c>
      <x:c r="T131" s="10" t="n">
        <x:f>N131*P131</x:f>
        <x:v>0</x:v>
      </x:c>
      <x:c r="U131" s="10" t="n">
        <x:f>O131*P131</x:f>
        <x:v>0</x:v>
      </x:c>
      <x:c r="V131" s="10" t="n">
        <x:f>IF(ISNUMBER(Q131),O131*(Q131-P131),"n.a.")</x:f>
        <x:v>0</x:v>
      </x:c>
      <x:c r="W131" s="10" t="n">
        <x:f>IF(ISNUMBER(Q131),U131,0)</x:f>
        <x:v>0</x:v>
      </x:c>
      <x:c r="X131" s="8" t="n">
        <x:f>MAX(0,K131-SUM(E131:J131))</x:f>
        <x:v>43.121149897331634</x:v>
      </x:c>
      <x:c r="Y131" s="1" t="str">
        <x:f>IF(AND(O131&gt;0,NOT(ISNUMBER(Q131))),"No proposed replacement standard",IF(X131&gt;0,"Demand exceeds available stock",""))</x:f>
        <x:v>Demand exceeds available stock</x:v>
      </x:c>
      <x:c r="Z131" s="1" t="n">
        <x:f>IF(ISNUMBER(Q131),1,0)</x:f>
        <x:v>1</x:v>
      </x:c>
    </x:row>
    <x:row r="132" ht="21" customHeight="1">
      <x:c r="A132" s="17" t="n">
        <x:f>Summary!B16</x:f>
        <x:v>46357</x:v>
      </x:c>
      <x:c r="B132" s="1" t="str">
        <x:f>'Current inventory'!A6</x:f>
        <x:v>10</x:v>
      </x:c>
      <x:c r="C132" s="1" t="str">
        <x:f>'Current inventory'!B6</x:f>
        <x:v>800BNAVASC</x:v>
      </x:c>
      <x:c r="D132" s="7" t="n">
        <x:f>A6</x:f>
        <x:v>46327</x:v>
      </x:c>
      <x:c r="E132" s="8" t="n">
        <x:f>L6</x:f>
        <x:v>111452.4323613963</x:v>
      </x:c>
      <x:c r="F132" s="8" t="n">
        <x:f>M6</x:f>
        <x:v>0</x:v>
      </x:c>
      <x:c r="G132" s="8" t="n">
        <x:f>N6</x:f>
        <x:v>0</x:v>
      </x:c>
      <x:c r="H132" s="8" t="n">
        <x:f>SUMIFS('PO detail'!$U$2:$U$672,'PO detail'!$A$2:$A$672,B132,'PO detail'!$B$2:$B$672,C132,'PO detail'!$G$2:$G$672,"&gt;="&amp;D132,'PO detail'!$G$2:$G$672,"&lt;"&amp;A132)</x:f>
        <x:v>0</x:v>
      </x:c>
      <x:c r="I132" s="8" t="n">
        <x:f>SUMIFS('PO detail'!$V$2:$V$672,'PO detail'!$A$2:$A$672,B132,'PO detail'!$B$2:$B$672,C132,'PO detail'!$G$2:$G$672,"&gt;="&amp;D132,'PO detail'!$G$2:$G$672,"&lt;"&amp;A132)</x:f>
        <x:v>0</x:v>
      </x:c>
      <x:c r="J132" s="8" t="n">
        <x:f>SUMIFS('PO detail'!$W$2:$W$672,'PO detail'!$A$2:$A$672,B132,'PO detail'!$B$2:$B$672,C132,'PO detail'!$G$2:$G$672,"&gt;="&amp;D132,'PO detail'!$G$2:$G$672,"&lt;"&amp;A132)</x:f>
        <x:v>0</x:v>
      </x:c>
      <x:c r="K132" s="8" t="n">
        <x:f>'Current inventory'!E6*Summary!$D$6*(A132-D132)/30.4375</x:f>
        <x:v>13757.696919917866</x:v>
      </x:c>
      <x:c r="L132" s="8" t="n">
        <x:f>MAX(0,E132+H132-K132)</x:f>
        <x:v>97694.73544147843</x:v>
      </x:c>
      <x:c r="M132" s="8" t="n">
        <x:f>MAX(0,F132+I132-MAX(0,K132-E132-H132))</x:f>
        <x:v>0</x:v>
      </x:c>
      <x:c r="N132" s="8" t="n">
        <x:f>MAX(0,G132+J132-K132)</x:f>
        <x:v>0</x:v>
      </x:c>
      <x:c r="O132" s="8" t="n">
        <x:f>SUM(L132:N132)</x:f>
        <x:v>97694.73544147843</x:v>
      </x:c>
      <x:c r="P132" s="14" t="n">
        <x:f>'Current inventory'!V6</x:f>
        <x:v>0.1515</x:v>
      </x:c>
      <x:c r="Q132" s="14" t="n">
        <x:f>'Current inventory'!W6</x:f>
        <x:v>0.15834</x:v>
      </x:c>
      <x:c r="R132" s="10" t="n">
        <x:f>L132*P132</x:f>
        <x:v>14800.752419383982</x:v>
      </x:c>
      <x:c r="S132" s="10" t="n">
        <x:f>M132*P132</x:f>
        <x:v>0</x:v>
      </x:c>
      <x:c r="T132" s="10" t="n">
        <x:f>N132*P132</x:f>
        <x:v>0</x:v>
      </x:c>
      <x:c r="U132" s="10" t="n">
        <x:f>O132*P132</x:f>
        <x:v>14800.752419383982</x:v>
      </x:c>
      <x:c r="V132" s="10" t="n">
        <x:f>IF(ISNUMBER(Q132),O132*(Q132-P132),"n.a.")</x:f>
        <x:v>668.2319904197137</x:v>
      </x:c>
      <x:c r="W132" s="10" t="n">
        <x:f>IF(ISNUMBER(Q132),U132,0)</x:f>
        <x:v>14800.752419383982</x:v>
      </x:c>
      <x:c r="X132" s="8" t="n">
        <x:f>MAX(0,K132-SUM(E132:J132))</x:f>
        <x:v>0</x:v>
      </x:c>
      <x:c r="Y132" s="1" t="str">
        <x:f>IF(AND(O132&gt;0,NOT(ISNUMBER(Q132))),"No proposed replacement standard",IF(X132&gt;0,"Demand exceeds available stock",""))</x:f>
      </x:c>
      <x:c r="Z132" s="1" t="n">
        <x:f>IF(ISNUMBER(Q132),1,0)</x:f>
        <x:v>1</x:v>
      </x:c>
    </x:row>
    <x:row r="133" ht="21" customHeight="1">
      <x:c r="A133" s="17" t="n">
        <x:f>Summary!B16</x:f>
        <x:v>46357</x:v>
      </x:c>
      <x:c r="B133" s="1" t="str">
        <x:f>'Current inventory'!A7</x:f>
        <x:v>10</x:v>
      </x:c>
      <x:c r="C133" s="1" t="str">
        <x:f>'Current inventory'!B7</x:f>
        <x:v>800BBLKISC</x:v>
      </x:c>
      <x:c r="D133" s="7" t="n">
        <x:f>A7</x:f>
        <x:v>46327</x:v>
      </x:c>
      <x:c r="E133" s="8" t="n">
        <x:f>L7</x:f>
        <x:v>86873.30595482547</x:v>
      </x:c>
      <x:c r="F133" s="8" t="n">
        <x:f>M7</x:f>
        <x:v>0</x:v>
      </x:c>
      <x:c r="G133" s="8" t="n">
        <x:f>N7</x:f>
        <x:v>0</x:v>
      </x:c>
      <x:c r="H133" s="8" t="n">
        <x:f>SUMIFS('PO detail'!$U$2:$U$672,'PO detail'!$A$2:$A$672,B133,'PO detail'!$B$2:$B$672,C133,'PO detail'!$G$2:$G$672,"&gt;="&amp;D133,'PO detail'!$G$2:$G$672,"&lt;"&amp;A133)</x:f>
        <x:v>0</x:v>
      </x:c>
      <x:c r="I133" s="8" t="n">
        <x:f>SUMIFS('PO detail'!$V$2:$V$672,'PO detail'!$A$2:$A$672,B133,'PO detail'!$B$2:$B$672,C133,'PO detail'!$G$2:$G$672,"&gt;="&amp;D133,'PO detail'!$G$2:$G$672,"&lt;"&amp;A133)</x:f>
        <x:v>0</x:v>
      </x:c>
      <x:c r="J133" s="8" t="n">
        <x:f>SUMIFS('PO detail'!$W$2:$W$672,'PO detail'!$A$2:$A$672,B133,'PO detail'!$B$2:$B$672,C133,'PO detail'!$G$2:$G$672,"&gt;="&amp;D133,'PO detail'!$G$2:$G$672,"&lt;"&amp;A133)</x:f>
        <x:v>0</x:v>
      </x:c>
      <x:c r="K133" s="8" t="n">
        <x:f>'Current inventory'!E7*Summary!$D$6*(A133-D133)/30.4375</x:f>
        <x:v>12295.687885010268</x:v>
      </x:c>
      <x:c r="L133" s="8" t="n">
        <x:f>MAX(0,E133+H133-K133)</x:f>
        <x:v>74577.6180698152</x:v>
      </x:c>
      <x:c r="M133" s="8" t="n">
        <x:f>MAX(0,F133+I133-MAX(0,K133-E133-H133))</x:f>
        <x:v>0</x:v>
      </x:c>
      <x:c r="N133" s="8" t="n">
        <x:f>MAX(0,G133+J133-K133)</x:f>
        <x:v>0</x:v>
      </x:c>
      <x:c r="O133" s="8" t="n">
        <x:f>SUM(L133:N133)</x:f>
        <x:v>74577.6180698152</x:v>
      </x:c>
      <x:c r="P133" s="14" t="n">
        <x:f>'Current inventory'!V7</x:f>
        <x:v>0.1612</x:v>
      </x:c>
      <x:c r="Q133" s="14" t="n">
        <x:f>'Current inventory'!W7</x:f>
        <x:v>0.16842</x:v>
      </x:c>
      <x:c r="R133" s="10" t="n">
        <x:f>L133*P133</x:f>
        <x:v>12021.912032854212</x:v>
      </x:c>
      <x:c r="S133" s="10" t="n">
        <x:f>M133*P133</x:f>
        <x:v>0</x:v>
      </x:c>
      <x:c r="T133" s="10" t="n">
        <x:f>N133*P133</x:f>
        <x:v>0</x:v>
      </x:c>
      <x:c r="U133" s="10" t="n">
        <x:f>O133*P133</x:f>
        <x:v>12021.912032854212</x:v>
      </x:c>
      <x:c r="V133" s="10" t="n">
        <x:f>IF(ISNUMBER(Q133),O133*(Q133-P133),"n.a.")</x:f>
        <x:v>538.450402464064</x:v>
      </x:c>
      <x:c r="W133" s="10" t="n">
        <x:f>IF(ISNUMBER(Q133),U133,0)</x:f>
        <x:v>12021.912032854212</x:v>
      </x:c>
      <x:c r="X133" s="8" t="n">
        <x:f>MAX(0,K133-SUM(E133:J133))</x:f>
        <x:v>0</x:v>
      </x:c>
      <x:c r="Y133" s="1" t="str">
        <x:f>IF(AND(O133&gt;0,NOT(ISNUMBER(Q133))),"No proposed replacement standard",IF(X133&gt;0,"Demand exceeds available stock",""))</x:f>
      </x:c>
      <x:c r="Z133" s="1" t="n">
        <x:f>IF(ISNUMBER(Q133),1,0)</x:f>
        <x:v>1</x:v>
      </x:c>
    </x:row>
    <x:row r="134" ht="21" customHeight="1">
      <x:c r="A134" s="17" t="n">
        <x:f>Summary!B16</x:f>
        <x:v>46357</x:v>
      </x:c>
      <x:c r="B134" s="1" t="str">
        <x:f>'Current inventory'!A8</x:f>
        <x:v>60</x:v>
      </x:c>
      <x:c r="C134" s="1" t="str">
        <x:f>'Current inventory'!B8</x:f>
        <x:v>800BBLKDSC</x:v>
      </x:c>
      <x:c r="D134" s="7" t="n">
        <x:f>A8</x:f>
        <x:v>46327</x:v>
      </x:c>
      <x:c r="E134" s="8" t="n">
        <x:f>L8</x:f>
        <x:v>34780.08213552361</x:v>
      </x:c>
      <x:c r="F134" s="8" t="n">
        <x:f>M8</x:f>
        <x:v>0</x:v>
      </x:c>
      <x:c r="G134" s="8" t="n">
        <x:f>N8</x:f>
        <x:v>0</x:v>
      </x:c>
      <x:c r="H134" s="8" t="n">
        <x:f>SUMIFS('PO detail'!$U$2:$U$672,'PO detail'!$A$2:$A$672,B134,'PO detail'!$B$2:$B$672,C134,'PO detail'!$G$2:$G$672,"&gt;="&amp;D134,'PO detail'!$G$2:$G$672,"&lt;"&amp;A134)</x:f>
        <x:v>0</x:v>
      </x:c>
      <x:c r="I134" s="8" t="n">
        <x:f>SUMIFS('PO detail'!$V$2:$V$672,'PO detail'!$A$2:$A$672,B134,'PO detail'!$B$2:$B$672,C134,'PO detail'!$G$2:$G$672,"&gt;="&amp;D134,'PO detail'!$G$2:$G$672,"&lt;"&amp;A134)</x:f>
        <x:v>0</x:v>
      </x:c>
      <x:c r="J134" s="8" t="n">
        <x:f>SUMIFS('PO detail'!$W$2:$W$672,'PO detail'!$A$2:$A$672,B134,'PO detail'!$B$2:$B$672,C134,'PO detail'!$G$2:$G$672,"&gt;="&amp;D134,'PO detail'!$G$2:$G$672,"&lt;"&amp;A134)</x:f>
        <x:v>0</x:v>
      </x:c>
      <x:c r="K134" s="8" t="n">
        <x:f>'Current inventory'!E8*Summary!$D$6*(A134-D134)/30.4375</x:f>
        <x:v>11112.9363449692</x:v>
      </x:c>
      <x:c r="L134" s="8" t="n">
        <x:f>MAX(0,E134+H134-K134)</x:f>
        <x:v>23667.145790554412</x:v>
      </x:c>
      <x:c r="M134" s="8" t="n">
        <x:f>MAX(0,F134+I134-MAX(0,K134-E134-H134))</x:f>
        <x:v>0</x:v>
      </x:c>
      <x:c r="N134" s="8" t="n">
        <x:f>MAX(0,G134+J134-K134)</x:f>
        <x:v>0</x:v>
      </x:c>
      <x:c r="O134" s="8" t="n">
        <x:f>SUM(L134:N134)</x:f>
        <x:v>23667.145790554412</x:v>
      </x:c>
      <x:c r="P134" s="14" t="n">
        <x:f>'Current inventory'!V8</x:f>
        <x:v>0.3332</x:v>
      </x:c>
      <x:c r="Q134" s="14" t="n">
        <x:f>'Current inventory'!W8</x:f>
        <x:v>0.34818</x:v>
      </x:c>
      <x:c r="R134" s="10" t="n">
        <x:f>L134*P134</x:f>
        <x:v>7885.89297741273</x:v>
      </x:c>
      <x:c r="S134" s="10" t="n">
        <x:f>M134*P134</x:f>
        <x:v>0</x:v>
      </x:c>
      <x:c r="T134" s="10" t="n">
        <x:f>N134*P134</x:f>
        <x:v>0</x:v>
      </x:c>
      <x:c r="U134" s="10" t="n">
        <x:f>O134*P134</x:f>
        <x:v>7885.89297741273</x:v>
      </x:c>
      <x:c r="V134" s="10" t="n">
        <x:f>IF(ISNUMBER(Q134),O134*(Q134-P134),"n.a.")</x:f>
        <x:v>354.5338439425049</x:v>
      </x:c>
      <x:c r="W134" s="10" t="n">
        <x:f>IF(ISNUMBER(Q134),U134,0)</x:f>
        <x:v>7885.89297741273</x:v>
      </x:c>
      <x:c r="X134" s="8" t="n">
        <x:f>MAX(0,K134-SUM(E134:J134))</x:f>
        <x:v>0</x:v>
      </x:c>
      <x:c r="Y134" s="1" t="str">
        <x:f>IF(AND(O134&gt;0,NOT(ISNUMBER(Q134))),"No proposed replacement standard",IF(X134&gt;0,"Demand exceeds available stock",""))</x:f>
      </x:c>
      <x:c r="Z134" s="1" t="n">
        <x:f>IF(ISNUMBER(Q134),1,0)</x:f>
        <x:v>1</x:v>
      </x:c>
    </x:row>
    <x:row r="135" ht="21" customHeight="1">
      <x:c r="A135" s="17" t="n">
        <x:f>Summary!B16</x:f>
        <x:v>46357</x:v>
      </x:c>
      <x:c r="B135" s="1" t="str">
        <x:f>'Current inventory'!A9</x:f>
        <x:v>10</x:v>
      </x:c>
      <x:c r="C135" s="1" t="str">
        <x:f>'Current inventory'!B9</x:f>
        <x:v>800BBLKDSC</x:v>
      </x:c>
      <x:c r="D135" s="7" t="n">
        <x:f>A9</x:f>
        <x:v>46327</x:v>
      </x:c>
      <x:c r="E135" s="8" t="n">
        <x:f>L9</x:f>
        <x:v>40173.511293634496</x:v>
      </x:c>
      <x:c r="F135" s="8" t="n">
        <x:f>M9</x:f>
        <x:v>0</x:v>
      </x:c>
      <x:c r="G135" s="8" t="n">
        <x:f>N9</x:f>
        <x:v>0</x:v>
      </x:c>
      <x:c r="H135" s="8" t="n">
        <x:f>SUMIFS('PO detail'!$U$2:$U$672,'PO detail'!$A$2:$A$672,B135,'PO detail'!$B$2:$B$672,C135,'PO detail'!$G$2:$G$672,"&gt;="&amp;D135,'PO detail'!$G$2:$G$672,"&lt;"&amp;A135)</x:f>
        <x:v>0</x:v>
      </x:c>
      <x:c r="I135" s="8" t="n">
        <x:f>SUMIFS('PO detail'!$V$2:$V$672,'PO detail'!$A$2:$A$672,B135,'PO detail'!$B$2:$B$672,C135,'PO detail'!$G$2:$G$672,"&gt;="&amp;D135,'PO detail'!$G$2:$G$672,"&lt;"&amp;A135)</x:f>
        <x:v>0</x:v>
      </x:c>
      <x:c r="J135" s="8" t="n">
        <x:f>SUMIFS('PO detail'!$W$2:$W$672,'PO detail'!$A$2:$A$672,B135,'PO detail'!$B$2:$B$672,C135,'PO detail'!$G$2:$G$672,"&gt;="&amp;D135,'PO detail'!$G$2:$G$672,"&lt;"&amp;A135)</x:f>
        <x:v>0</x:v>
      </x:c>
      <x:c r="K135" s="8" t="n">
        <x:f>'Current inventory'!E9*Summary!$D$6*(A135-D135)/30.4375</x:f>
        <x:v>10078.028747433265</x:v>
      </x:c>
      <x:c r="L135" s="8" t="n">
        <x:f>MAX(0,E135+H135-K135)</x:f>
        <x:v>30095.48254620123</x:v>
      </x:c>
      <x:c r="M135" s="8" t="n">
        <x:f>MAX(0,F135+I135-MAX(0,K135-E135-H135))</x:f>
        <x:v>0</x:v>
      </x:c>
      <x:c r="N135" s="8" t="n">
        <x:f>MAX(0,G135+J135-K135)</x:f>
        <x:v>0</x:v>
      </x:c>
      <x:c r="O135" s="8" t="n">
        <x:f>SUM(L135:N135)</x:f>
        <x:v>30095.48254620123</x:v>
      </x:c>
      <x:c r="P135" s="14" t="n">
        <x:f>'Current inventory'!V9</x:f>
        <x:v>0.3332</x:v>
      </x:c>
      <x:c r="Q135" s="14" t="n">
        <x:f>'Current inventory'!W9</x:f>
        <x:v>0.34818</x:v>
      </x:c>
      <x:c r="R135" s="10" t="n">
        <x:f>L135*P135</x:f>
        <x:v>10027.81478439425</x:v>
      </x:c>
      <x:c r="S135" s="10" t="n">
        <x:f>M135*P135</x:f>
        <x:v>0</x:v>
      </x:c>
      <x:c r="T135" s="10" t="n">
        <x:f>N135*P135</x:f>
        <x:v>0</x:v>
      </x:c>
      <x:c r="U135" s="10" t="n">
        <x:f>O135*P135</x:f>
        <x:v>10027.81478439425</x:v>
      </x:c>
      <x:c r="V135" s="10" t="n">
        <x:f>IF(ISNUMBER(Q135),O135*(Q135-P135),"n.a.")</x:f>
        <x:v>450.8303285420942</x:v>
      </x:c>
      <x:c r="W135" s="10" t="n">
        <x:f>IF(ISNUMBER(Q135),U135,0)</x:f>
        <x:v>10027.81478439425</x:v>
      </x:c>
      <x:c r="X135" s="8" t="n">
        <x:f>MAX(0,K135-SUM(E135:J135))</x:f>
        <x:v>0</x:v>
      </x:c>
      <x:c r="Y135" s="1" t="str">
        <x:f>IF(AND(O135&gt;0,NOT(ISNUMBER(Q135))),"No proposed replacement standard",IF(X135&gt;0,"Demand exceeds available stock",""))</x:f>
      </x:c>
      <x:c r="Z135" s="1" t="n">
        <x:f>IF(ISNUMBER(Q135),1,0)</x:f>
        <x:v>1</x:v>
      </x:c>
    </x:row>
    <x:row r="136" ht="21" customHeight="1">
      <x:c r="A136" s="17" t="n">
        <x:f>Summary!B16</x:f>
        <x:v>46357</x:v>
      </x:c>
      <x:c r="B136" s="1" t="str">
        <x:f>'Current inventory'!A10</x:f>
        <x:v>60</x:v>
      </x:c>
      <x:c r="C136" s="1" t="str">
        <x:f>'Current inventory'!B10</x:f>
        <x:v>800BBLKISC</x:v>
      </x:c>
      <x:c r="D136" s="7" t="n">
        <x:f>A10</x:f>
        <x:v>46327</x:v>
      </x:c>
      <x:c r="E136" s="8" t="n">
        <x:f>L10</x:f>
        <x:v>98355.10176591376</x:v>
      </x:c>
      <x:c r="F136" s="8" t="n">
        <x:f>M10</x:f>
        <x:v>0</x:v>
      </x:c>
      <x:c r="G136" s="8" t="n">
        <x:f>N10</x:f>
        <x:v>0</x:v>
      </x:c>
      <x:c r="H136" s="8" t="n">
        <x:f>SUMIFS('PO detail'!$U$2:$U$672,'PO detail'!$A$2:$A$672,B136,'PO detail'!$B$2:$B$672,C136,'PO detail'!$G$2:$G$672,"&gt;="&amp;D136,'PO detail'!$G$2:$G$672,"&lt;"&amp;A136)</x:f>
        <x:v>0</x:v>
      </x:c>
      <x:c r="I136" s="8" t="n">
        <x:f>SUMIFS('PO detail'!$V$2:$V$672,'PO detail'!$A$2:$A$672,B136,'PO detail'!$B$2:$B$672,C136,'PO detail'!$G$2:$G$672,"&gt;="&amp;D136,'PO detail'!$G$2:$G$672,"&lt;"&amp;A136)</x:f>
        <x:v>0</x:v>
      </x:c>
      <x:c r="J136" s="8" t="n">
        <x:f>SUMIFS('PO detail'!$W$2:$W$672,'PO detail'!$A$2:$A$672,B136,'PO detail'!$B$2:$B$672,C136,'PO detail'!$G$2:$G$672,"&gt;="&amp;D136,'PO detail'!$G$2:$G$672,"&lt;"&amp;A136)</x:f>
        <x:v>0</x:v>
      </x:c>
      <x:c r="K136" s="8" t="n">
        <x:f>'Current inventory'!E10*Summary!$D$6*(A136-D136)/30.4375</x:f>
        <x:v>8928.12813141684</x:v>
      </x:c>
      <x:c r="L136" s="8" t="n">
        <x:f>MAX(0,E136+H136-K136)</x:f>
        <x:v>89426.97363449691</x:v>
      </x:c>
      <x:c r="M136" s="8" t="n">
        <x:f>MAX(0,F136+I136-MAX(0,K136-E136-H136))</x:f>
        <x:v>0</x:v>
      </x:c>
      <x:c r="N136" s="8" t="n">
        <x:f>MAX(0,G136+J136-K136)</x:f>
        <x:v>0</x:v>
      </x:c>
      <x:c r="O136" s="8" t="n">
        <x:f>SUM(L136:N136)</x:f>
        <x:v>89426.97363449691</x:v>
      </x:c>
      <x:c r="P136" s="14" t="n">
        <x:f>'Current inventory'!V10</x:f>
        <x:v>0.1612</x:v>
      </x:c>
      <x:c r="Q136" s="14" t="n">
        <x:f>'Current inventory'!W10</x:f>
        <x:v>0.16842</x:v>
      </x:c>
      <x:c r="R136" s="10" t="n">
        <x:f>L136*P136</x:f>
        <x:v>14415.628149880904</x:v>
      </x:c>
      <x:c r="S136" s="10" t="n">
        <x:f>M136*P136</x:f>
        <x:v>0</x:v>
      </x:c>
      <x:c r="T136" s="10" t="n">
        <x:f>N136*P136</x:f>
        <x:v>0</x:v>
      </x:c>
      <x:c r="U136" s="10" t="n">
        <x:f>O136*P136</x:f>
        <x:v>14415.628149880904</x:v>
      </x:c>
      <x:c r="V136" s="10" t="n">
        <x:f>IF(ISNUMBER(Q136),O136*(Q136-P136),"n.a.")</x:f>
        <x:v>645.6627496410656</x:v>
      </x:c>
      <x:c r="W136" s="10" t="n">
        <x:f>IF(ISNUMBER(Q136),U136,0)</x:f>
        <x:v>14415.628149880904</x:v>
      </x:c>
      <x:c r="X136" s="8" t="n">
        <x:f>MAX(0,K136-SUM(E136:J136))</x:f>
        <x:v>0</x:v>
      </x:c>
      <x:c r="Y136" s="1" t="str">
        <x:f>IF(AND(O136&gt;0,NOT(ISNUMBER(Q136))),"No proposed replacement standard",IF(X136&gt;0,"Demand exceeds available stock",""))</x:f>
      </x:c>
      <x:c r="Z136" s="1" t="n">
        <x:f>IF(ISNUMBER(Q136),1,0)</x:f>
        <x:v>1</x:v>
      </x:c>
    </x:row>
    <x:row r="137" ht="21" customHeight="1">
      <x:c r="A137" s="17" t="n">
        <x:f>Summary!B16</x:f>
        <x:v>46357</x:v>
      </x:c>
      <x:c r="B137" s="1" t="str">
        <x:f>'Current inventory'!A11</x:f>
        <x:v>30</x:v>
      </x:c>
      <x:c r="C137" s="1" t="str">
        <x:f>'Current inventory'!B11</x:f>
        <x:v>800BNAVASC</x:v>
      </x:c>
      <x:c r="D137" s="7" t="n">
        <x:f>A11</x:f>
        <x:v>46327</x:v>
      </x:c>
      <x:c r="E137" s="8" t="n">
        <x:f>L11</x:f>
        <x:v>14137.71137577002</x:v>
      </x:c>
      <x:c r="F137" s="8" t="n">
        <x:f>M11</x:f>
        <x:v>0</x:v>
      </x:c>
      <x:c r="G137" s="8" t="n">
        <x:f>N11</x:f>
        <x:v>0</x:v>
      </x:c>
      <x:c r="H137" s="8" t="n">
        <x:f>SUMIFS('PO detail'!$U$2:$U$672,'PO detail'!$A$2:$A$672,B137,'PO detail'!$B$2:$B$672,C137,'PO detail'!$G$2:$G$672,"&gt;="&amp;D137,'PO detail'!$G$2:$G$672,"&lt;"&amp;A137)</x:f>
        <x:v>0</x:v>
      </x:c>
      <x:c r="I137" s="8" t="n">
        <x:f>SUMIFS('PO detail'!$V$2:$V$672,'PO detail'!$A$2:$A$672,B137,'PO detail'!$B$2:$B$672,C137,'PO detail'!$G$2:$G$672,"&gt;="&amp;D137,'PO detail'!$G$2:$G$672,"&lt;"&amp;A137)</x:f>
        <x:v>0</x:v>
      </x:c>
      <x:c r="J137" s="8" t="n">
        <x:f>SUMIFS('PO detail'!$W$2:$W$672,'PO detail'!$A$2:$A$672,B137,'PO detail'!$B$2:$B$672,C137,'PO detail'!$G$2:$G$672,"&gt;="&amp;D137,'PO detail'!$G$2:$G$672,"&lt;"&amp;A137)</x:f>
        <x:v>0</x:v>
      </x:c>
      <x:c r="K137" s="8" t="n">
        <x:f>'Current inventory'!E11*Summary!$D$6*(A137-D137)/30.4375</x:f>
        <x:v>8689.941683778234</x:v>
      </x:c>
      <x:c r="L137" s="8" t="n">
        <x:f>MAX(0,E137+H137-K137)</x:f>
        <x:v>5447.769691991787</x:v>
      </x:c>
      <x:c r="M137" s="8" t="n">
        <x:f>MAX(0,F137+I137-MAX(0,K137-E137-H137))</x:f>
        <x:v>0</x:v>
      </x:c>
      <x:c r="N137" s="8" t="n">
        <x:f>MAX(0,G137+J137-K137)</x:f>
        <x:v>0</x:v>
      </x:c>
      <x:c r="O137" s="8" t="n">
        <x:f>SUM(L137:N137)</x:f>
        <x:v>5447.769691991787</x:v>
      </x:c>
      <x:c r="P137" s="14" t="n">
        <x:f>'Current inventory'!V11</x:f>
        <x:v>0.1515</x:v>
      </x:c>
      <x:c r="Q137" s="14" t="n">
        <x:f>'Current inventory'!W11</x:f>
        <x:v>0.15834</x:v>
      </x:c>
      <x:c r="R137" s="10" t="n">
        <x:f>L137*P137</x:f>
        <x:v>825.3371083367557</x:v>
      </x:c>
      <x:c r="S137" s="10" t="n">
        <x:f>M137*P137</x:f>
        <x:v>0</x:v>
      </x:c>
      <x:c r="T137" s="10" t="n">
        <x:f>N137*P137</x:f>
        <x:v>0</x:v>
      </x:c>
      <x:c r="U137" s="10" t="n">
        <x:f>O137*P137</x:f>
        <x:v>825.3371083367557</x:v>
      </x:c>
      <x:c r="V137" s="10" t="n">
        <x:f>IF(ISNUMBER(Q137),O137*(Q137-P137),"n.a.")</x:f>
        <x:v>37.262744693223894</x:v>
      </x:c>
      <x:c r="W137" s="10" t="n">
        <x:f>IF(ISNUMBER(Q137),U137,0)</x:f>
        <x:v>825.3371083367557</x:v>
      </x:c>
      <x:c r="X137" s="8" t="n">
        <x:f>MAX(0,K137-SUM(E137:J137))</x:f>
        <x:v>0</x:v>
      </x:c>
      <x:c r="Y137" s="1" t="str">
        <x:f>IF(AND(O137&gt;0,NOT(ISNUMBER(Q137))),"No proposed replacement standard",IF(X137&gt;0,"Demand exceeds available stock",""))</x:f>
      </x:c>
      <x:c r="Z137" s="1" t="n">
        <x:f>IF(ISNUMBER(Q137),1,0)</x:f>
        <x:v>1</x:v>
      </x:c>
    </x:row>
    <x:row r="138" ht="21" customHeight="1">
      <x:c r="A138" s="17" t="n">
        <x:f>Summary!B16</x:f>
        <x:v>46357</x:v>
      </x:c>
      <x:c r="B138" s="1" t="str">
        <x:f>'Current inventory'!A12</x:f>
        <x:v>30</x:v>
      </x:c>
      <x:c r="C138" s="1" t="str">
        <x:f>'Current inventory'!B12</x:f>
        <x:v>800BBLKDSC</x:v>
      </x:c>
      <x:c r="D138" s="7" t="n">
        <x:f>A12</x:f>
        <x:v>46327</x:v>
      </x:c>
      <x:c r="E138" s="8" t="n">
        <x:f>L12</x:f>
        <x:v>0</x:v>
      </x:c>
      <x:c r="F138" s="8" t="n">
        <x:f>M12</x:f>
        <x:v>0</x:v>
      </x:c>
      <x:c r="G138" s="8" t="n">
        <x:f>N12</x:f>
        <x:v>0</x:v>
      </x:c>
      <x:c r="H138" s="8" t="n">
        <x:f>SUMIFS('PO detail'!$U$2:$U$672,'PO detail'!$A$2:$A$672,B138,'PO detail'!$B$2:$B$672,C138,'PO detail'!$G$2:$G$672,"&gt;="&amp;D138,'PO detail'!$G$2:$G$672,"&lt;"&amp;A138)</x:f>
        <x:v>0</x:v>
      </x:c>
      <x:c r="I138" s="8" t="n">
        <x:f>SUMIFS('PO detail'!$V$2:$V$672,'PO detail'!$A$2:$A$672,B138,'PO detail'!$B$2:$B$672,C138,'PO detail'!$G$2:$G$672,"&gt;="&amp;D138,'PO detail'!$G$2:$G$672,"&lt;"&amp;A138)</x:f>
        <x:v>0</x:v>
      </x:c>
      <x:c r="J138" s="8" t="n">
        <x:f>SUMIFS('PO detail'!$W$2:$W$672,'PO detail'!$A$2:$A$672,B138,'PO detail'!$B$2:$B$672,C138,'PO detail'!$G$2:$G$672,"&gt;="&amp;D138,'PO detail'!$G$2:$G$672,"&lt;"&amp;A138)</x:f>
        <x:v>0</x:v>
      </x:c>
      <x:c r="K138" s="8" t="n">
        <x:f>'Current inventory'!E12*Summary!$D$6*(A138-D138)/30.4375</x:f>
        <x:v>6234.086242299794</x:v>
      </x:c>
      <x:c r="L138" s="8" t="n">
        <x:f>MAX(0,E138+H138-K138)</x:f>
        <x:v>0</x:v>
      </x:c>
      <x:c r="M138" s="8" t="n">
        <x:f>MAX(0,F138+I138-MAX(0,K138-E138-H138))</x:f>
        <x:v>0</x:v>
      </x:c>
      <x:c r="N138" s="8" t="n">
        <x:f>MAX(0,G138+J138-K138)</x:f>
        <x:v>0</x:v>
      </x:c>
      <x:c r="O138" s="8" t="n">
        <x:f>SUM(L138:N138)</x:f>
        <x:v>0</x:v>
      </x:c>
      <x:c r="P138" s="14" t="n">
        <x:f>'Current inventory'!V12</x:f>
        <x:v>0.3332</x:v>
      </x:c>
      <x:c r="Q138" s="14" t="n">
        <x:f>'Current inventory'!W12</x:f>
        <x:v>0.34818</x:v>
      </x:c>
      <x:c r="R138" s="10" t="n">
        <x:f>L138*P138</x:f>
        <x:v>0</x:v>
      </x:c>
      <x:c r="S138" s="10" t="n">
        <x:f>M138*P138</x:f>
        <x:v>0</x:v>
      </x:c>
      <x:c r="T138" s="10" t="n">
        <x:f>N138*P138</x:f>
        <x:v>0</x:v>
      </x:c>
      <x:c r="U138" s="10" t="n">
        <x:f>O138*P138</x:f>
        <x:v>0</x:v>
      </x:c>
      <x:c r="V138" s="10" t="n">
        <x:f>IF(ISNUMBER(Q138),O138*(Q138-P138),"n.a.")</x:f>
        <x:v>0</x:v>
      </x:c>
      <x:c r="W138" s="10" t="n">
        <x:f>IF(ISNUMBER(Q138),U138,0)</x:f>
        <x:v>0</x:v>
      </x:c>
      <x:c r="X138" s="8" t="n">
        <x:f>MAX(0,K138-SUM(E138:J138))</x:f>
        <x:v>6234.086242299794</x:v>
      </x:c>
      <x:c r="Y138" s="1" t="str">
        <x:f>IF(AND(O138&gt;0,NOT(ISNUMBER(Q138))),"No proposed replacement standard",IF(X138&gt;0,"Demand exceeds available stock",""))</x:f>
        <x:v>Demand exceeds available stock</x:v>
      </x:c>
      <x:c r="Z138" s="1" t="n">
        <x:f>IF(ISNUMBER(Q138),1,0)</x:f>
        <x:v>1</x:v>
      </x:c>
    </x:row>
    <x:row r="139" ht="21" customHeight="1">
      <x:c r="A139" s="17" t="n">
        <x:f>Summary!B16</x:f>
        <x:v>46357</x:v>
      </x:c>
      <x:c r="B139" s="1" t="str">
        <x:f>'Current inventory'!A13</x:f>
        <x:v>60</x:v>
      </x:c>
      <x:c r="C139" s="1" t="str">
        <x:f>'Current inventory'!B13</x:f>
        <x:v>800BBLKCSC</x:v>
      </x:c>
      <x:c r="D139" s="7" t="n">
        <x:f>A13</x:f>
        <x:v>46327</x:v>
      </x:c>
      <x:c r="E139" s="8" t="n">
        <x:f>L13</x:f>
        <x:v>0</x:v>
      </x:c>
      <x:c r="F139" s="8" t="n">
        <x:f>M13</x:f>
        <x:v>0</x:v>
      </x:c>
      <x:c r="G139" s="8" t="n">
        <x:f>N13</x:f>
        <x:v>7307.392197125257</x:v>
      </x:c>
      <x:c r="H139" s="8" t="n">
        <x:f>SUMIFS('PO detail'!$U$2:$U$672,'PO detail'!$A$2:$A$672,B139,'PO detail'!$B$2:$B$672,C139,'PO detail'!$G$2:$G$672,"&gt;="&amp;D139,'PO detail'!$G$2:$G$672,"&lt;"&amp;A139)</x:f>
        <x:v>0</x:v>
      </x:c>
      <x:c r="I139" s="8" t="n">
        <x:f>SUMIFS('PO detail'!$V$2:$V$672,'PO detail'!$A$2:$A$672,B139,'PO detail'!$B$2:$B$672,C139,'PO detail'!$G$2:$G$672,"&gt;="&amp;D139,'PO detail'!$G$2:$G$672,"&lt;"&amp;A139)</x:f>
        <x:v>0</x:v>
      </x:c>
      <x:c r="J139" s="8" t="n">
        <x:f>SUMIFS('PO detail'!$W$2:$W$672,'PO detail'!$A$2:$A$672,B139,'PO detail'!$B$2:$B$672,C139,'PO detail'!$G$2:$G$672,"&gt;="&amp;D139,'PO detail'!$G$2:$G$672,"&lt;"&amp;A139)</x:f>
        <x:v>0</x:v>
      </x:c>
      <x:c r="K139" s="8" t="n">
        <x:f>'Current inventory'!E13*Summary!$D$6*(A139-D139)/30.4375</x:f>
        <x:v>4164.271047227926</x:v>
      </x:c>
      <x:c r="L139" s="8" t="n">
        <x:f>MAX(0,E139+H139-K139)</x:f>
        <x:v>0</x:v>
      </x:c>
      <x:c r="M139" s="8" t="n">
        <x:f>MAX(0,F139+I139-MAX(0,K139-E139-H139))</x:f>
        <x:v>0</x:v>
      </x:c>
      <x:c r="N139" s="8" t="n">
        <x:f>MAX(0,G139+J139-K139)</x:f>
        <x:v>3143.1211498973307</x:v>
      </x:c>
      <x:c r="O139" s="8" t="n">
        <x:f>SUM(L139:N139)</x:f>
        <x:v>3143.1211498973307</x:v>
      </x:c>
      <x:c r="P139" s="14" t="n">
        <x:f>'Current inventory'!V13</x:f>
        <x:v>0.1957</x:v>
      </x:c>
      <x:c r="Q139" s="14" t="str">
        <x:f>'Current inventory'!W13</x:f>
        <x:v>n.a.</x:v>
      </x:c>
      <x:c r="R139" s="10" t="n">
        <x:f>L139*P139</x:f>
        <x:v>0</x:v>
      </x:c>
      <x:c r="S139" s="10" t="n">
        <x:f>M139*P139</x:f>
        <x:v>0</x:v>
      </x:c>
      <x:c r="T139" s="10" t="n">
        <x:f>N139*P139</x:f>
        <x:v>615.1088090349076</x:v>
      </x:c>
      <x:c r="U139" s="10" t="n">
        <x:f>O139*P139</x:f>
        <x:v>615.1088090349076</x:v>
      </x:c>
      <x:c r="V139" s="10" t="str">
        <x:f>IF(ISNUMBER(Q139),O139*(Q139-P139),"n.a.")</x:f>
        <x:v>n.a.</x:v>
      </x:c>
      <x:c r="W139" s="10" t="n">
        <x:f>IF(ISNUMBER(Q139),U139,0)</x:f>
        <x:v>0</x:v>
      </x:c>
      <x:c r="X139" s="8" t="n">
        <x:f>MAX(0,K139-SUM(E139:J139))</x:f>
        <x:v>0</x:v>
      </x:c>
      <x:c r="Y139" s="1" t="str">
        <x:f>IF(AND(O139&gt;0,NOT(ISNUMBER(Q139))),"No proposed replacement standard",IF(X139&gt;0,"Demand exceeds available stock",""))</x:f>
        <x:v>No proposed replacement standard</x:v>
      </x:c>
      <x:c r="Z139" s="1" t="n">
        <x:f>IF(ISNUMBER(Q139),1,0)</x:f>
        <x:v>0</x:v>
      </x:c>
    </x:row>
    <x:row r="140" ht="21" customHeight="1">
      <x:c r="A140" s="17" t="n">
        <x:f>Summary!B16</x:f>
        <x:v>46357</x:v>
      </x:c>
      <x:c r="B140" s="1" t="str">
        <x:f>'Current inventory'!A14</x:f>
        <x:v>10</x:v>
      </x:c>
      <x:c r="C140" s="1" t="str">
        <x:f>'Current inventory'!B14</x:f>
        <x:v>800BBLKCSC</x:v>
      </x:c>
      <x:c r="D140" s="7" t="n">
        <x:f>A14</x:f>
        <x:v>46327</x:v>
      </x:c>
      <x:c r="E140" s="8" t="n">
        <x:f>L14</x:f>
        <x:v>0</x:v>
      </x:c>
      <x:c r="F140" s="8" t="n">
        <x:f>M14</x:f>
        <x:v>0</x:v>
      </x:c>
      <x:c r="G140" s="8" t="n">
        <x:f>N14</x:f>
        <x:v>0</x:v>
      </x:c>
      <x:c r="H140" s="8" t="n">
        <x:f>SUMIFS('PO detail'!$U$2:$U$672,'PO detail'!$A$2:$A$672,B140,'PO detail'!$B$2:$B$672,C140,'PO detail'!$G$2:$G$672,"&gt;="&amp;D140,'PO detail'!$G$2:$G$672,"&lt;"&amp;A140)</x:f>
        <x:v>0</x:v>
      </x:c>
      <x:c r="I140" s="8" t="n">
        <x:f>SUMIFS('PO detail'!$V$2:$V$672,'PO detail'!$A$2:$A$672,B140,'PO detail'!$B$2:$B$672,C140,'PO detail'!$G$2:$G$672,"&gt;="&amp;D140,'PO detail'!$G$2:$G$672,"&lt;"&amp;A140)</x:f>
        <x:v>0</x:v>
      </x:c>
      <x:c r="J140" s="8" t="n">
        <x:f>SUMIFS('PO detail'!$W$2:$W$672,'PO detail'!$A$2:$A$672,B140,'PO detail'!$B$2:$B$672,C140,'PO detail'!$G$2:$G$672,"&gt;="&amp;D140,'PO detail'!$G$2:$G$672,"&lt;"&amp;A140)</x:f>
        <x:v>0</x:v>
      </x:c>
      <x:c r="K140" s="8" t="n">
        <x:f>'Current inventory'!E14*Summary!$D$6*(A140-D140)/30.4375</x:f>
        <x:v>3753.6000000000004</x:v>
      </x:c>
      <x:c r="L140" s="8" t="n">
        <x:f>MAX(0,E140+H140-K140)</x:f>
        <x:v>0</x:v>
      </x:c>
      <x:c r="M140" s="8" t="n">
        <x:f>MAX(0,F140+I140-MAX(0,K140-E140-H140))</x:f>
        <x:v>0</x:v>
      </x:c>
      <x:c r="N140" s="8" t="n">
        <x:f>MAX(0,G140+J140-K140)</x:f>
        <x:v>0</x:v>
      </x:c>
      <x:c r="O140" s="8" t="n">
        <x:f>SUM(L140:N140)</x:f>
        <x:v>0</x:v>
      </x:c>
      <x:c r="P140" s="14" t="n">
        <x:f>'Current inventory'!V14</x:f>
        <x:v>0.1957</x:v>
      </x:c>
      <x:c r="Q140" s="14" t="str">
        <x:f>'Current inventory'!W14</x:f>
        <x:v>n.a.</x:v>
      </x:c>
      <x:c r="R140" s="10" t="n">
        <x:f>L140*P140</x:f>
        <x:v>0</x:v>
      </x:c>
      <x:c r="S140" s="10" t="n">
        <x:f>M140*P140</x:f>
        <x:v>0</x:v>
      </x:c>
      <x:c r="T140" s="10" t="n">
        <x:f>N140*P140</x:f>
        <x:v>0</x:v>
      </x:c>
      <x:c r="U140" s="10" t="n">
        <x:f>O140*P140</x:f>
        <x:v>0</x:v>
      </x:c>
      <x:c r="V140" s="10" t="str">
        <x:f>IF(ISNUMBER(Q140),O140*(Q140-P140),"n.a.")</x:f>
        <x:v>n.a.</x:v>
      </x:c>
      <x:c r="W140" s="10" t="n">
        <x:f>IF(ISNUMBER(Q140),U140,0)</x:f>
        <x:v>0</x:v>
      </x:c>
      <x:c r="X140" s="8" t="n">
        <x:f>MAX(0,K140-SUM(E140:J140))</x:f>
        <x:v>3753.6000000000004</x:v>
      </x:c>
      <x:c r="Y140" s="1" t="str">
        <x:f>IF(AND(O140&gt;0,NOT(ISNUMBER(Q140))),"No proposed replacement standard",IF(X140&gt;0,"Demand exceeds available stock",""))</x:f>
        <x:v>Demand exceeds available stock</x:v>
      </x:c>
      <x:c r="Z140" s="1" t="n">
        <x:f>IF(ISNUMBER(Q140),1,0)</x:f>
        <x:v>0</x:v>
      </x:c>
    </x:row>
    <x:row r="141" ht="21" customHeight="1">
      <x:c r="A141" s="17" t="n">
        <x:f>Summary!B16</x:f>
        <x:v>46357</x:v>
      </x:c>
      <x:c r="B141" s="1" t="str">
        <x:f>'Current inventory'!A15</x:f>
        <x:v>10</x:v>
      </x:c>
      <x:c r="C141" s="1" t="str">
        <x:f>'Current inventory'!B15</x:f>
        <x:v>800BNAVBRC</x:v>
      </x:c>
      <x:c r="D141" s="7" t="n">
        <x:f>A15</x:f>
        <x:v>46327</x:v>
      </x:c>
      <x:c r="E141" s="8" t="n">
        <x:f>L15</x:f>
        <x:v>0</x:v>
      </x:c>
      <x:c r="F141" s="8" t="n">
        <x:f>M15</x:f>
        <x:v>0</x:v>
      </x:c>
      <x:c r="G141" s="8" t="n">
        <x:f>N15</x:f>
        <x:v>0</x:v>
      </x:c>
      <x:c r="H141" s="8" t="n">
        <x:f>SUMIFS('PO detail'!$U$2:$U$672,'PO detail'!$A$2:$A$672,B141,'PO detail'!$B$2:$B$672,C141,'PO detail'!$G$2:$G$672,"&gt;="&amp;D141,'PO detail'!$G$2:$G$672,"&lt;"&amp;A141)</x:f>
        <x:v>0</x:v>
      </x:c>
      <x:c r="I141" s="8" t="n">
        <x:f>SUMIFS('PO detail'!$V$2:$V$672,'PO detail'!$A$2:$A$672,B141,'PO detail'!$B$2:$B$672,C141,'PO detail'!$G$2:$G$672,"&gt;="&amp;D141,'PO detail'!$G$2:$G$672,"&lt;"&amp;A141)</x:f>
        <x:v>0</x:v>
      </x:c>
      <x:c r="J141" s="8" t="n">
        <x:f>SUMIFS('PO detail'!$W$2:$W$672,'PO detail'!$A$2:$A$672,B141,'PO detail'!$B$2:$B$672,C141,'PO detail'!$G$2:$G$672,"&gt;="&amp;D141,'PO detail'!$G$2:$G$672,"&lt;"&amp;A141)</x:f>
        <x:v>0</x:v>
      </x:c>
      <x:c r="K141" s="8" t="n">
        <x:f>'Current inventory'!E15*Summary!$D$6*(A141-D141)/30.4375</x:f>
        <x:v>3548.2546201232035</x:v>
      </x:c>
      <x:c r="L141" s="8" t="n">
        <x:f>MAX(0,E141+H141-K141)</x:f>
        <x:v>0</x:v>
      </x:c>
      <x:c r="M141" s="8" t="n">
        <x:f>MAX(0,F141+I141-MAX(0,K141-E141-H141))</x:f>
        <x:v>0</x:v>
      </x:c>
      <x:c r="N141" s="8" t="n">
        <x:f>MAX(0,G141+J141-K141)</x:f>
        <x:v>0</x:v>
      </x:c>
      <x:c r="O141" s="8" t="n">
        <x:f>SUM(L141:N141)</x:f>
        <x:v>0</x:v>
      </x:c>
      <x:c r="P141" s="14" t="n">
        <x:f>'Current inventory'!V15</x:f>
        <x:v>0.17370000000000002</x:v>
      </x:c>
      <x:c r="Q141" s="14" t="str">
        <x:f>'Current inventory'!W15</x:f>
        <x:v>n.a.</x:v>
      </x:c>
      <x:c r="R141" s="10" t="n">
        <x:f>L141*P141</x:f>
        <x:v>0</x:v>
      </x:c>
      <x:c r="S141" s="10" t="n">
        <x:f>M141*P141</x:f>
        <x:v>0</x:v>
      </x:c>
      <x:c r="T141" s="10" t="n">
        <x:f>N141*P141</x:f>
        <x:v>0</x:v>
      </x:c>
      <x:c r="U141" s="10" t="n">
        <x:f>O141*P141</x:f>
        <x:v>0</x:v>
      </x:c>
      <x:c r="V141" s="10" t="str">
        <x:f>IF(ISNUMBER(Q141),O141*(Q141-P141),"n.a.")</x:f>
        <x:v>n.a.</x:v>
      </x:c>
      <x:c r="W141" s="10" t="n">
        <x:f>IF(ISNUMBER(Q141),U141,0)</x:f>
        <x:v>0</x:v>
      </x:c>
      <x:c r="X141" s="8" t="n">
        <x:f>MAX(0,K141-SUM(E141:J141))</x:f>
        <x:v>3548.2546201232035</x:v>
      </x:c>
      <x:c r="Y141" s="1" t="str">
        <x:f>IF(AND(O141&gt;0,NOT(ISNUMBER(Q141))),"No proposed replacement standard",IF(X141&gt;0,"Demand exceeds available stock",""))</x:f>
        <x:v>Demand exceeds available stock</x:v>
      </x:c>
      <x:c r="Z141" s="1" t="n">
        <x:f>IF(ISNUMBER(Q141),1,0)</x:f>
        <x:v>0</x:v>
      </x:c>
    </x:row>
    <x:row r="142" ht="21" customHeight="1">
      <x:c r="A142" s="17" t="n">
        <x:f>Summary!B16</x:f>
        <x:v>46357</x:v>
      </x:c>
      <x:c r="B142" s="1" t="str">
        <x:f>'Current inventory'!A16</x:f>
        <x:v>10</x:v>
      </x:c>
      <x:c r="C142" s="1" t="str">
        <x:f>'Current inventory'!B16</x:f>
        <x:v>800BMARASC</x:v>
      </x:c>
      <x:c r="D142" s="7" t="n">
        <x:f>A16</x:f>
        <x:v>46327</x:v>
      </x:c>
      <x:c r="E142" s="8" t="n">
        <x:f>L16</x:f>
        <x:v>29517.45379876797</x:v>
      </x:c>
      <x:c r="F142" s="8" t="n">
        <x:f>M16</x:f>
        <x:v>0</x:v>
      </x:c>
      <x:c r="G142" s="8" t="n">
        <x:f>N16</x:f>
        <x:v>0</x:v>
      </x:c>
      <x:c r="H142" s="8" t="n">
        <x:f>SUMIFS('PO detail'!$U$2:$U$672,'PO detail'!$A$2:$A$672,B142,'PO detail'!$B$2:$B$672,C142,'PO detail'!$G$2:$G$672,"&gt;="&amp;D142,'PO detail'!$G$2:$G$672,"&lt;"&amp;A142)</x:f>
        <x:v>0</x:v>
      </x:c>
      <x:c r="I142" s="8" t="n">
        <x:f>SUMIFS('PO detail'!$V$2:$V$672,'PO detail'!$A$2:$A$672,B142,'PO detail'!$B$2:$B$672,C142,'PO detail'!$G$2:$G$672,"&gt;="&amp;D142,'PO detail'!$G$2:$G$672,"&lt;"&amp;A142)</x:f>
        <x:v>0</x:v>
      </x:c>
      <x:c r="J142" s="8" t="n">
        <x:f>SUMIFS('PO detail'!$W$2:$W$672,'PO detail'!$A$2:$A$672,B142,'PO detail'!$B$2:$B$672,C142,'PO detail'!$G$2:$G$672,"&gt;="&amp;D142,'PO detail'!$G$2:$G$672,"&lt;"&amp;A142)</x:f>
        <x:v>0</x:v>
      </x:c>
      <x:c r="K142" s="8" t="n">
        <x:f>'Current inventory'!E16*Summary!$D$6*(A142-D142)/30.4375</x:f>
        <x:v>3498.9733059548253</x:v>
      </x:c>
      <x:c r="L142" s="8" t="n">
        <x:f>MAX(0,E142+H142-K142)</x:f>
        <x:v>26018.48049281314</x:v>
      </x:c>
      <x:c r="M142" s="8" t="n">
        <x:f>MAX(0,F142+I142-MAX(0,K142-E142-H142))</x:f>
        <x:v>0</x:v>
      </x:c>
      <x:c r="N142" s="8" t="n">
        <x:f>MAX(0,G142+J142-K142)</x:f>
        <x:v>0</x:v>
      </x:c>
      <x:c r="O142" s="8" t="n">
        <x:f>SUM(L142:N142)</x:f>
        <x:v>26018.48049281314</x:v>
      </x:c>
      <x:c r="P142" s="14" t="n">
        <x:f>'Current inventory'!V16</x:f>
        <x:v>0.1598</x:v>
      </x:c>
      <x:c r="Q142" s="14" t="n">
        <x:f>'Current inventory'!W16</x:f>
        <x:v>0.16695000000000002</x:v>
      </x:c>
      <x:c r="R142" s="10" t="n">
        <x:f>L142*P142</x:f>
        <x:v>4157.75318275154</x:v>
      </x:c>
      <x:c r="S142" s="10" t="n">
        <x:f>M142*P142</x:f>
        <x:v>0</x:v>
      </x:c>
      <x:c r="T142" s="10" t="n">
        <x:f>N142*P142</x:f>
        <x:v>0</x:v>
      </x:c>
      <x:c r="U142" s="10" t="n">
        <x:f>O142*P142</x:f>
        <x:v>4157.75318275154</x:v>
      </x:c>
      <x:c r="V142" s="10" t="n">
        <x:f>IF(ISNUMBER(Q142),O142*(Q142-P142),"n.a.")</x:f>
        <x:v>186.03213552361441</x:v>
      </x:c>
      <x:c r="W142" s="10" t="n">
        <x:f>IF(ISNUMBER(Q142),U142,0)</x:f>
        <x:v>4157.75318275154</x:v>
      </x:c>
      <x:c r="X142" s="8" t="n">
        <x:f>MAX(0,K142-SUM(E142:J142))</x:f>
        <x:v>0</x:v>
      </x:c>
      <x:c r="Y142" s="1" t="str">
        <x:f>IF(AND(O142&gt;0,NOT(ISNUMBER(Q142))),"No proposed replacement standard",IF(X142&gt;0,"Demand exceeds available stock",""))</x:f>
      </x:c>
      <x:c r="Z142" s="1" t="n">
        <x:f>IF(ISNUMBER(Q142),1,0)</x:f>
        <x:v>1</x:v>
      </x:c>
    </x:row>
    <x:row r="143" ht="21" customHeight="1">
      <x:c r="A143" s="17" t="n">
        <x:f>Summary!B16</x:f>
        <x:v>46357</x:v>
      </x:c>
      <x:c r="B143" s="1" t="str">
        <x:f>'Current inventory'!A17</x:f>
        <x:v>60</x:v>
      </x:c>
      <x:c r="C143" s="1" t="str">
        <x:f>'Current inventory'!B17</x:f>
        <x:v>800BNAVISC</x:v>
      </x:c>
      <x:c r="D143" s="7" t="n">
        <x:f>A17</x:f>
        <x:v>46327</x:v>
      </x:c>
      <x:c r="E143" s="8" t="n">
        <x:f>L17</x:f>
        <x:v>0</x:v>
      </x:c>
      <x:c r="F143" s="8" t="n">
        <x:f>M17</x:f>
        <x:v>0</x:v>
      </x:c>
      <x:c r="G143" s="8" t="n">
        <x:f>N17</x:f>
        <x:v>3944.898234086242</x:v>
      </x:c>
      <x:c r="H143" s="8" t="n">
        <x:f>SUMIFS('PO detail'!$U$2:$U$672,'PO detail'!$A$2:$A$672,B143,'PO detail'!$B$2:$B$672,C143,'PO detail'!$G$2:$G$672,"&gt;="&amp;D143,'PO detail'!$G$2:$G$672,"&lt;"&amp;A143)</x:f>
        <x:v>0</x:v>
      </x:c>
      <x:c r="I143" s="8" t="n">
        <x:f>SUMIFS('PO detail'!$V$2:$V$672,'PO detail'!$A$2:$A$672,B143,'PO detail'!$B$2:$B$672,C143,'PO detail'!$G$2:$G$672,"&gt;="&amp;D143,'PO detail'!$G$2:$G$672,"&lt;"&amp;A143)</x:f>
        <x:v>0</x:v>
      </x:c>
      <x:c r="J143" s="8" t="n">
        <x:f>SUMIFS('PO detail'!$W$2:$W$672,'PO detail'!$A$2:$A$672,B143,'PO detail'!$B$2:$B$672,C143,'PO detail'!$G$2:$G$672,"&gt;="&amp;D143,'PO detail'!$G$2:$G$672,"&lt;"&amp;A143)</x:f>
        <x:v>0</x:v>
      </x:c>
      <x:c r="K143" s="8" t="n">
        <x:f>'Current inventory'!E17*Summary!$D$6*(A143-D143)/30.4375</x:f>
        <x:v>3071.8718685831623</x:v>
      </x:c>
      <x:c r="L143" s="8" t="n">
        <x:f>MAX(0,E143+H143-K143)</x:f>
        <x:v>0</x:v>
      </x:c>
      <x:c r="M143" s="8" t="n">
        <x:f>MAX(0,F143+I143-MAX(0,K143-E143-H143))</x:f>
        <x:v>0</x:v>
      </x:c>
      <x:c r="N143" s="8" t="n">
        <x:f>MAX(0,G143+J143-K143)</x:f>
        <x:v>873.0263655030799</x:v>
      </x:c>
      <x:c r="O143" s="8" t="n">
        <x:f>SUM(L143:N143)</x:f>
        <x:v>873.0263655030799</x:v>
      </x:c>
      <x:c r="P143" s="14" t="n">
        <x:f>'Current inventory'!V17</x:f>
        <x:v>0.16870000000000002</x:v>
      </x:c>
      <x:c r="Q143" s="14" t="str">
        <x:f>'Current inventory'!W17</x:f>
        <x:v>n.a.</x:v>
      </x:c>
      <x:c r="R143" s="10" t="n">
        <x:f>L143*P143</x:f>
        <x:v>0</x:v>
      </x:c>
      <x:c r="S143" s="10" t="n">
        <x:f>M143*P143</x:f>
        <x:v>0</x:v>
      </x:c>
      <x:c r="T143" s="10" t="n">
        <x:f>N143*P143</x:f>
        <x:v>147.2795478603696</x:v>
      </x:c>
      <x:c r="U143" s="10" t="n">
        <x:f>O143*P143</x:f>
        <x:v>147.2795478603696</x:v>
      </x:c>
      <x:c r="V143" s="10" t="str">
        <x:f>IF(ISNUMBER(Q143),O143*(Q143-P143),"n.a.")</x:f>
        <x:v>n.a.</x:v>
      </x:c>
      <x:c r="W143" s="10" t="n">
        <x:f>IF(ISNUMBER(Q143),U143,0)</x:f>
        <x:v>0</x:v>
      </x:c>
      <x:c r="X143" s="8" t="n">
        <x:f>MAX(0,K143-SUM(E143:J143))</x:f>
        <x:v>0</x:v>
      </x:c>
      <x:c r="Y143" s="1" t="str">
        <x:f>IF(AND(O143&gt;0,NOT(ISNUMBER(Q143))),"No proposed replacement standard",IF(X143&gt;0,"Demand exceeds available stock",""))</x:f>
        <x:v>No proposed replacement standard</x:v>
      </x:c>
      <x:c r="Z143" s="1" t="n">
        <x:f>IF(ISNUMBER(Q143),1,0)</x:f>
        <x:v>0</x:v>
      </x:c>
    </x:row>
    <x:row r="144" ht="21" customHeight="1">
      <x:c r="A144" s="17" t="n">
        <x:f>Summary!B16</x:f>
        <x:v>46357</x:v>
      </x:c>
      <x:c r="B144" s="1" t="str">
        <x:f>'Current inventory'!A18</x:f>
        <x:v>10</x:v>
      </x:c>
      <x:c r="C144" s="1" t="str">
        <x:f>'Current inventory'!B18</x:f>
        <x:v>800BNAVISC</x:v>
      </x:c>
      <x:c r="D144" s="7" t="n">
        <x:f>A18</x:f>
        <x:v>46327</x:v>
      </x:c>
      <x:c r="E144" s="8" t="n">
        <x:f>L18</x:f>
        <x:v>0</x:v>
      </x:c>
      <x:c r="F144" s="8" t="n">
        <x:f>M18</x:f>
        <x:v>0</x:v>
      </x:c>
      <x:c r="G144" s="8" t="n">
        <x:f>N18</x:f>
        <x:v>0</x:v>
      </x:c>
      <x:c r="H144" s="8" t="n">
        <x:f>SUMIFS('PO detail'!$U$2:$U$672,'PO detail'!$A$2:$A$672,B144,'PO detail'!$B$2:$B$672,C144,'PO detail'!$G$2:$G$672,"&gt;="&amp;D144,'PO detail'!$G$2:$G$672,"&lt;"&amp;A144)</x:f>
        <x:v>0</x:v>
      </x:c>
      <x:c r="I144" s="8" t="n">
        <x:f>SUMIFS('PO detail'!$V$2:$V$672,'PO detail'!$A$2:$A$672,B144,'PO detail'!$B$2:$B$672,C144,'PO detail'!$G$2:$G$672,"&gt;="&amp;D144,'PO detail'!$G$2:$G$672,"&lt;"&amp;A144)</x:f>
        <x:v>0</x:v>
      </x:c>
      <x:c r="J144" s="8" t="n">
        <x:f>SUMIFS('PO detail'!$W$2:$W$672,'PO detail'!$A$2:$A$672,B144,'PO detail'!$B$2:$B$672,C144,'PO detail'!$G$2:$G$672,"&gt;="&amp;D144,'PO detail'!$G$2:$G$672,"&lt;"&amp;A144)</x:f>
        <x:v>0</x:v>
      </x:c>
      <x:c r="K144" s="8" t="n">
        <x:f>'Current inventory'!E18*Summary!$D$6*(A144-D144)/30.4375</x:f>
        <x:v>3022.5905544147845</x:v>
      </x:c>
      <x:c r="L144" s="8" t="n">
        <x:f>MAX(0,E144+H144-K144)</x:f>
        <x:v>0</x:v>
      </x:c>
      <x:c r="M144" s="8" t="n">
        <x:f>MAX(0,F144+I144-MAX(0,K144-E144-H144))</x:f>
        <x:v>0</x:v>
      </x:c>
      <x:c r="N144" s="8" t="n">
        <x:f>MAX(0,G144+J144-K144)</x:f>
        <x:v>0</x:v>
      </x:c>
      <x:c r="O144" s="8" t="n">
        <x:f>SUM(L144:N144)</x:f>
        <x:v>0</x:v>
      </x:c>
      <x:c r="P144" s="14" t="n">
        <x:f>'Current inventory'!V18</x:f>
        <x:v>0.16870000000000002</x:v>
      </x:c>
      <x:c r="Q144" s="14" t="str">
        <x:f>'Current inventory'!W18</x:f>
        <x:v>n.a.</x:v>
      </x:c>
      <x:c r="R144" s="10" t="n">
        <x:f>L144*P144</x:f>
        <x:v>0</x:v>
      </x:c>
      <x:c r="S144" s="10" t="n">
        <x:f>M144*P144</x:f>
        <x:v>0</x:v>
      </x:c>
      <x:c r="T144" s="10" t="n">
        <x:f>N144*P144</x:f>
        <x:v>0</x:v>
      </x:c>
      <x:c r="U144" s="10" t="n">
        <x:f>O144*P144</x:f>
        <x:v>0</x:v>
      </x:c>
      <x:c r="V144" s="10" t="str">
        <x:f>IF(ISNUMBER(Q144),O144*(Q144-P144),"n.a.")</x:f>
        <x:v>n.a.</x:v>
      </x:c>
      <x:c r="W144" s="10" t="n">
        <x:f>IF(ISNUMBER(Q144),U144,0)</x:f>
        <x:v>0</x:v>
      </x:c>
      <x:c r="X144" s="8" t="n">
        <x:f>MAX(0,K144-SUM(E144:J144))</x:f>
        <x:v>3022.5905544147845</x:v>
      </x:c>
      <x:c r="Y144" s="1" t="str">
        <x:f>IF(AND(O144&gt;0,NOT(ISNUMBER(Q144))),"No proposed replacement standard",IF(X144&gt;0,"Demand exceeds available stock",""))</x:f>
        <x:v>Demand exceeds available stock</x:v>
      </x:c>
      <x:c r="Z144" s="1" t="n">
        <x:f>IF(ISNUMBER(Q144),1,0)</x:f>
        <x:v>0</x:v>
      </x:c>
    </x:row>
    <x:row r="145" ht="21" customHeight="1">
      <x:c r="A145" s="17" t="n">
        <x:f>Summary!B16</x:f>
        <x:v>46357</x:v>
      </x:c>
      <x:c r="B145" s="1" t="str">
        <x:f>'Current inventory'!A19</x:f>
        <x:v>60</x:v>
      </x:c>
      <x:c r="C145" s="1" t="str">
        <x:f>'Current inventory'!B19</x:f>
        <x:v>800BMARASC</x:v>
      </x:c>
      <x:c r="D145" s="7" t="n">
        <x:f>A19</x:f>
        <x:v>46327</x:v>
      </x:c>
      <x:c r="E145" s="8" t="n">
        <x:f>L19</x:f>
        <x:v>3540.1120328542097</x:v>
      </x:c>
      <x:c r="F145" s="8" t="n">
        <x:f>M19</x:f>
        <x:v>0</x:v>
      </x:c>
      <x:c r="G145" s="8" t="n">
        <x:f>N19</x:f>
        <x:v>0</x:v>
      </x:c>
      <x:c r="H145" s="8" t="n">
        <x:f>SUMIFS('PO detail'!$U$2:$U$672,'PO detail'!$A$2:$A$672,B145,'PO detail'!$B$2:$B$672,C145,'PO detail'!$G$2:$G$672,"&gt;="&amp;D145,'PO detail'!$G$2:$G$672,"&lt;"&amp;A145)</x:f>
        <x:v>0</x:v>
      </x:c>
      <x:c r="I145" s="8" t="n">
        <x:f>SUMIFS('PO detail'!$V$2:$V$672,'PO detail'!$A$2:$A$672,B145,'PO detail'!$B$2:$B$672,C145,'PO detail'!$G$2:$G$672,"&gt;="&amp;D145,'PO detail'!$G$2:$G$672,"&lt;"&amp;A145)</x:f>
        <x:v>0</x:v>
      </x:c>
      <x:c r="J145" s="8" t="n">
        <x:f>SUMIFS('PO detail'!$W$2:$W$672,'PO detail'!$A$2:$A$672,B145,'PO detail'!$B$2:$B$672,C145,'PO detail'!$G$2:$G$672,"&gt;="&amp;D145,'PO detail'!$G$2:$G$672,"&lt;"&amp;A145)</x:f>
        <x:v>0</x:v>
      </x:c>
      <x:c r="K145" s="8" t="n">
        <x:f>'Current inventory'!E19*Summary!$D$6*(A145-D145)/30.4375</x:f>
        <x:v>2817.2451745379876</x:v>
      </x:c>
      <x:c r="L145" s="8" t="n">
        <x:f>MAX(0,E145+H145-K145)</x:f>
        <x:v>722.8668583162221</x:v>
      </x:c>
      <x:c r="M145" s="8" t="n">
        <x:f>MAX(0,F145+I145-MAX(0,K145-E145-H145))</x:f>
        <x:v>0</x:v>
      </x:c>
      <x:c r="N145" s="8" t="n">
        <x:f>MAX(0,G145+J145-K145)</x:f>
        <x:v>0</x:v>
      </x:c>
      <x:c r="O145" s="8" t="n">
        <x:f>SUM(L145:N145)</x:f>
        <x:v>722.8668583162221</x:v>
      </x:c>
      <x:c r="P145" s="14" t="n">
        <x:f>'Current inventory'!V19</x:f>
        <x:v>0.1598</x:v>
      </x:c>
      <x:c r="Q145" s="14" t="n">
        <x:f>'Current inventory'!W19</x:f>
        <x:v>0.16695000000000002</x:v>
      </x:c>
      <x:c r="R145" s="10" t="n">
        <x:f>L145*P145</x:f>
        <x:v>115.51412395893229</x:v>
      </x:c>
      <x:c r="S145" s="10" t="n">
        <x:f>M145*P145</x:f>
        <x:v>0</x:v>
      </x:c>
      <x:c r="T145" s="10" t="n">
        <x:f>N145*P145</x:f>
        <x:v>0</x:v>
      </x:c>
      <x:c r="U145" s="10" t="n">
        <x:f>O145*P145</x:f>
        <x:v>115.51412395893229</x:v>
      </x:c>
      <x:c r="V145" s="10" t="n">
        <x:f>IF(ISNUMBER(Q145),O145*(Q145-P145),"n.a.")</x:f>
        <x:v>5.168498036961</x:v>
      </x:c>
      <x:c r="W145" s="10" t="n">
        <x:f>IF(ISNUMBER(Q145),U145,0)</x:f>
        <x:v>115.51412395893229</x:v>
      </x:c>
      <x:c r="X145" s="8" t="n">
        <x:f>MAX(0,K145-SUM(E145:J145))</x:f>
        <x:v>0</x:v>
      </x:c>
      <x:c r="Y145" s="1" t="str">
        <x:f>IF(AND(O145&gt;0,NOT(ISNUMBER(Q145))),"No proposed replacement standard",IF(X145&gt;0,"Demand exceeds available stock",""))</x:f>
      </x:c>
      <x:c r="Z145" s="1" t="n">
        <x:f>IF(ISNUMBER(Q145),1,0)</x:f>
        <x:v>1</x:v>
      </x:c>
    </x:row>
    <x:row r="146" ht="21" customHeight="1">
      <x:c r="A146" s="17" t="n">
        <x:f>Summary!B16</x:f>
        <x:v>46357</x:v>
      </x:c>
      <x:c r="B146" s="1" t="str">
        <x:f>'Current inventory'!A20</x:f>
        <x:v>30</x:v>
      </x:c>
      <x:c r="C146" s="1" t="str">
        <x:f>'Current inventory'!B20</x:f>
        <x:v>800BBLKISC</x:v>
      </x:c>
      <x:c r="D146" s="7" t="n">
        <x:f>A20</x:f>
        <x:v>46327</x:v>
      </x:c>
      <x:c r="E146" s="8" t="n">
        <x:f>L20</x:f>
        <x:v>39416.427104722796</x:v>
      </x:c>
      <x:c r="F146" s="8" t="n">
        <x:f>M20</x:f>
        <x:v>0</x:v>
      </x:c>
      <x:c r="G146" s="8" t="n">
        <x:f>N20</x:f>
        <x:v>0</x:v>
      </x:c>
      <x:c r="H146" s="8" t="n">
        <x:f>SUMIFS('PO detail'!$U$2:$U$672,'PO detail'!$A$2:$A$672,B146,'PO detail'!$B$2:$B$672,C146,'PO detail'!$G$2:$G$672,"&gt;="&amp;D146,'PO detail'!$G$2:$G$672,"&lt;"&amp;A146)</x:f>
        <x:v>0</x:v>
      </x:c>
      <x:c r="I146" s="8" t="n">
        <x:f>SUMIFS('PO detail'!$V$2:$V$672,'PO detail'!$A$2:$A$672,B146,'PO detail'!$B$2:$B$672,C146,'PO detail'!$G$2:$G$672,"&gt;="&amp;D146,'PO detail'!$G$2:$G$672,"&lt;"&amp;A146)</x:f>
        <x:v>0</x:v>
      </x:c>
      <x:c r="J146" s="8" t="n">
        <x:f>SUMIFS('PO detail'!$W$2:$W$672,'PO detail'!$A$2:$A$672,B146,'PO detail'!$B$2:$B$672,C146,'PO detail'!$G$2:$G$672,"&gt;="&amp;D146,'PO detail'!$G$2:$G$672,"&lt;"&amp;A146)</x:f>
        <x:v>0</x:v>
      </x:c>
      <x:c r="K146" s="8" t="n">
        <x:f>'Current inventory'!E20*Summary!$D$6*(A146-D146)/30.4375</x:f>
        <x:v>2587.2689938398357</x:v>
      </x:c>
      <x:c r="L146" s="8" t="n">
        <x:f>MAX(0,E146+H146-K146)</x:f>
        <x:v>36829.15811088296</x:v>
      </x:c>
      <x:c r="M146" s="8" t="n">
        <x:f>MAX(0,F146+I146-MAX(0,K146-E146-H146))</x:f>
        <x:v>0</x:v>
      </x:c>
      <x:c r="N146" s="8" t="n">
        <x:f>MAX(0,G146+J146-K146)</x:f>
        <x:v>0</x:v>
      </x:c>
      <x:c r="O146" s="8" t="n">
        <x:f>SUM(L146:N146)</x:f>
        <x:v>36829.15811088296</x:v>
      </x:c>
      <x:c r="P146" s="14" t="n">
        <x:f>'Current inventory'!V20</x:f>
        <x:v>0.1612</x:v>
      </x:c>
      <x:c r="Q146" s="14" t="n">
        <x:f>'Current inventory'!W20</x:f>
        <x:v>0.16842</x:v>
      </x:c>
      <x:c r="R146" s="10" t="n">
        <x:f>L146*P146</x:f>
        <x:v>5936.860287474334</x:v>
      </x:c>
      <x:c r="S146" s="10" t="n">
        <x:f>M146*P146</x:f>
        <x:v>0</x:v>
      </x:c>
      <x:c r="T146" s="10" t="n">
        <x:f>N146*P146</x:f>
        <x:v>0</x:v>
      </x:c>
      <x:c r="U146" s="10" t="n">
        <x:f>O146*P146</x:f>
        <x:v>5936.860287474334</x:v>
      </x:c>
      <x:c r="V146" s="10" t="n">
        <x:f>IF(ISNUMBER(Q146),O146*(Q146-P146),"n.a.")</x:f>
        <x:v>265.9065215605741</x:v>
      </x:c>
      <x:c r="W146" s="10" t="n">
        <x:f>IF(ISNUMBER(Q146),U146,0)</x:f>
        <x:v>5936.860287474334</x:v>
      </x:c>
      <x:c r="X146" s="8" t="n">
        <x:f>MAX(0,K146-SUM(E146:J146))</x:f>
        <x:v>0</x:v>
      </x:c>
      <x:c r="Y146" s="1" t="str">
        <x:f>IF(AND(O146&gt;0,NOT(ISNUMBER(Q146))),"No proposed replacement standard",IF(X146&gt;0,"Demand exceeds available stock",""))</x:f>
      </x:c>
      <x:c r="Z146" s="1" t="n">
        <x:f>IF(ISNUMBER(Q146),1,0)</x:f>
        <x:v>1</x:v>
      </x:c>
    </x:row>
    <x:row r="147" ht="21" customHeight="1">
      <x:c r="A147" s="17" t="n">
        <x:f>Summary!B16</x:f>
        <x:v>46357</x:v>
      </x:c>
      <x:c r="B147" s="1" t="str">
        <x:f>'Current inventory'!A21</x:f>
        <x:v>10</x:v>
      </x:c>
      <x:c r="C147" s="1" t="str">
        <x:f>'Current inventory'!B21</x:f>
        <x:v>800BBLKBRC</x:v>
      </x:c>
      <x:c r="D147" s="7" t="n">
        <x:f>A21</x:f>
        <x:v>46327</x:v>
      </x:c>
      <x:c r="E147" s="8" t="n">
        <x:f>L21</x:f>
        <x:v>0</x:v>
      </x:c>
      <x:c r="F147" s="8" t="n">
        <x:f>M21</x:f>
        <x:v>0</x:v>
      </x:c>
      <x:c r="G147" s="8" t="n">
        <x:f>N21</x:f>
        <x:v>0</x:v>
      </x:c>
      <x:c r="H147" s="8" t="n">
        <x:f>SUMIFS('PO detail'!$U$2:$U$672,'PO detail'!$A$2:$A$672,B147,'PO detail'!$B$2:$B$672,C147,'PO detail'!$G$2:$G$672,"&gt;="&amp;D147,'PO detail'!$G$2:$G$672,"&lt;"&amp;A147)</x:f>
        <x:v>0</x:v>
      </x:c>
      <x:c r="I147" s="8" t="n">
        <x:f>SUMIFS('PO detail'!$V$2:$V$672,'PO detail'!$A$2:$A$672,B147,'PO detail'!$B$2:$B$672,C147,'PO detail'!$G$2:$G$672,"&gt;="&amp;D147,'PO detail'!$G$2:$G$672,"&lt;"&amp;A147)</x:f>
        <x:v>0</x:v>
      </x:c>
      <x:c r="J147" s="8" t="n">
        <x:f>SUMIFS('PO detail'!$W$2:$W$672,'PO detail'!$A$2:$A$672,B147,'PO detail'!$B$2:$B$672,C147,'PO detail'!$G$2:$G$672,"&gt;="&amp;D147,'PO detail'!$G$2:$G$672,"&lt;"&amp;A147)</x:f>
        <x:v>0</x:v>
      </x:c>
      <x:c r="K147" s="8" t="n">
        <x:f>'Current inventory'!E21*Summary!$D$6*(A147-D147)/30.4375</x:f>
        <x:v>2406.5741273100616</x:v>
      </x:c>
      <x:c r="L147" s="8" t="n">
        <x:f>MAX(0,E147+H147-K147)</x:f>
        <x:v>0</x:v>
      </x:c>
      <x:c r="M147" s="8" t="n">
        <x:f>MAX(0,F147+I147-MAX(0,K147-E147-H147))</x:f>
        <x:v>0</x:v>
      </x:c>
      <x:c r="N147" s="8" t="n">
        <x:f>MAX(0,G147+J147-K147)</x:f>
        <x:v>0</x:v>
      </x:c>
      <x:c r="O147" s="8" t="n">
        <x:f>SUM(L147:N147)</x:f>
        <x:v>0</x:v>
      </x:c>
      <x:c r="P147" s="14" t="n">
        <x:f>'Current inventory'!V21</x:f>
        <x:v>0.16829999999999998</x:v>
      </x:c>
      <x:c r="Q147" s="14" t="str">
        <x:f>'Current inventory'!W21</x:f>
        <x:v>n.a.</x:v>
      </x:c>
      <x:c r="R147" s="10" t="n">
        <x:f>L147*P147</x:f>
        <x:v>0</x:v>
      </x:c>
      <x:c r="S147" s="10" t="n">
        <x:f>M147*P147</x:f>
        <x:v>0</x:v>
      </x:c>
      <x:c r="T147" s="10" t="n">
        <x:f>N147*P147</x:f>
        <x:v>0</x:v>
      </x:c>
      <x:c r="U147" s="10" t="n">
        <x:f>O147*P147</x:f>
        <x:v>0</x:v>
      </x:c>
      <x:c r="V147" s="10" t="str">
        <x:f>IF(ISNUMBER(Q147),O147*(Q147-P147),"n.a.")</x:f>
        <x:v>n.a.</x:v>
      </x:c>
      <x:c r="W147" s="10" t="n">
        <x:f>IF(ISNUMBER(Q147),U147,0)</x:f>
        <x:v>0</x:v>
      </x:c>
      <x:c r="X147" s="8" t="n">
        <x:f>MAX(0,K147-SUM(E147:J147))</x:f>
        <x:v>2406.5741273100616</x:v>
      </x:c>
      <x:c r="Y147" s="1" t="str">
        <x:f>IF(AND(O147&gt;0,NOT(ISNUMBER(Q147))),"No proposed replacement standard",IF(X147&gt;0,"Demand exceeds available stock",""))</x:f>
        <x:v>Demand exceeds available stock</x:v>
      </x:c>
      <x:c r="Z147" s="1" t="n">
        <x:f>IF(ISNUMBER(Q147),1,0)</x:f>
        <x:v>0</x:v>
      </x:c>
    </x:row>
    <x:row r="148" ht="21" customHeight="1">
      <x:c r="A148" s="17" t="n">
        <x:f>Summary!B16</x:f>
        <x:v>46357</x:v>
      </x:c>
      <x:c r="B148" s="1" t="str">
        <x:f>'Current inventory'!A22</x:f>
        <x:v>60</x:v>
      </x:c>
      <x:c r="C148" s="1" t="str">
        <x:f>'Current inventory'!B22</x:f>
        <x:v>800NAVE</x:v>
      </x:c>
      <x:c r="D148" s="7" t="n">
        <x:f>A22</x:f>
        <x:v>46327</x:v>
      </x:c>
      <x:c r="E148" s="8" t="n">
        <x:f>L22</x:f>
        <x:v>3599.9158110882954</x:v>
      </x:c>
      <x:c r="F148" s="8" t="n">
        <x:f>M22</x:f>
        <x:v>0</x:v>
      </x:c>
      <x:c r="G148" s="8" t="n">
        <x:f>N22</x:f>
        <x:v>0</x:v>
      </x:c>
      <x:c r="H148" s="8" t="n">
        <x:f>SUMIFS('PO detail'!$U$2:$U$672,'PO detail'!$A$2:$A$672,B148,'PO detail'!$B$2:$B$672,C148,'PO detail'!$G$2:$G$672,"&gt;="&amp;D148,'PO detail'!$G$2:$G$672,"&lt;"&amp;A148)</x:f>
        <x:v>0</x:v>
      </x:c>
      <x:c r="I148" s="8" t="n">
        <x:f>SUMIFS('PO detail'!$V$2:$V$672,'PO detail'!$A$2:$A$672,B148,'PO detail'!$B$2:$B$672,C148,'PO detail'!$G$2:$G$672,"&gt;="&amp;D148,'PO detail'!$G$2:$G$672,"&lt;"&amp;A148)</x:f>
        <x:v>0</x:v>
      </x:c>
      <x:c r="J148" s="8" t="n">
        <x:f>SUMIFS('PO detail'!$W$2:$W$672,'PO detail'!$A$2:$A$672,B148,'PO detail'!$B$2:$B$672,C148,'PO detail'!$G$2:$G$672,"&gt;="&amp;D148,'PO detail'!$G$2:$G$672,"&lt;"&amp;A148)</x:f>
        <x:v>0</x:v>
      </x:c>
      <x:c r="K148" s="8" t="n">
        <x:f>'Current inventory'!E22*Summary!$D$6*(A148-D148)/30.4375</x:f>
        <x:v>2349.240246406571</x:v>
      </x:c>
      <x:c r="L148" s="8" t="n">
        <x:f>MAX(0,E148+H148-K148)</x:f>
        <x:v>1250.6755646817246</x:v>
      </x:c>
      <x:c r="M148" s="8" t="n">
        <x:f>MAX(0,F148+I148-MAX(0,K148-E148-H148))</x:f>
        <x:v>0</x:v>
      </x:c>
      <x:c r="N148" s="8" t="n">
        <x:f>MAX(0,G148+J148-K148)</x:f>
        <x:v>0</x:v>
      </x:c>
      <x:c r="O148" s="8" t="n">
        <x:f>SUM(L148:N148)</x:f>
        <x:v>1250.6755646817246</x:v>
      </x:c>
      <x:c r="P148" s="14" t="n">
        <x:f>'Current inventory'!V22</x:f>
        <x:v>1.04328</x:v>
      </x:c>
      <x:c r="Q148" s="14" t="n">
        <x:f>'Current inventory'!W22</x:f>
        <x:v>1.090215</x:v>
      </x:c>
      <x:c r="R148" s="10" t="n">
        <x:f>L148*P148</x:f>
        <x:v>1304.8048031211497</x:v>
      </x:c>
      <x:c r="S148" s="10" t="n">
        <x:f>M148*P148</x:f>
        <x:v>0</x:v>
      </x:c>
      <x:c r="T148" s="10" t="n">
        <x:f>N148*P148</x:f>
        <x:v>0</x:v>
      </x:c>
      <x:c r="U148" s="10" t="n">
        <x:f>O148*P148</x:f>
        <x:v>1304.8048031211497</x:v>
      </x:c>
      <x:c r="V148" s="10" t="n">
        <x:f>IF(ISNUMBER(Q148),O148*(Q148-P148),"n.a.")</x:f>
        <x:v>58.70045762833668</x:v>
      </x:c>
      <x:c r="W148" s="10" t="n">
        <x:f>IF(ISNUMBER(Q148),U148,0)</x:f>
        <x:v>1304.8048031211497</x:v>
      </x:c>
      <x:c r="X148" s="8" t="n">
        <x:f>MAX(0,K148-SUM(E148:J148))</x:f>
        <x:v>0</x:v>
      </x:c>
      <x:c r="Y148" s="1" t="str">
        <x:f>IF(AND(O148&gt;0,NOT(ISNUMBER(Q148))),"No proposed replacement standard",IF(X148&gt;0,"Demand exceeds available stock",""))</x:f>
      </x:c>
      <x:c r="Z148" s="1" t="n">
        <x:f>IF(ISNUMBER(Q148),1,0)</x:f>
        <x:v>1</x:v>
      </x:c>
    </x:row>
    <x:row r="149" ht="21" customHeight="1">
      <x:c r="A149" s="17" t="n">
        <x:f>Summary!B16</x:f>
        <x:v>46357</x:v>
      </x:c>
      <x:c r="B149" s="1" t="str">
        <x:f>'Current inventory'!A23</x:f>
        <x:v>10</x:v>
      </x:c>
      <x:c r="C149" s="1" t="str">
        <x:f>'Current inventory'!B23</x:f>
        <x:v>800NAVE</x:v>
      </x:c>
      <x:c r="D149" s="7" t="n">
        <x:f>A23</x:f>
        <x:v>46327</x:v>
      </x:c>
      <x:c r="E149" s="8" t="n">
        <x:f>L23</x:f>
        <x:v>16459.6518275154</x:v>
      </x:c>
      <x:c r="F149" s="8" t="n">
        <x:f>M23</x:f>
        <x:v>0</x:v>
      </x:c>
      <x:c r="G149" s="8" t="n">
        <x:f>N23</x:f>
        <x:v>0</x:v>
      </x:c>
      <x:c r="H149" s="8" t="n">
        <x:f>SUMIFS('PO detail'!$U$2:$U$672,'PO detail'!$A$2:$A$672,B149,'PO detail'!$B$2:$B$672,C149,'PO detail'!$G$2:$G$672,"&gt;="&amp;D149,'PO detail'!$G$2:$G$672,"&lt;"&amp;A149)</x:f>
        <x:v>0</x:v>
      </x:c>
      <x:c r="I149" s="8" t="n">
        <x:f>SUMIFS('PO detail'!$V$2:$V$672,'PO detail'!$A$2:$A$672,B149,'PO detail'!$B$2:$B$672,C149,'PO detail'!$G$2:$G$672,"&gt;="&amp;D149,'PO detail'!$G$2:$G$672,"&lt;"&amp;A149)</x:f>
        <x:v>0</x:v>
      </x:c>
      <x:c r="J149" s="8" t="n">
        <x:f>SUMIFS('PO detail'!$W$2:$W$672,'PO detail'!$A$2:$A$672,B149,'PO detail'!$B$2:$B$672,C149,'PO detail'!$G$2:$G$672,"&gt;="&amp;D149,'PO detail'!$G$2:$G$672,"&lt;"&amp;A149)</x:f>
        <x:v>0</x:v>
      </x:c>
      <x:c r="K149" s="8" t="n">
        <x:f>'Current inventory'!E23*Summary!$D$6*(A149-D149)/30.4375</x:f>
        <x:v>1893.062833675565</x:v>
      </x:c>
      <x:c r="L149" s="8" t="n">
        <x:f>MAX(0,E149+H149-K149)</x:f>
        <x:v>14566.588993839836</x:v>
      </x:c>
      <x:c r="M149" s="8" t="n">
        <x:f>MAX(0,F149+I149-MAX(0,K149-E149-H149))</x:f>
        <x:v>0</x:v>
      </x:c>
      <x:c r="N149" s="8" t="n">
        <x:f>MAX(0,G149+J149-K149)</x:f>
        <x:v>0</x:v>
      </x:c>
      <x:c r="O149" s="8" t="n">
        <x:f>SUM(L149:N149)</x:f>
        <x:v>14566.588993839836</x:v>
      </x:c>
      <x:c r="P149" s="14" t="n">
        <x:f>'Current inventory'!V23</x:f>
        <x:v>1.04328</x:v>
      </x:c>
      <x:c r="Q149" s="14" t="n">
        <x:f>'Current inventory'!W23</x:f>
        <x:v>1.090215</x:v>
      </x:c>
      <x:c r="R149" s="10" t="n">
        <x:f>L149*P149</x:f>
        <x:v>15197.030965493224</x:v>
      </x:c>
      <x:c r="S149" s="10" t="n">
        <x:f>M149*P149</x:f>
        <x:v>0</x:v>
      </x:c>
      <x:c r="T149" s="10" t="n">
        <x:f>N149*P149</x:f>
        <x:v>0</x:v>
      </x:c>
      <x:c r="U149" s="10" t="n">
        <x:f>O149*P149</x:f>
        <x:v>15197.030965493224</x:v>
      </x:c>
      <x:c r="V149" s="10" t="n">
        <x:f>IF(ISNUMBER(Q149),O149*(Q149-P149),"n.a.")</x:f>
        <x:v>683.6828544258719</x:v>
      </x:c>
      <x:c r="W149" s="10" t="n">
        <x:f>IF(ISNUMBER(Q149),U149,0)</x:f>
        <x:v>15197.030965493224</x:v>
      </x:c>
      <x:c r="X149" s="8" t="n">
        <x:f>MAX(0,K149-SUM(E149:J149))</x:f>
        <x:v>0</x:v>
      </x:c>
      <x:c r="Y149" s="1" t="str">
        <x:f>IF(AND(O149&gt;0,NOT(ISNUMBER(Q149))),"No proposed replacement standard",IF(X149&gt;0,"Demand exceeds available stock",""))</x:f>
      </x:c>
      <x:c r="Z149" s="1" t="n">
        <x:f>IF(ISNUMBER(Q149),1,0)</x:f>
        <x:v>1</x:v>
      </x:c>
    </x:row>
    <x:row r="150" ht="21" customHeight="1">
      <x:c r="A150" s="17" t="n">
        <x:f>Summary!B16</x:f>
        <x:v>46357</x:v>
      </x:c>
      <x:c r="B150" s="1" t="str">
        <x:f>'Current inventory'!A24</x:f>
        <x:v>60</x:v>
      </x:c>
      <x:c r="C150" s="1" t="str">
        <x:f>'Current inventory'!B24</x:f>
        <x:v>800BBLKBRC</x:v>
      </x:c>
      <x:c r="D150" s="7" t="n">
        <x:f>A24</x:f>
        <x:v>46327</x:v>
      </x:c>
      <x:c r="E150" s="8" t="n">
        <x:f>L24</x:f>
        <x:v>0</x:v>
      </x:c>
      <x:c r="F150" s="8" t="n">
        <x:f>M24</x:f>
        <x:v>0</x:v>
      </x:c>
      <x:c r="G150" s="8" t="n">
        <x:f>N24</x:f>
        <x:v>4939.835728952772</x:v>
      </x:c>
      <x:c r="H150" s="8" t="n">
        <x:f>SUMIFS('PO detail'!$U$2:$U$672,'PO detail'!$A$2:$A$672,B150,'PO detail'!$B$2:$B$672,C150,'PO detail'!$G$2:$G$672,"&gt;="&amp;D150,'PO detail'!$G$2:$G$672,"&lt;"&amp;A150)</x:f>
        <x:v>0</x:v>
      </x:c>
      <x:c r="I150" s="8" t="n">
        <x:f>SUMIFS('PO detail'!$V$2:$V$672,'PO detail'!$A$2:$A$672,B150,'PO detail'!$B$2:$B$672,C150,'PO detail'!$G$2:$G$672,"&gt;="&amp;D150,'PO detail'!$G$2:$G$672,"&lt;"&amp;A150)</x:f>
        <x:v>0</x:v>
      </x:c>
      <x:c r="J150" s="8" t="n">
        <x:f>SUMIFS('PO detail'!$W$2:$W$672,'PO detail'!$A$2:$A$672,B150,'PO detail'!$B$2:$B$672,C150,'PO detail'!$G$2:$G$672,"&gt;="&amp;D150,'PO detail'!$G$2:$G$672,"&lt;"&amp;A150)</x:f>
        <x:v>0</x:v>
      </x:c>
      <x:c r="K150" s="8" t="n">
        <x:f>'Current inventory'!E24*Summary!$D$6*(A150-D150)/30.4375</x:f>
        <x:v>1774.1273100616017</x:v>
      </x:c>
      <x:c r="L150" s="8" t="n">
        <x:f>MAX(0,E150+H150-K150)</x:f>
        <x:v>0</x:v>
      </x:c>
      <x:c r="M150" s="8" t="n">
        <x:f>MAX(0,F150+I150-MAX(0,K150-E150-H150))</x:f>
        <x:v>0</x:v>
      </x:c>
      <x:c r="N150" s="8" t="n">
        <x:f>MAX(0,G150+J150-K150)</x:f>
        <x:v>3165.7084188911704</x:v>
      </x:c>
      <x:c r="O150" s="8" t="n">
        <x:f>SUM(L150:N150)</x:f>
        <x:v>3165.7084188911704</x:v>
      </x:c>
      <x:c r="P150" s="14" t="n">
        <x:f>'Current inventory'!V24</x:f>
        <x:v>0.16829999999999998</x:v>
      </x:c>
      <x:c r="Q150" s="14" t="str">
        <x:f>'Current inventory'!W24</x:f>
        <x:v>n.a.</x:v>
      </x:c>
      <x:c r="R150" s="10" t="n">
        <x:f>L150*P150</x:f>
        <x:v>0</x:v>
      </x:c>
      <x:c r="S150" s="10" t="n">
        <x:f>M150*P150</x:f>
        <x:v>0</x:v>
      </x:c>
      <x:c r="T150" s="10" t="n">
        <x:f>N150*P150</x:f>
        <x:v>532.7887268993838</x:v>
      </x:c>
      <x:c r="U150" s="10" t="n">
        <x:f>O150*P150</x:f>
        <x:v>532.7887268993838</x:v>
      </x:c>
      <x:c r="V150" s="10" t="str">
        <x:f>IF(ISNUMBER(Q150),O150*(Q150-P150),"n.a.")</x:f>
        <x:v>n.a.</x:v>
      </x:c>
      <x:c r="W150" s="10" t="n">
        <x:f>IF(ISNUMBER(Q150),U150,0)</x:f>
        <x:v>0</x:v>
      </x:c>
      <x:c r="X150" s="8" t="n">
        <x:f>MAX(0,K150-SUM(E150:J150))</x:f>
        <x:v>0</x:v>
      </x:c>
      <x:c r="Y150" s="1" t="str">
        <x:f>IF(AND(O150&gt;0,NOT(ISNUMBER(Q150))),"No proposed replacement standard",IF(X150&gt;0,"Demand exceeds available stock",""))</x:f>
        <x:v>No proposed replacement standard</x:v>
      </x:c>
      <x:c r="Z150" s="1" t="n">
        <x:f>IF(ISNUMBER(Q150),1,0)</x:f>
        <x:v>0</x:v>
      </x:c>
    </x:row>
    <x:row r="151" ht="21" customHeight="1">
      <x:c r="A151" s="17" t="n">
        <x:f>Summary!B16</x:f>
        <x:v>46357</x:v>
      </x:c>
      <x:c r="B151" s="1" t="str">
        <x:f>'Current inventory'!A25</x:f>
        <x:v>10</x:v>
      </x:c>
      <x:c r="C151" s="1" t="str">
        <x:f>'Current inventory'!B25</x:f>
        <x:v>800BLKE</x:v>
      </x:c>
      <x:c r="D151" s="7" t="n">
        <x:f>A25</x:f>
        <x:v>46327</x:v>
      </x:c>
      <x:c r="E151" s="8" t="n">
        <x:f>L25</x:f>
        <x:v>17756.70340862423</x:v>
      </x:c>
      <x:c r="F151" s="8" t="n">
        <x:f>M25</x:f>
        <x:v>0</x:v>
      </x:c>
      <x:c r="G151" s="8" t="n">
        <x:f>N25</x:f>
        <x:v>0</x:v>
      </x:c>
      <x:c r="H151" s="8" t="n">
        <x:f>SUMIFS('PO detail'!$U$2:$U$672,'PO detail'!$A$2:$A$672,B151,'PO detail'!$B$2:$B$672,C151,'PO detail'!$G$2:$G$672,"&gt;="&amp;D151,'PO detail'!$G$2:$G$672,"&lt;"&amp;A151)</x:f>
        <x:v>0</x:v>
      </x:c>
      <x:c r="I151" s="8" t="n">
        <x:f>SUMIFS('PO detail'!$V$2:$V$672,'PO detail'!$A$2:$A$672,B151,'PO detail'!$B$2:$B$672,C151,'PO detail'!$G$2:$G$672,"&gt;="&amp;D151,'PO detail'!$G$2:$G$672,"&lt;"&amp;A151)</x:f>
        <x:v>0</x:v>
      </x:c>
      <x:c r="J151" s="8" t="n">
        <x:f>SUMIFS('PO detail'!$W$2:$W$672,'PO detail'!$A$2:$A$672,B151,'PO detail'!$B$2:$B$672,C151,'PO detail'!$G$2:$G$672,"&gt;="&amp;D151,'PO detail'!$G$2:$G$672,"&lt;"&amp;A151)</x:f>
        <x:v>0</x:v>
      </x:c>
      <x:c r="K151" s="8" t="n">
        <x:f>'Current inventory'!E25*Summary!$D$6*(A151-D151)/30.4375</x:f>
        <x:v>1710.3868583162216</x:v>
      </x:c>
      <x:c r="L151" s="8" t="n">
        <x:f>MAX(0,E151+H151-K151)</x:f>
        <x:v>16046.316550308009</x:v>
      </x:c>
      <x:c r="M151" s="8" t="n">
        <x:f>MAX(0,F151+I151-MAX(0,K151-E151-H151))</x:f>
        <x:v>0</x:v>
      </x:c>
      <x:c r="N151" s="8" t="n">
        <x:f>MAX(0,G151+J151-K151)</x:f>
        <x:v>0</x:v>
      </x:c>
      <x:c r="O151" s="8" t="n">
        <x:f>SUM(L151:N151)</x:f>
        <x:v>16046.316550308009</x:v>
      </x:c>
      <x:c r="P151" s="14" t="n">
        <x:f>'Current inventory'!V25</x:f>
        <x:v>0.90416</x:v>
      </x:c>
      <x:c r="Q151" s="14" t="n">
        <x:f>'Current inventory'!W25</x:f>
        <x:v>0.94479</x:v>
      </x:c>
      <x:c r="R151" s="10" t="n">
        <x:f>L151*P151</x:f>
        <x:v>14508.43757212649</x:v>
      </x:c>
      <x:c r="S151" s="10" t="n">
        <x:f>M151*P151</x:f>
        <x:v>0</x:v>
      </x:c>
      <x:c r="T151" s="10" t="n">
        <x:f>N151*P151</x:f>
        <x:v>0</x:v>
      </x:c>
      <x:c r="U151" s="10" t="n">
        <x:f>O151*P151</x:f>
        <x:v>14508.43757212649</x:v>
      </x:c>
      <x:c r="V151" s="10" t="n">
        <x:f>IF(ISNUMBER(Q151),O151*(Q151-P151),"n.a.")</x:f>
        <x:v>651.9618414390153</x:v>
      </x:c>
      <x:c r="W151" s="10" t="n">
        <x:f>IF(ISNUMBER(Q151),U151,0)</x:f>
        <x:v>14508.43757212649</x:v>
      </x:c>
      <x:c r="X151" s="8" t="n">
        <x:f>MAX(0,K151-SUM(E151:J151))</x:f>
        <x:v>0</x:v>
      </x:c>
      <x:c r="Y151" s="1" t="str">
        <x:f>IF(AND(O151&gt;0,NOT(ISNUMBER(Q151))),"No proposed replacement standard",IF(X151&gt;0,"Demand exceeds available stock",""))</x:f>
      </x:c>
      <x:c r="Z151" s="1" t="n">
        <x:f>IF(ISNUMBER(Q151),1,0)</x:f>
        <x:v>1</x:v>
      </x:c>
    </x:row>
    <x:row r="152" ht="21" customHeight="1">
      <x:c r="A152" s="17" t="n">
        <x:f>Summary!B16</x:f>
        <x:v>46357</x:v>
      </x:c>
      <x:c r="B152" s="1" t="str">
        <x:f>'Current inventory'!A26</x:f>
        <x:v>60</x:v>
      </x:c>
      <x:c r="C152" s="1" t="str">
        <x:f>'Current inventory'!B26</x:f>
        <x:v>800BLKE</x:v>
      </x:c>
      <x:c r="D152" s="7" t="n">
        <x:f>A26</x:f>
        <x:v>46327</x:v>
      </x:c>
      <x:c r="E152" s="8" t="n">
        <x:f>L26</x:f>
        <x:v>14597.733059548254</x:v>
      </x:c>
      <x:c r="F152" s="8" t="n">
        <x:f>M26</x:f>
        <x:v>0</x:v>
      </x:c>
      <x:c r="G152" s="8" t="n">
        <x:f>N26</x:f>
        <x:v>0</x:v>
      </x:c>
      <x:c r="H152" s="8" t="n">
        <x:f>SUMIFS('PO detail'!$U$2:$U$672,'PO detail'!$A$2:$A$672,B152,'PO detail'!$B$2:$B$672,C152,'PO detail'!$G$2:$G$672,"&gt;="&amp;D152,'PO detail'!$G$2:$G$672,"&lt;"&amp;A152)</x:f>
        <x:v>0</x:v>
      </x:c>
      <x:c r="I152" s="8" t="n">
        <x:f>SUMIFS('PO detail'!$V$2:$V$672,'PO detail'!$A$2:$A$672,B152,'PO detail'!$B$2:$B$672,C152,'PO detail'!$G$2:$G$672,"&gt;="&amp;D152,'PO detail'!$G$2:$G$672,"&lt;"&amp;A152)</x:f>
        <x:v>0</x:v>
      </x:c>
      <x:c r="J152" s="8" t="n">
        <x:f>SUMIFS('PO detail'!$W$2:$W$672,'PO detail'!$A$2:$A$672,B152,'PO detail'!$B$2:$B$672,C152,'PO detail'!$G$2:$G$672,"&gt;="&amp;D152,'PO detail'!$G$2:$G$672,"&lt;"&amp;A152)</x:f>
        <x:v>0</x:v>
      </x:c>
      <x:c r="K152" s="8" t="n">
        <x:f>'Current inventory'!E26*Summary!$D$6*(A152-D152)/30.4375</x:f>
        <x:v>1682.9568788501026</x:v>
      </x:c>
      <x:c r="L152" s="8" t="n">
        <x:f>MAX(0,E152+H152-K152)</x:f>
        <x:v>12914.776180698153</x:v>
      </x:c>
      <x:c r="M152" s="8" t="n">
        <x:f>MAX(0,F152+I152-MAX(0,K152-E152-H152))</x:f>
        <x:v>0</x:v>
      </x:c>
      <x:c r="N152" s="8" t="n">
        <x:f>MAX(0,G152+J152-K152)</x:f>
        <x:v>0</x:v>
      </x:c>
      <x:c r="O152" s="8" t="n">
        <x:f>SUM(L152:N152)</x:f>
        <x:v>12914.776180698153</x:v>
      </x:c>
      <x:c r="P152" s="14" t="n">
        <x:f>'Current inventory'!V26</x:f>
        <x:v>0.90416</x:v>
      </x:c>
      <x:c r="Q152" s="14" t="n">
        <x:f>'Current inventory'!W26</x:f>
        <x:v>0.94479</x:v>
      </x:c>
      <x:c r="R152" s="10" t="n">
        <x:f>L152*P152</x:f>
        <x:v>11677.02403154004</x:v>
      </x:c>
      <x:c r="S152" s="10" t="n">
        <x:f>M152*P152</x:f>
        <x:v>0</x:v>
      </x:c>
      <x:c r="T152" s="10" t="n">
        <x:f>N152*P152</x:f>
        <x:v>0</x:v>
      </x:c>
      <x:c r="U152" s="10" t="n">
        <x:f>O152*P152</x:f>
        <x:v>11677.02403154004</x:v>
      </x:c>
      <x:c r="V152" s="10" t="n">
        <x:f>IF(ISNUMBER(Q152),O152*(Q152-P152),"n.a.")</x:f>
        <x:v>524.7273562217666</x:v>
      </x:c>
      <x:c r="W152" s="10" t="n">
        <x:f>IF(ISNUMBER(Q152),U152,0)</x:f>
        <x:v>11677.02403154004</x:v>
      </x:c>
      <x:c r="X152" s="8" t="n">
        <x:f>MAX(0,K152-SUM(E152:J152))</x:f>
        <x:v>0</x:v>
      </x:c>
      <x:c r="Y152" s="1" t="str">
        <x:f>IF(AND(O152&gt;0,NOT(ISNUMBER(Q152))),"No proposed replacement standard",IF(X152&gt;0,"Demand exceeds available stock",""))</x:f>
      </x:c>
      <x:c r="Z152" s="1" t="n">
        <x:f>IF(ISNUMBER(Q152),1,0)</x:f>
        <x:v>1</x:v>
      </x:c>
    </x:row>
    <x:row r="153" ht="21" customHeight="1">
      <x:c r="A153" s="17" t="n">
        <x:f>Summary!B16</x:f>
        <x:v>46357</x:v>
      </x:c>
      <x:c r="B153" s="1" t="str">
        <x:f>'Current inventory'!A27</x:f>
        <x:v>60</x:v>
      </x:c>
      <x:c r="C153" s="1" t="str">
        <x:f>'Current inventory'!B27</x:f>
        <x:v>800BNAVDSC</x:v>
      </x:c>
      <x:c r="D153" s="7" t="n">
        <x:f>A27</x:f>
        <x:v>46327</x:v>
      </x:c>
      <x:c r="E153" s="8" t="n">
        <x:f>L27</x:f>
        <x:v>0</x:v>
      </x:c>
      <x:c r="F153" s="8" t="n">
        <x:f>M27</x:f>
        <x:v>0</x:v>
      </x:c>
      <x:c r="G153" s="8" t="n">
        <x:f>N27</x:f>
        <x:v>2090.965092402464</x:v>
      </x:c>
      <x:c r="H153" s="8" t="n">
        <x:f>SUMIFS('PO detail'!$U$2:$U$672,'PO detail'!$A$2:$A$672,B153,'PO detail'!$B$2:$B$672,C153,'PO detail'!$G$2:$G$672,"&gt;="&amp;D153,'PO detail'!$G$2:$G$672,"&lt;"&amp;A153)</x:f>
        <x:v>0</x:v>
      </x:c>
      <x:c r="I153" s="8" t="n">
        <x:f>SUMIFS('PO detail'!$V$2:$V$672,'PO detail'!$A$2:$A$672,B153,'PO detail'!$B$2:$B$672,C153,'PO detail'!$G$2:$G$672,"&gt;="&amp;D153,'PO detail'!$G$2:$G$672,"&lt;"&amp;A153)</x:f>
        <x:v>0</x:v>
      </x:c>
      <x:c r="J153" s="8" t="n">
        <x:f>SUMIFS('PO detail'!$W$2:$W$672,'PO detail'!$A$2:$A$672,B153,'PO detail'!$B$2:$B$672,C153,'PO detail'!$G$2:$G$672,"&gt;="&amp;D153,'PO detail'!$G$2:$G$672,"&lt;"&amp;A153)</x:f>
        <x:v>0</x:v>
      </x:c>
      <x:c r="K153" s="8" t="n">
        <x:f>'Current inventory'!E27*Summary!$D$6*(A153-D153)/30.4375</x:f>
        <x:v>1577.0020533880904</x:v>
      </x:c>
      <x:c r="L153" s="8" t="n">
        <x:f>MAX(0,E153+H153-K153)</x:f>
        <x:v>0</x:v>
      </x:c>
      <x:c r="M153" s="8" t="n">
        <x:f>MAX(0,F153+I153-MAX(0,K153-E153-H153))</x:f>
        <x:v>0</x:v>
      </x:c>
      <x:c r="N153" s="8" t="n">
        <x:f>MAX(0,G153+J153-K153)</x:f>
        <x:v>513.9630390143736</x:v>
      </x:c>
      <x:c r="O153" s="8" t="n">
        <x:f>SUM(L153:N153)</x:f>
        <x:v>513.9630390143736</x:v>
      </x:c>
      <x:c r="P153" s="14" t="n">
        <x:f>'Current inventory'!V27</x:f>
        <x:v>0.34509999999999996</x:v>
      </x:c>
      <x:c r="Q153" s="14" t="str">
        <x:f>'Current inventory'!W27</x:f>
        <x:v>n.a.</x:v>
      </x:c>
      <x:c r="R153" s="10" t="n">
        <x:f>L153*P153</x:f>
        <x:v>0</x:v>
      </x:c>
      <x:c r="S153" s="10" t="n">
        <x:f>M153*P153</x:f>
        <x:v>0</x:v>
      </x:c>
      <x:c r="T153" s="10" t="n">
        <x:f>N153*P153</x:f>
        <x:v>177.36864476386032</x:v>
      </x:c>
      <x:c r="U153" s="10" t="n">
        <x:f>O153*P153</x:f>
        <x:v>177.36864476386032</x:v>
      </x:c>
      <x:c r="V153" s="10" t="str">
        <x:f>IF(ISNUMBER(Q153),O153*(Q153-P153),"n.a.")</x:f>
        <x:v>n.a.</x:v>
      </x:c>
      <x:c r="W153" s="10" t="n">
        <x:f>IF(ISNUMBER(Q153),U153,0)</x:f>
        <x:v>0</x:v>
      </x:c>
      <x:c r="X153" s="8" t="n">
        <x:f>MAX(0,K153-SUM(E153:J153))</x:f>
        <x:v>0</x:v>
      </x:c>
      <x:c r="Y153" s="1" t="str">
        <x:f>IF(AND(O153&gt;0,NOT(ISNUMBER(Q153))),"No proposed replacement standard",IF(X153&gt;0,"Demand exceeds available stock",""))</x:f>
        <x:v>No proposed replacement standard</x:v>
      </x:c>
      <x:c r="Z153" s="1" t="n">
        <x:f>IF(ISNUMBER(Q153),1,0)</x:f>
        <x:v>0</x:v>
      </x:c>
    </x:row>
    <x:row r="154" ht="21" customHeight="1">
      <x:c r="A154" s="17" t="n">
        <x:f>Summary!B16</x:f>
        <x:v>46357</x:v>
      </x:c>
      <x:c r="B154" s="1" t="str">
        <x:f>'Current inventory'!A28</x:f>
        <x:v>10</x:v>
      </x:c>
      <x:c r="C154" s="1" t="str">
        <x:f>'Current inventory'!B28</x:f>
        <x:v>800BNAVDSC</x:v>
      </x:c>
      <x:c r="D154" s="7" t="n">
        <x:f>A28</x:f>
        <x:v>46327</x:v>
      </x:c>
      <x:c r="E154" s="8" t="n">
        <x:f>L28</x:f>
        <x:v>0</x:v>
      </x:c>
      <x:c r="F154" s="8" t="n">
        <x:f>M28</x:f>
        <x:v>0</x:v>
      </x:c>
      <x:c r="G154" s="8" t="n">
        <x:f>N28</x:f>
        <x:v>0</x:v>
      </x:c>
      <x:c r="H154" s="8" t="n">
        <x:f>SUMIFS('PO detail'!$U$2:$U$672,'PO detail'!$A$2:$A$672,B154,'PO detail'!$B$2:$B$672,C154,'PO detail'!$G$2:$G$672,"&gt;="&amp;D154,'PO detail'!$G$2:$G$672,"&lt;"&amp;A154)</x:f>
        <x:v>0</x:v>
      </x:c>
      <x:c r="I154" s="8" t="n">
        <x:f>SUMIFS('PO detail'!$V$2:$V$672,'PO detail'!$A$2:$A$672,B154,'PO detail'!$B$2:$B$672,C154,'PO detail'!$G$2:$G$672,"&gt;="&amp;D154,'PO detail'!$G$2:$G$672,"&lt;"&amp;A154)</x:f>
        <x:v>0</x:v>
      </x:c>
      <x:c r="J154" s="8" t="n">
        <x:f>SUMIFS('PO detail'!$W$2:$W$672,'PO detail'!$A$2:$A$672,B154,'PO detail'!$B$2:$B$672,C154,'PO detail'!$G$2:$G$672,"&gt;="&amp;D154,'PO detail'!$G$2:$G$672,"&lt;"&amp;A154)</x:f>
        <x:v>0</x:v>
      </x:c>
      <x:c r="K154" s="8" t="n">
        <x:f>'Current inventory'!E28*Summary!$D$6*(A154-D154)/30.4375</x:f>
        <x:v>1420.9379876796716</x:v>
      </x:c>
      <x:c r="L154" s="8" t="n">
        <x:f>MAX(0,E154+H154-K154)</x:f>
        <x:v>0</x:v>
      </x:c>
      <x:c r="M154" s="8" t="n">
        <x:f>MAX(0,F154+I154-MAX(0,K154-E154-H154))</x:f>
        <x:v>0</x:v>
      </x:c>
      <x:c r="N154" s="8" t="n">
        <x:f>MAX(0,G154+J154-K154)</x:f>
        <x:v>0</x:v>
      </x:c>
      <x:c r="O154" s="8" t="n">
        <x:f>SUM(L154:N154)</x:f>
        <x:v>0</x:v>
      </x:c>
      <x:c r="P154" s="14" t="n">
        <x:f>'Current inventory'!V28</x:f>
        <x:v>0.34509999999999996</x:v>
      </x:c>
      <x:c r="Q154" s="14" t="str">
        <x:f>'Current inventory'!W28</x:f>
        <x:v>n.a.</x:v>
      </x:c>
      <x:c r="R154" s="10" t="n">
        <x:f>L154*P154</x:f>
        <x:v>0</x:v>
      </x:c>
      <x:c r="S154" s="10" t="n">
        <x:f>M154*P154</x:f>
        <x:v>0</x:v>
      </x:c>
      <x:c r="T154" s="10" t="n">
        <x:f>N154*P154</x:f>
        <x:v>0</x:v>
      </x:c>
      <x:c r="U154" s="10" t="n">
        <x:f>O154*P154</x:f>
        <x:v>0</x:v>
      </x:c>
      <x:c r="V154" s="10" t="str">
        <x:f>IF(ISNUMBER(Q154),O154*(Q154-P154),"n.a.")</x:f>
        <x:v>n.a.</x:v>
      </x:c>
      <x:c r="W154" s="10" t="n">
        <x:f>IF(ISNUMBER(Q154),U154,0)</x:f>
        <x:v>0</x:v>
      </x:c>
      <x:c r="X154" s="8" t="n">
        <x:f>MAX(0,K154-SUM(E154:J154))</x:f>
        <x:v>1420.9379876796716</x:v>
      </x:c>
      <x:c r="Y154" s="1" t="str">
        <x:f>IF(AND(O154&gt;0,NOT(ISNUMBER(Q154))),"No proposed replacement standard",IF(X154&gt;0,"Demand exceeds available stock",""))</x:f>
        <x:v>Demand exceeds available stock</x:v>
      </x:c>
      <x:c r="Z154" s="1" t="n">
        <x:f>IF(ISNUMBER(Q154),1,0)</x:f>
        <x:v>0</x:v>
      </x:c>
    </x:row>
    <x:row r="155" ht="21" customHeight="1">
      <x:c r="A155" s="17" t="n">
        <x:f>Summary!B16</x:f>
        <x:v>46357</x:v>
      </x:c>
      <x:c r="B155" s="1" t="str">
        <x:f>'Current inventory'!A29</x:f>
        <x:v>30</x:v>
      </x:c>
      <x:c r="C155" s="1" t="str">
        <x:f>'Current inventory'!B29</x:f>
        <x:v>800BMARASC</x:v>
      </x:c>
      <x:c r="D155" s="7" t="n">
        <x:f>A29</x:f>
        <x:v>46327</x:v>
      </x:c>
      <x:c r="E155" s="8" t="n">
        <x:f>L29</x:f>
        <x:v>18961.736016427105</x:v>
      </x:c>
      <x:c r="F155" s="8" t="n">
        <x:f>M29</x:f>
        <x:v>0</x:v>
      </x:c>
      <x:c r="G155" s="8" t="n">
        <x:f>N29</x:f>
        <x:v>0</x:v>
      </x:c>
      <x:c r="H155" s="8" t="n">
        <x:f>SUMIFS('PO detail'!$U$2:$U$672,'PO detail'!$A$2:$A$672,B155,'PO detail'!$B$2:$B$672,C155,'PO detail'!$G$2:$G$672,"&gt;="&amp;D155,'PO detail'!$G$2:$G$672,"&lt;"&amp;A155)</x:f>
        <x:v>0</x:v>
      </x:c>
      <x:c r="I155" s="8" t="n">
        <x:f>SUMIFS('PO detail'!$V$2:$V$672,'PO detail'!$A$2:$A$672,B155,'PO detail'!$B$2:$B$672,C155,'PO detail'!$G$2:$G$672,"&gt;="&amp;D155,'PO detail'!$G$2:$G$672,"&lt;"&amp;A155)</x:f>
        <x:v>0</x:v>
      </x:c>
      <x:c r="J155" s="8" t="n">
        <x:f>SUMIFS('PO detail'!$W$2:$W$672,'PO detail'!$A$2:$A$672,B155,'PO detail'!$B$2:$B$672,C155,'PO detail'!$G$2:$G$672,"&gt;="&amp;D155,'PO detail'!$G$2:$G$672,"&lt;"&amp;A155)</x:f>
        <x:v>0</x:v>
      </x:c>
      <x:c r="K155" s="8" t="n">
        <x:f>'Current inventory'!E29*Summary!$D$6*(A155-D155)/30.4375</x:f>
        <x:v>1223.822587268994</x:v>
      </x:c>
      <x:c r="L155" s="8" t="n">
        <x:f>MAX(0,E155+H155-K155)</x:f>
        <x:v>17737.91342915811</x:v>
      </x:c>
      <x:c r="M155" s="8" t="n">
        <x:f>MAX(0,F155+I155-MAX(0,K155-E155-H155))</x:f>
        <x:v>0</x:v>
      </x:c>
      <x:c r="N155" s="8" t="n">
        <x:f>MAX(0,G155+J155-K155)</x:f>
        <x:v>0</x:v>
      </x:c>
      <x:c r="O155" s="8" t="n">
        <x:f>SUM(L155:N155)</x:f>
        <x:v>17737.91342915811</x:v>
      </x:c>
      <x:c r="P155" s="14" t="n">
        <x:f>'Current inventory'!V29</x:f>
        <x:v>0.1598</x:v>
      </x:c>
      <x:c r="Q155" s="14" t="n">
        <x:f>'Current inventory'!W29</x:f>
        <x:v>0.16695000000000002</x:v>
      </x:c>
      <x:c r="R155" s="10" t="n">
        <x:f>L155*P155</x:f>
        <x:v>2834.518565979466</x:v>
      </x:c>
      <x:c r="S155" s="10" t="n">
        <x:f>M155*P155</x:f>
        <x:v>0</x:v>
      </x:c>
      <x:c r="T155" s="10" t="n">
        <x:f>N155*P155</x:f>
        <x:v>0</x:v>
      </x:c>
      <x:c r="U155" s="10" t="n">
        <x:f>O155*P155</x:f>
        <x:v>2834.518565979466</x:v>
      </x:c>
      <x:c r="V155" s="10" t="n">
        <x:f>IF(ISNUMBER(Q155),O155*(Q155-P155),"n.a.")</x:f>
        <x:v>126.82608101848079</x:v>
      </x:c>
      <x:c r="W155" s="10" t="n">
        <x:f>IF(ISNUMBER(Q155),U155,0)</x:f>
        <x:v>2834.518565979466</x:v>
      </x:c>
      <x:c r="X155" s="8" t="n">
        <x:f>MAX(0,K155-SUM(E155:J155))</x:f>
        <x:v>0</x:v>
      </x:c>
      <x:c r="Y155" s="1" t="str">
        <x:f>IF(AND(O155&gt;0,NOT(ISNUMBER(Q155))),"No proposed replacement standard",IF(X155&gt;0,"Demand exceeds available stock",""))</x:f>
      </x:c>
      <x:c r="Z155" s="1" t="n">
        <x:f>IF(ISNUMBER(Q155),1,0)</x:f>
        <x:v>1</x:v>
      </x:c>
    </x:row>
    <x:row r="156" ht="21" customHeight="1">
      <x:c r="A156" s="17" t="n">
        <x:f>Summary!B16</x:f>
        <x:v>46357</x:v>
      </x:c>
      <x:c r="B156" s="1" t="str">
        <x:f>'Current inventory'!A30</x:f>
        <x:v>60</x:v>
      </x:c>
      <x:c r="C156" s="1" t="str">
        <x:f>'Current inventory'!B30</x:f>
        <x:v>800BNAVBRC</x:v>
      </x:c>
      <x:c r="D156" s="7" t="n">
        <x:f>A30</x:f>
        <x:v>46327</x:v>
      </x:c>
      <x:c r="E156" s="8" t="n">
        <x:f>L30</x:f>
        <x:v>0</x:v>
      </x:c>
      <x:c r="F156" s="8" t="n">
        <x:f>M30</x:f>
        <x:v>0</x:v>
      </x:c>
      <x:c r="G156" s="8" t="n">
        <x:f>N30</x:f>
        <x:v>4918.409527720739</x:v>
      </x:c>
      <x:c r="H156" s="8" t="n">
        <x:f>SUMIFS('PO detail'!$U$2:$U$672,'PO detail'!$A$2:$A$672,B156,'PO detail'!$B$2:$B$672,C156,'PO detail'!$G$2:$G$672,"&gt;="&amp;D156,'PO detail'!$G$2:$G$672,"&lt;"&amp;A156)</x:f>
        <x:v>0</x:v>
      </x:c>
      <x:c r="I156" s="8" t="n">
        <x:f>SUMIFS('PO detail'!$V$2:$V$672,'PO detail'!$A$2:$A$672,B156,'PO detail'!$B$2:$B$672,C156,'PO detail'!$G$2:$G$672,"&gt;="&amp;D156,'PO detail'!$G$2:$G$672,"&lt;"&amp;A156)</x:f>
        <x:v>0</x:v>
      </x:c>
      <x:c r="J156" s="8" t="n">
        <x:f>SUMIFS('PO detail'!$W$2:$W$672,'PO detail'!$A$2:$A$672,B156,'PO detail'!$B$2:$B$672,C156,'PO detail'!$G$2:$G$672,"&gt;="&amp;D156,'PO detail'!$G$2:$G$672,"&lt;"&amp;A156)</x:f>
        <x:v>0</x:v>
      </x:c>
      <x:c r="K156" s="8" t="n">
        <x:f>'Current inventory'!E30*Summary!$D$6*(A156-D156)/30.4375</x:f>
        <x:v>1149.9006160164272</x:v>
      </x:c>
      <x:c r="L156" s="8" t="n">
        <x:f>MAX(0,E156+H156-K156)</x:f>
        <x:v>0</x:v>
      </x:c>
      <x:c r="M156" s="8" t="n">
        <x:f>MAX(0,F156+I156-MAX(0,K156-E156-H156))</x:f>
        <x:v>0</x:v>
      </x:c>
      <x:c r="N156" s="8" t="n">
        <x:f>MAX(0,G156+J156-K156)</x:f>
        <x:v>3768.5089117043117</x:v>
      </x:c>
      <x:c r="O156" s="8" t="n">
        <x:f>SUM(L156:N156)</x:f>
        <x:v>3768.5089117043117</x:v>
      </x:c>
      <x:c r="P156" s="14" t="n">
        <x:f>'Current inventory'!V30</x:f>
        <x:v>0.17370000000000002</x:v>
      </x:c>
      <x:c r="Q156" s="14" t="str">
        <x:f>'Current inventory'!W30</x:f>
        <x:v>n.a.</x:v>
      </x:c>
      <x:c r="R156" s="10" t="n">
        <x:f>L156*P156</x:f>
        <x:v>0</x:v>
      </x:c>
      <x:c r="S156" s="10" t="n">
        <x:f>M156*P156</x:f>
        <x:v>0</x:v>
      </x:c>
      <x:c r="T156" s="10" t="n">
        <x:f>N156*P156</x:f>
        <x:v>654.589997963039</x:v>
      </x:c>
      <x:c r="U156" s="10" t="n">
        <x:f>O156*P156</x:f>
        <x:v>654.589997963039</x:v>
      </x:c>
      <x:c r="V156" s="10" t="str">
        <x:f>IF(ISNUMBER(Q156),O156*(Q156-P156),"n.a.")</x:f>
        <x:v>n.a.</x:v>
      </x:c>
      <x:c r="W156" s="10" t="n">
        <x:f>IF(ISNUMBER(Q156),U156,0)</x:f>
        <x:v>0</x:v>
      </x:c>
      <x:c r="X156" s="8" t="n">
        <x:f>MAX(0,K156-SUM(E156:J156))</x:f>
        <x:v>0</x:v>
      </x:c>
      <x:c r="Y156" s="1" t="str">
        <x:f>IF(AND(O156&gt;0,NOT(ISNUMBER(Q156))),"No proposed replacement standard",IF(X156&gt;0,"Demand exceeds available stock",""))</x:f>
        <x:v>No proposed replacement standard</x:v>
      </x:c>
      <x:c r="Z156" s="1" t="n">
        <x:f>IF(ISNUMBER(Q156),1,0)</x:f>
        <x:v>0</x:v>
      </x:c>
    </x:row>
    <x:row r="157" ht="21" customHeight="1">
      <x:c r="A157" s="17" t="n">
        <x:f>Summary!B16</x:f>
        <x:v>46357</x:v>
      </x:c>
      <x:c r="B157" s="1" t="str">
        <x:f>'Current inventory'!A31</x:f>
        <x:v>10</x:v>
      </x:c>
      <x:c r="C157" s="1" t="str">
        <x:f>'Current inventory'!B31</x:f>
        <x:v>800BNAVCSC</x:v>
      </x:c>
      <x:c r="D157" s="7" t="n">
        <x:f>A31</x:f>
        <x:v>46327</x:v>
      </x:c>
      <x:c r="E157" s="8" t="n">
        <x:f>L31</x:f>
        <x:v>0</x:v>
      </x:c>
      <x:c r="F157" s="8" t="n">
        <x:f>M31</x:f>
        <x:v>0</x:v>
      </x:c>
      <x:c r="G157" s="8" t="n">
        <x:f>N31</x:f>
        <x:v>0</x:v>
      </x:c>
      <x:c r="H157" s="8" t="n">
        <x:f>SUMIFS('PO detail'!$U$2:$U$672,'PO detail'!$A$2:$A$672,B157,'PO detail'!$B$2:$B$672,C157,'PO detail'!$G$2:$G$672,"&gt;="&amp;D157,'PO detail'!$G$2:$G$672,"&lt;"&amp;A157)</x:f>
        <x:v>0</x:v>
      </x:c>
      <x:c r="I157" s="8" t="n">
        <x:f>SUMIFS('PO detail'!$V$2:$V$672,'PO detail'!$A$2:$A$672,B157,'PO detail'!$B$2:$B$672,C157,'PO detail'!$G$2:$G$672,"&gt;="&amp;D157,'PO detail'!$G$2:$G$672,"&lt;"&amp;A157)</x:f>
        <x:v>0</x:v>
      </x:c>
      <x:c r="J157" s="8" t="n">
        <x:f>SUMIFS('PO detail'!$W$2:$W$672,'PO detail'!$A$2:$A$672,B157,'PO detail'!$B$2:$B$672,C157,'PO detail'!$G$2:$G$672,"&gt;="&amp;D157,'PO detail'!$G$2:$G$672,"&lt;"&amp;A157)</x:f>
        <x:v>0</x:v>
      </x:c>
      <x:c r="K157" s="8" t="n">
        <x:f>'Current inventory'!E31*Summary!$D$6*(A157-D157)/30.4375</x:f>
        <x:v>1067.7585215605748</x:v>
      </x:c>
      <x:c r="L157" s="8" t="n">
        <x:f>MAX(0,E157+H157-K157)</x:f>
        <x:v>0</x:v>
      </x:c>
      <x:c r="M157" s="8" t="n">
        <x:f>MAX(0,F157+I157-MAX(0,K157-E157-H157))</x:f>
        <x:v>0</x:v>
      </x:c>
      <x:c r="N157" s="8" t="n">
        <x:f>MAX(0,G157+J157-K157)</x:f>
        <x:v>0</x:v>
      </x:c>
      <x:c r="O157" s="8" t="n">
        <x:f>SUM(L157:N157)</x:f>
        <x:v>0</x:v>
      </x:c>
      <x:c r="P157" s="14" t="n">
        <x:f>'Current inventory'!V31</x:f>
        <x:v>0.2022</x:v>
      </x:c>
      <x:c r="Q157" s="14" t="str">
        <x:f>'Current inventory'!W31</x:f>
        <x:v>n.a.</x:v>
      </x:c>
      <x:c r="R157" s="10" t="n">
        <x:f>L157*P157</x:f>
        <x:v>0</x:v>
      </x:c>
      <x:c r="S157" s="10" t="n">
        <x:f>M157*P157</x:f>
        <x:v>0</x:v>
      </x:c>
      <x:c r="T157" s="10" t="n">
        <x:f>N157*P157</x:f>
        <x:v>0</x:v>
      </x:c>
      <x:c r="U157" s="10" t="n">
        <x:f>O157*P157</x:f>
        <x:v>0</x:v>
      </x:c>
      <x:c r="V157" s="10" t="str">
        <x:f>IF(ISNUMBER(Q157),O157*(Q157-P157),"n.a.")</x:f>
        <x:v>n.a.</x:v>
      </x:c>
      <x:c r="W157" s="10" t="n">
        <x:f>IF(ISNUMBER(Q157),U157,0)</x:f>
        <x:v>0</x:v>
      </x:c>
      <x:c r="X157" s="8" t="n">
        <x:f>MAX(0,K157-SUM(E157:J157))</x:f>
        <x:v>1067.7585215605748</x:v>
      </x:c>
      <x:c r="Y157" s="1" t="str">
        <x:f>IF(AND(O157&gt;0,NOT(ISNUMBER(Q157))),"No proposed replacement standard",IF(X157&gt;0,"Demand exceeds available stock",""))</x:f>
        <x:v>Demand exceeds available stock</x:v>
      </x:c>
      <x:c r="Z157" s="1" t="n">
        <x:f>IF(ISNUMBER(Q157),1,0)</x:f>
        <x:v>0</x:v>
      </x:c>
    </x:row>
    <x:row r="158" ht="21" customHeight="1">
      <x:c r="A158" s="17" t="n">
        <x:f>Summary!B16</x:f>
        <x:v>46357</x:v>
      </x:c>
      <x:c r="B158" s="1" t="str">
        <x:f>'Current inventory'!A32</x:f>
        <x:v>30</x:v>
      </x:c>
      <x:c r="C158" s="1" t="str">
        <x:f>'Current inventory'!B32</x:f>
        <x:v>800BBLKCSC</x:v>
      </x:c>
      <x:c r="D158" s="7" t="n">
        <x:f>A32</x:f>
        <x:v>46327</x:v>
      </x:c>
      <x:c r="E158" s="8" t="n">
        <x:f>L32</x:f>
        <x:v>0</x:v>
      </x:c>
      <x:c r="F158" s="8" t="n">
        <x:f>M32</x:f>
        <x:v>0</x:v>
      </x:c>
      <x:c r="G158" s="8" t="n">
        <x:f>N32</x:f>
        <x:v>2888.4300616016426</x:v>
      </x:c>
      <x:c r="H158" s="8" t="n">
        <x:f>SUMIFS('PO detail'!$U$2:$U$672,'PO detail'!$A$2:$A$672,B158,'PO detail'!$B$2:$B$672,C158,'PO detail'!$G$2:$G$672,"&gt;="&amp;D158,'PO detail'!$G$2:$G$672,"&lt;"&amp;A158)</x:f>
        <x:v>0</x:v>
      </x:c>
      <x:c r="I158" s="8" t="n">
        <x:f>SUMIFS('PO detail'!$V$2:$V$672,'PO detail'!$A$2:$A$672,B158,'PO detail'!$B$2:$B$672,C158,'PO detail'!$G$2:$G$672,"&gt;="&amp;D158,'PO detail'!$G$2:$G$672,"&lt;"&amp;A158)</x:f>
        <x:v>0</x:v>
      </x:c>
      <x:c r="J158" s="8" t="n">
        <x:f>SUMIFS('PO detail'!$W$2:$W$672,'PO detail'!$A$2:$A$672,B158,'PO detail'!$B$2:$B$672,C158,'PO detail'!$G$2:$G$672,"&gt;="&amp;D158,'PO detail'!$G$2:$G$672,"&lt;"&amp;A158)</x:f>
        <x:v>0</x:v>
      </x:c>
      <x:c r="K158" s="8" t="n">
        <x:f>'Current inventory'!E32*Summary!$D$6*(A158-D158)/30.4375</x:f>
        <x:v>928.1347022587269</x:v>
      </x:c>
      <x:c r="L158" s="8" t="n">
        <x:f>MAX(0,E158+H158-K158)</x:f>
        <x:v>0</x:v>
      </x:c>
      <x:c r="M158" s="8" t="n">
        <x:f>MAX(0,F158+I158-MAX(0,K158-E158-H158))</x:f>
        <x:v>0</x:v>
      </x:c>
      <x:c r="N158" s="8" t="n">
        <x:f>MAX(0,G158+J158-K158)</x:f>
        <x:v>1960.2953593429156</x:v>
      </x:c>
      <x:c r="O158" s="8" t="n">
        <x:f>SUM(L158:N158)</x:f>
        <x:v>1960.2953593429156</x:v>
      </x:c>
      <x:c r="P158" s="14" t="n">
        <x:f>'Current inventory'!V32</x:f>
        <x:v>0.1957</x:v>
      </x:c>
      <x:c r="Q158" s="14" t="str">
        <x:f>'Current inventory'!W32</x:f>
        <x:v>n.a.</x:v>
      </x:c>
      <x:c r="R158" s="10" t="n">
        <x:f>L158*P158</x:f>
        <x:v>0</x:v>
      </x:c>
      <x:c r="S158" s="10" t="n">
        <x:f>M158*P158</x:f>
        <x:v>0</x:v>
      </x:c>
      <x:c r="T158" s="10" t="n">
        <x:f>N158*P158</x:f>
        <x:v>383.6298018234086</x:v>
      </x:c>
      <x:c r="U158" s="10" t="n">
        <x:f>O158*P158</x:f>
        <x:v>383.6298018234086</x:v>
      </x:c>
      <x:c r="V158" s="10" t="str">
        <x:f>IF(ISNUMBER(Q158),O158*(Q158-P158),"n.a.")</x:f>
        <x:v>n.a.</x:v>
      </x:c>
      <x:c r="W158" s="10" t="n">
        <x:f>IF(ISNUMBER(Q158),U158,0)</x:f>
        <x:v>0</x:v>
      </x:c>
      <x:c r="X158" s="8" t="n">
        <x:f>MAX(0,K158-SUM(E158:J158))</x:f>
        <x:v>0</x:v>
      </x:c>
      <x:c r="Y158" s="1" t="str">
        <x:f>IF(AND(O158&gt;0,NOT(ISNUMBER(Q158))),"No proposed replacement standard",IF(X158&gt;0,"Demand exceeds available stock",""))</x:f>
        <x:v>No proposed replacement standard</x:v>
      </x:c>
      <x:c r="Z158" s="1" t="n">
        <x:f>IF(ISNUMBER(Q158),1,0)</x:f>
        <x:v>0</x:v>
      </x:c>
    </x:row>
    <x:row r="159" ht="21" customHeight="1">
      <x:c r="A159" s="17" t="n">
        <x:f>Summary!B16</x:f>
        <x:v>46357</x:v>
      </x:c>
      <x:c r="B159" s="1" t="str">
        <x:f>'Current inventory'!A33</x:f>
        <x:v>60</x:v>
      </x:c>
      <x:c r="C159" s="1" t="str">
        <x:f>'Current inventory'!B33</x:f>
        <x:v>800BNAVCSC</x:v>
      </x:c>
      <x:c r="D159" s="7" t="n">
        <x:f>A33</x:f>
        <x:v>46327</x:v>
      </x:c>
      <x:c r="E159" s="8" t="n">
        <x:f>L33</x:f>
        <x:v>0</x:v>
      </x:c>
      <x:c r="F159" s="8" t="n">
        <x:f>M33</x:f>
        <x:v>0</x:v>
      </x:c>
      <x:c r="G159" s="8" t="n">
        <x:f>N33</x:f>
        <x:v>3395.4825462012323</x:v>
      </x:c>
      <x:c r="H159" s="8" t="n">
        <x:f>SUMIFS('PO detail'!$U$2:$U$672,'PO detail'!$A$2:$A$672,B159,'PO detail'!$B$2:$B$672,C159,'PO detail'!$G$2:$G$672,"&gt;="&amp;D159,'PO detail'!$G$2:$G$672,"&lt;"&amp;A159)</x:f>
        <x:v>0</x:v>
      </x:c>
      <x:c r="I159" s="8" t="n">
        <x:f>SUMIFS('PO detail'!$V$2:$V$672,'PO detail'!$A$2:$A$672,B159,'PO detail'!$B$2:$B$672,C159,'PO detail'!$G$2:$G$672,"&gt;="&amp;D159,'PO detail'!$G$2:$G$672,"&lt;"&amp;A159)</x:f>
        <x:v>0</x:v>
      </x:c>
      <x:c r="J159" s="8" t="n">
        <x:f>SUMIFS('PO detail'!$W$2:$W$672,'PO detail'!$A$2:$A$672,B159,'PO detail'!$B$2:$B$672,C159,'PO detail'!$G$2:$G$672,"&gt;="&amp;D159,'PO detail'!$G$2:$G$672,"&lt;"&amp;A159)</x:f>
        <x:v>0</x:v>
      </x:c>
      <x:c r="K159" s="8" t="n">
        <x:f>'Current inventory'!E33*Summary!$D$6*(A159-D159)/30.4375</x:f>
        <x:v>788.5010266940452</x:v>
      </x:c>
      <x:c r="L159" s="8" t="n">
        <x:f>MAX(0,E159+H159-K159)</x:f>
        <x:v>0</x:v>
      </x:c>
      <x:c r="M159" s="8" t="n">
        <x:f>MAX(0,F159+I159-MAX(0,K159-E159-H159))</x:f>
        <x:v>0</x:v>
      </x:c>
      <x:c r="N159" s="8" t="n">
        <x:f>MAX(0,G159+J159-K159)</x:f>
        <x:v>2606.981519507187</x:v>
      </x:c>
      <x:c r="O159" s="8" t="n">
        <x:f>SUM(L159:N159)</x:f>
        <x:v>2606.981519507187</x:v>
      </x:c>
      <x:c r="P159" s="14" t="n">
        <x:f>'Current inventory'!V33</x:f>
        <x:v>0.2022</x:v>
      </x:c>
      <x:c r="Q159" s="14" t="str">
        <x:f>'Current inventory'!W33</x:f>
        <x:v>n.a.</x:v>
      </x:c>
      <x:c r="R159" s="10" t="n">
        <x:f>L159*P159</x:f>
        <x:v>0</x:v>
      </x:c>
      <x:c r="S159" s="10" t="n">
        <x:f>M159*P159</x:f>
        <x:v>0</x:v>
      </x:c>
      <x:c r="T159" s="10" t="n">
        <x:f>N159*P159</x:f>
        <x:v>527.1316632443531</x:v>
      </x:c>
      <x:c r="U159" s="10" t="n">
        <x:f>O159*P159</x:f>
        <x:v>527.1316632443531</x:v>
      </x:c>
      <x:c r="V159" s="10" t="str">
        <x:f>IF(ISNUMBER(Q159),O159*(Q159-P159),"n.a.")</x:f>
        <x:v>n.a.</x:v>
      </x:c>
      <x:c r="W159" s="10" t="n">
        <x:f>IF(ISNUMBER(Q159),U159,0)</x:f>
        <x:v>0</x:v>
      </x:c>
      <x:c r="X159" s="8" t="n">
        <x:f>MAX(0,K159-SUM(E159:J159))</x:f>
        <x:v>0</x:v>
      </x:c>
      <x:c r="Y159" s="1" t="str">
        <x:f>IF(AND(O159&gt;0,NOT(ISNUMBER(Q159))),"No proposed replacement standard",IF(X159&gt;0,"Demand exceeds available stock",""))</x:f>
        <x:v>No proposed replacement standard</x:v>
      </x:c>
      <x:c r="Z159" s="1" t="n">
        <x:f>IF(ISNUMBER(Q159),1,0)</x:f>
        <x:v>0</x:v>
      </x:c>
    </x:row>
    <x:row r="160" ht="21" customHeight="1">
      <x:c r="A160" s="17" t="n">
        <x:f>Summary!B16</x:f>
        <x:v>46357</x:v>
      </x:c>
      <x:c r="B160" s="1" t="str">
        <x:f>'Current inventory'!A34</x:f>
        <x:v>30</x:v>
      </x:c>
      <x:c r="C160" s="1" t="str">
        <x:f>'Current inventory'!B34</x:f>
        <x:v>800BNAVISC</x:v>
      </x:c>
      <x:c r="D160" s="7" t="n">
        <x:f>A34</x:f>
        <x:v>46327</x:v>
      </x:c>
      <x:c r="E160" s="8" t="n">
        <x:f>L34</x:f>
        <x:v>0</x:v>
      </x:c>
      <x:c r="F160" s="8" t="n">
        <x:f>M34</x:f>
        <x:v>0</x:v>
      </x:c>
      <x:c r="G160" s="8" t="n">
        <x:f>N34</x:f>
        <x:v>0</x:v>
      </x:c>
      <x:c r="H160" s="8" t="n">
        <x:f>SUMIFS('PO detail'!$U$2:$U$672,'PO detail'!$A$2:$A$672,B160,'PO detail'!$B$2:$B$672,C160,'PO detail'!$G$2:$G$672,"&gt;="&amp;D160,'PO detail'!$G$2:$G$672,"&lt;"&amp;A160)</x:f>
        <x:v>0</x:v>
      </x:c>
      <x:c r="I160" s="8" t="n">
        <x:f>SUMIFS('PO detail'!$V$2:$V$672,'PO detail'!$A$2:$A$672,B160,'PO detail'!$B$2:$B$672,C160,'PO detail'!$G$2:$G$672,"&gt;="&amp;D160,'PO detail'!$G$2:$G$672,"&lt;"&amp;A160)</x:f>
        <x:v>0</x:v>
      </x:c>
      <x:c r="J160" s="8" t="n">
        <x:f>SUMIFS('PO detail'!$W$2:$W$672,'PO detail'!$A$2:$A$672,B160,'PO detail'!$B$2:$B$672,C160,'PO detail'!$G$2:$G$672,"&gt;="&amp;D160,'PO detail'!$G$2:$G$672,"&lt;"&amp;A160)</x:f>
        <x:v>0</x:v>
      </x:c>
      <x:c r="K160" s="8" t="n">
        <x:f>'Current inventory'!E34*Summary!$D$6*(A160-D160)/30.4375</x:f>
        <x:v>591.3757700205339</x:v>
      </x:c>
      <x:c r="L160" s="8" t="n">
        <x:f>MAX(0,E160+H160-K160)</x:f>
        <x:v>0</x:v>
      </x:c>
      <x:c r="M160" s="8" t="n">
        <x:f>MAX(0,F160+I160-MAX(0,K160-E160-H160))</x:f>
        <x:v>0</x:v>
      </x:c>
      <x:c r="N160" s="8" t="n">
        <x:f>MAX(0,G160+J160-K160)</x:f>
        <x:v>0</x:v>
      </x:c>
      <x:c r="O160" s="8" t="n">
        <x:f>SUM(L160:N160)</x:f>
        <x:v>0</x:v>
      </x:c>
      <x:c r="P160" s="14" t="n">
        <x:f>'Current inventory'!V34</x:f>
        <x:v>0.16870000000000002</x:v>
      </x:c>
      <x:c r="Q160" s="14" t="str">
        <x:f>'Current inventory'!W34</x:f>
        <x:v>n.a.</x:v>
      </x:c>
      <x:c r="R160" s="10" t="n">
        <x:f>L160*P160</x:f>
        <x:v>0</x:v>
      </x:c>
      <x:c r="S160" s="10" t="n">
        <x:f>M160*P160</x:f>
        <x:v>0</x:v>
      </x:c>
      <x:c r="T160" s="10" t="n">
        <x:f>N160*P160</x:f>
        <x:v>0</x:v>
      </x:c>
      <x:c r="U160" s="10" t="n">
        <x:f>O160*P160</x:f>
        <x:v>0</x:v>
      </x:c>
      <x:c r="V160" s="10" t="str">
        <x:f>IF(ISNUMBER(Q160),O160*(Q160-P160),"n.a.")</x:f>
        <x:v>n.a.</x:v>
      </x:c>
      <x:c r="W160" s="10" t="n">
        <x:f>IF(ISNUMBER(Q160),U160,0)</x:f>
        <x:v>0</x:v>
      </x:c>
      <x:c r="X160" s="8" t="n">
        <x:f>MAX(0,K160-SUM(E160:J160))</x:f>
        <x:v>591.3757700205339</x:v>
      </x:c>
      <x:c r="Y160" s="1" t="str">
        <x:f>IF(AND(O160&gt;0,NOT(ISNUMBER(Q160))),"No proposed replacement standard",IF(X160&gt;0,"Demand exceeds available stock",""))</x:f>
        <x:v>Demand exceeds available stock</x:v>
      </x:c>
      <x:c r="Z160" s="1" t="n">
        <x:f>IF(ISNUMBER(Q160),1,0)</x:f>
        <x:v>0</x:v>
      </x:c>
    </x:row>
    <x:row r="161" ht="21" customHeight="1">
      <x:c r="A161" s="17" t="n">
        <x:f>Summary!B16</x:f>
        <x:v>46357</x:v>
      </x:c>
      <x:c r="B161" s="1" t="str">
        <x:f>'Current inventory'!A35</x:f>
        <x:v>10</x:v>
      </x:c>
      <x:c r="C161" s="1" t="str">
        <x:f>'Current inventory'!B35</x:f>
        <x:v>800BMARDSC</x:v>
      </x:c>
      <x:c r="D161" s="7" t="n">
        <x:f>A35</x:f>
        <x:v>46327</x:v>
      </x:c>
      <x:c r="E161" s="8" t="n">
        <x:f>L35</x:f>
        <x:v>0</x:v>
      </x:c>
      <x:c r="F161" s="8" t="n">
        <x:f>M35</x:f>
        <x:v>0</x:v>
      </x:c>
      <x:c r="G161" s="8" t="n">
        <x:f>N35</x:f>
        <x:v>0</x:v>
      </x:c>
      <x:c r="H161" s="8" t="n">
        <x:f>SUMIFS('PO detail'!$U$2:$U$672,'PO detail'!$A$2:$A$672,B161,'PO detail'!$B$2:$B$672,C161,'PO detail'!$G$2:$G$672,"&gt;="&amp;D161,'PO detail'!$G$2:$G$672,"&lt;"&amp;A161)</x:f>
        <x:v>0</x:v>
      </x:c>
      <x:c r="I161" s="8" t="n">
        <x:f>SUMIFS('PO detail'!$V$2:$V$672,'PO detail'!$A$2:$A$672,B161,'PO detail'!$B$2:$B$672,C161,'PO detail'!$G$2:$G$672,"&gt;="&amp;D161,'PO detail'!$G$2:$G$672,"&lt;"&amp;A161)</x:f>
        <x:v>0</x:v>
      </x:c>
      <x:c r="J161" s="8" t="n">
        <x:f>SUMIFS('PO detail'!$W$2:$W$672,'PO detail'!$A$2:$A$672,B161,'PO detail'!$B$2:$B$672,C161,'PO detail'!$G$2:$G$672,"&gt;="&amp;D161,'PO detail'!$G$2:$G$672,"&lt;"&amp;A161)</x:f>
        <x:v>0</x:v>
      </x:c>
      <x:c r="K161" s="8" t="n">
        <x:f>'Current inventory'!E35*Summary!$D$6*(A161-D161)/30.4375</x:f>
        <x:v>451.7519507186858</x:v>
      </x:c>
      <x:c r="L161" s="8" t="n">
        <x:f>MAX(0,E161+H161-K161)</x:f>
        <x:v>0</x:v>
      </x:c>
      <x:c r="M161" s="8" t="n">
        <x:f>MAX(0,F161+I161-MAX(0,K161-E161-H161))</x:f>
        <x:v>0</x:v>
      </x:c>
      <x:c r="N161" s="8" t="n">
        <x:f>MAX(0,G161+J161-K161)</x:f>
        <x:v>0</x:v>
      </x:c>
      <x:c r="O161" s="8" t="n">
        <x:f>SUM(L161:N161)</x:f>
        <x:v>0</x:v>
      </x:c>
      <x:c r="P161" s="14" t="n">
        <x:f>'Current inventory'!V35</x:f>
        <x:v>0.3998</x:v>
      </x:c>
      <x:c r="Q161" s="14" t="str">
        <x:f>'Current inventory'!W35</x:f>
        <x:v>n.a.</x:v>
      </x:c>
      <x:c r="R161" s="10" t="n">
        <x:f>L161*P161</x:f>
        <x:v>0</x:v>
      </x:c>
      <x:c r="S161" s="10" t="n">
        <x:f>M161*P161</x:f>
        <x:v>0</x:v>
      </x:c>
      <x:c r="T161" s="10" t="n">
        <x:f>N161*P161</x:f>
        <x:v>0</x:v>
      </x:c>
      <x:c r="U161" s="10" t="n">
        <x:f>O161*P161</x:f>
        <x:v>0</x:v>
      </x:c>
      <x:c r="V161" s="10" t="str">
        <x:f>IF(ISNUMBER(Q161),O161*(Q161-P161),"n.a.")</x:f>
        <x:v>n.a.</x:v>
      </x:c>
      <x:c r="W161" s="10" t="n">
        <x:f>IF(ISNUMBER(Q161),U161,0)</x:f>
        <x:v>0</x:v>
      </x:c>
      <x:c r="X161" s="8" t="n">
        <x:f>MAX(0,K161-SUM(E161:J161))</x:f>
        <x:v>451.7519507186858</x:v>
      </x:c>
      <x:c r="Y161" s="1" t="str">
        <x:f>IF(AND(O161&gt;0,NOT(ISNUMBER(Q161))),"No proposed replacement standard",IF(X161&gt;0,"Demand exceeds available stock",""))</x:f>
        <x:v>Demand exceeds available stock</x:v>
      </x:c>
      <x:c r="Z161" s="1" t="n">
        <x:f>IF(ISNUMBER(Q161),1,0)</x:f>
        <x:v>0</x:v>
      </x:c>
    </x:row>
    <x:row r="162" ht="21" customHeight="1">
      <x:c r="A162" s="17" t="n">
        <x:f>Summary!B16</x:f>
        <x:v>46357</x:v>
      </x:c>
      <x:c r="B162" s="1" t="str">
        <x:f>'Current inventory'!A36</x:f>
        <x:v>10</x:v>
      </x:c>
      <x:c r="C162" s="1" t="str">
        <x:f>'Current inventory'!B36</x:f>
        <x:v>800BMARISC</x:v>
      </x:c>
      <x:c r="D162" s="7" t="n">
        <x:f>A36</x:f>
        <x:v>46327</x:v>
      </x:c>
      <x:c r="E162" s="8" t="n">
        <x:f>L36</x:f>
        <x:v>0</x:v>
      </x:c>
      <x:c r="F162" s="8" t="n">
        <x:f>M36</x:f>
        <x:v>0</x:v>
      </x:c>
      <x:c r="G162" s="8" t="n">
        <x:f>N36</x:f>
        <x:v>1559.958932238193</x:v>
      </x:c>
      <x:c r="H162" s="8" t="n">
        <x:f>SUMIFS('PO detail'!$U$2:$U$672,'PO detail'!$A$2:$A$672,B162,'PO detail'!$B$2:$B$672,C162,'PO detail'!$G$2:$G$672,"&gt;="&amp;D162,'PO detail'!$G$2:$G$672,"&lt;"&amp;A162)</x:f>
        <x:v>0</x:v>
      </x:c>
      <x:c r="I162" s="8" t="n">
        <x:f>SUMIFS('PO detail'!$V$2:$V$672,'PO detail'!$A$2:$A$672,B162,'PO detail'!$B$2:$B$672,C162,'PO detail'!$G$2:$G$672,"&gt;="&amp;D162,'PO detail'!$G$2:$G$672,"&lt;"&amp;A162)</x:f>
        <x:v>0</x:v>
      </x:c>
      <x:c r="J162" s="8" t="n">
        <x:f>SUMIFS('PO detail'!$W$2:$W$672,'PO detail'!$A$2:$A$672,B162,'PO detail'!$B$2:$B$672,C162,'PO detail'!$G$2:$G$672,"&gt;="&amp;D162,'PO detail'!$G$2:$G$672,"&lt;"&amp;A162)</x:f>
        <x:v>0</x:v>
      </x:c>
      <x:c r="K162" s="8" t="n">
        <x:f>'Current inventory'!E36*Summary!$D$6*(A162-D162)/30.4375</x:f>
        <x:v>443.53182751540044</x:v>
      </x:c>
      <x:c r="L162" s="8" t="n">
        <x:f>MAX(0,E162+H162-K162)</x:f>
        <x:v>0</x:v>
      </x:c>
      <x:c r="M162" s="8" t="n">
        <x:f>MAX(0,F162+I162-MAX(0,K162-E162-H162))</x:f>
        <x:v>0</x:v>
      </x:c>
      <x:c r="N162" s="8" t="n">
        <x:f>MAX(0,G162+J162-K162)</x:f>
        <x:v>1116.4271047227926</x:v>
      </x:c>
      <x:c r="O162" s="8" t="n">
        <x:f>SUM(L162:N162)</x:f>
        <x:v>1116.4271047227926</x:v>
      </x:c>
      <x:c r="P162" s="14" t="n">
        <x:f>'Current inventory'!V36</x:f>
        <x:v>0.1946</x:v>
      </x:c>
      <x:c r="Q162" s="14" t="str">
        <x:f>'Current inventory'!W36</x:f>
        <x:v>n.a.</x:v>
      </x:c>
      <x:c r="R162" s="10" t="n">
        <x:f>L162*P162</x:f>
        <x:v>0</x:v>
      </x:c>
      <x:c r="S162" s="10" t="n">
        <x:f>M162*P162</x:f>
        <x:v>0</x:v>
      </x:c>
      <x:c r="T162" s="10" t="n">
        <x:f>N162*P162</x:f>
        <x:v>217.25671457905543</x:v>
      </x:c>
      <x:c r="U162" s="10" t="n">
        <x:f>O162*P162</x:f>
        <x:v>217.25671457905543</x:v>
      </x:c>
      <x:c r="V162" s="10" t="str">
        <x:f>IF(ISNUMBER(Q162),O162*(Q162-P162),"n.a.")</x:f>
        <x:v>n.a.</x:v>
      </x:c>
      <x:c r="W162" s="10" t="n">
        <x:f>IF(ISNUMBER(Q162),U162,0)</x:f>
        <x:v>0</x:v>
      </x:c>
      <x:c r="X162" s="8" t="n">
        <x:f>MAX(0,K162-SUM(E162:J162))</x:f>
        <x:v>0</x:v>
      </x:c>
      <x:c r="Y162" s="1" t="str">
        <x:f>IF(AND(O162&gt;0,NOT(ISNUMBER(Q162))),"No proposed replacement standard",IF(X162&gt;0,"Demand exceeds available stock",""))</x:f>
        <x:v>No proposed replacement standard</x:v>
      </x:c>
      <x:c r="Z162" s="1" t="n">
        <x:f>IF(ISNUMBER(Q162),1,0)</x:f>
        <x:v>0</x:v>
      </x:c>
    </x:row>
    <x:row r="163" ht="21" customHeight="1">
      <x:c r="A163" s="17" t="n">
        <x:f>Summary!B16</x:f>
        <x:v>46357</x:v>
      </x:c>
      <x:c r="B163" s="1" t="str">
        <x:f>'Current inventory'!A37</x:f>
        <x:v>30</x:v>
      </x:c>
      <x:c r="C163" s="1" t="str">
        <x:f>'Current inventory'!B37</x:f>
        <x:v>800BNAVBRC</x:v>
      </x:c>
      <x:c r="D163" s="7" t="n">
        <x:f>A37</x:f>
        <x:v>46327</x:v>
      </x:c>
      <x:c r="E163" s="8" t="n">
        <x:f>L37</x:f>
        <x:v>0</x:v>
      </x:c>
      <x:c r="F163" s="8" t="n">
        <x:f>M37</x:f>
        <x:v>0</x:v>
      </x:c>
      <x:c r="G163" s="8" t="n">
        <x:f>N37</x:f>
        <x:v>1397.7412731006161</x:v>
      </x:c>
      <x:c r="H163" s="8" t="n">
        <x:f>SUMIFS('PO detail'!$U$2:$U$672,'PO detail'!$A$2:$A$672,B163,'PO detail'!$B$2:$B$672,C163,'PO detail'!$G$2:$G$672,"&gt;="&amp;D163,'PO detail'!$G$2:$G$672,"&lt;"&amp;A163)</x:f>
        <x:v>0</x:v>
      </x:c>
      <x:c r="I163" s="8" t="n">
        <x:f>SUMIFS('PO detail'!$V$2:$V$672,'PO detail'!$A$2:$A$672,B163,'PO detail'!$B$2:$B$672,C163,'PO detail'!$G$2:$G$672,"&gt;="&amp;D163,'PO detail'!$G$2:$G$672,"&lt;"&amp;A163)</x:f>
        <x:v>0</x:v>
      </x:c>
      <x:c r="J163" s="8" t="n">
        <x:f>SUMIFS('PO detail'!$W$2:$W$672,'PO detail'!$A$2:$A$672,B163,'PO detail'!$B$2:$B$672,C163,'PO detail'!$G$2:$G$672,"&gt;="&amp;D163,'PO detail'!$G$2:$G$672,"&lt;"&amp;A163)</x:f>
        <x:v>0</x:v>
      </x:c>
      <x:c r="K163" s="8" t="n">
        <x:f>'Current inventory'!E37*Summary!$D$6*(A163-D163)/30.4375</x:f>
        <x:v>394.2505133470226</x:v>
      </x:c>
      <x:c r="L163" s="8" t="n">
        <x:f>MAX(0,E163+H163-K163)</x:f>
        <x:v>0</x:v>
      </x:c>
      <x:c r="M163" s="8" t="n">
        <x:f>MAX(0,F163+I163-MAX(0,K163-E163-H163))</x:f>
        <x:v>0</x:v>
      </x:c>
      <x:c r="N163" s="8" t="n">
        <x:f>MAX(0,G163+J163-K163)</x:f>
        <x:v>1003.4907597535935</x:v>
      </x:c>
      <x:c r="O163" s="8" t="n">
        <x:f>SUM(L163:N163)</x:f>
        <x:v>1003.4907597535935</x:v>
      </x:c>
      <x:c r="P163" s="14" t="n">
        <x:f>'Current inventory'!V37</x:f>
        <x:v>0.17370000000000002</x:v>
      </x:c>
      <x:c r="Q163" s="14" t="str">
        <x:f>'Current inventory'!W37</x:f>
        <x:v>n.a.</x:v>
      </x:c>
      <x:c r="R163" s="10" t="n">
        <x:f>L163*P163</x:f>
        <x:v>0</x:v>
      </x:c>
      <x:c r="S163" s="10" t="n">
        <x:f>M163*P163</x:f>
        <x:v>0</x:v>
      </x:c>
      <x:c r="T163" s="10" t="n">
        <x:f>N163*P163</x:f>
        <x:v>174.30634496919922</x:v>
      </x:c>
      <x:c r="U163" s="10" t="n">
        <x:f>O163*P163</x:f>
        <x:v>174.30634496919922</x:v>
      </x:c>
      <x:c r="V163" s="10" t="str">
        <x:f>IF(ISNUMBER(Q163),O163*(Q163-P163),"n.a.")</x:f>
        <x:v>n.a.</x:v>
      </x:c>
      <x:c r="W163" s="10" t="n">
        <x:f>IF(ISNUMBER(Q163),U163,0)</x:f>
        <x:v>0</x:v>
      </x:c>
      <x:c r="X163" s="8" t="n">
        <x:f>MAX(0,K163-SUM(E163:J163))</x:f>
        <x:v>0</x:v>
      </x:c>
      <x:c r="Y163" s="1" t="str">
        <x:f>IF(AND(O163&gt;0,NOT(ISNUMBER(Q163))),"No proposed replacement standard",IF(X163&gt;0,"Demand exceeds available stock",""))</x:f>
        <x:v>No proposed replacement standard</x:v>
      </x:c>
      <x:c r="Z163" s="1" t="n">
        <x:f>IF(ISNUMBER(Q163),1,0)</x:f>
        <x:v>0</x:v>
      </x:c>
    </x:row>
    <x:row r="164" ht="21" customHeight="1">
      <x:c r="A164" s="17" t="n">
        <x:f>Summary!B16</x:f>
        <x:v>46357</x:v>
      </x:c>
      <x:c r="B164" s="1" t="str">
        <x:f>'Current inventory'!A38</x:f>
        <x:v>10</x:v>
      </x:c>
      <x:c r="C164" s="1" t="str">
        <x:f>'Current inventory'!B38</x:f>
        <x:v>800BMARBRC</x:v>
      </x:c>
      <x:c r="D164" s="7" t="n">
        <x:f>A38</x:f>
        <x:v>46327</x:v>
      </x:c>
      <x:c r="E164" s="8" t="n">
        <x:f>L38</x:f>
        <x:v>0</x:v>
      </x:c>
      <x:c r="F164" s="8" t="n">
        <x:f>M38</x:f>
        <x:v>0</x:v>
      </x:c>
      <x:c r="G164" s="8" t="n">
        <x:f>N38</x:f>
        <x:v>3116.6324435318274</x:v>
      </x:c>
      <x:c r="H164" s="8" t="n">
        <x:f>SUMIFS('PO detail'!$U$2:$U$672,'PO detail'!$A$2:$A$672,B164,'PO detail'!$B$2:$B$672,C164,'PO detail'!$G$2:$G$672,"&gt;="&amp;D164,'PO detail'!$G$2:$G$672,"&lt;"&amp;A164)</x:f>
        <x:v>0</x:v>
      </x:c>
      <x:c r="I164" s="8" t="n">
        <x:f>SUMIFS('PO detail'!$V$2:$V$672,'PO detail'!$A$2:$A$672,B164,'PO detail'!$B$2:$B$672,C164,'PO detail'!$G$2:$G$672,"&gt;="&amp;D164,'PO detail'!$G$2:$G$672,"&lt;"&amp;A164)</x:f>
        <x:v>0</x:v>
      </x:c>
      <x:c r="J164" s="8" t="n">
        <x:f>SUMIFS('PO detail'!$W$2:$W$672,'PO detail'!$A$2:$A$672,B164,'PO detail'!$B$2:$B$672,C164,'PO detail'!$G$2:$G$672,"&gt;="&amp;D164,'PO detail'!$G$2:$G$672,"&lt;"&amp;A164)</x:f>
        <x:v>0</x:v>
      </x:c>
      <x:c r="K164" s="8" t="n">
        <x:f>'Current inventory'!E38*Summary!$D$6*(A164-D164)/30.4375</x:f>
        <x:v>369.60985626283366</x:v>
      </x:c>
      <x:c r="L164" s="8" t="n">
        <x:f>MAX(0,E164+H164-K164)</x:f>
        <x:v>0</x:v>
      </x:c>
      <x:c r="M164" s="8" t="n">
        <x:f>MAX(0,F164+I164-MAX(0,K164-E164-H164))</x:f>
        <x:v>0</x:v>
      </x:c>
      <x:c r="N164" s="8" t="n">
        <x:f>MAX(0,G164+J164-K164)</x:f>
        <x:v>2747.022587268994</x:v>
      </x:c>
      <x:c r="O164" s="8" t="n">
        <x:f>SUM(L164:N164)</x:f>
        <x:v>2747.022587268994</x:v>
      </x:c>
      <x:c r="P164" s="14" t="n">
        <x:f>'Current inventory'!V38</x:f>
        <x:v>0.1996</x:v>
      </x:c>
      <x:c r="Q164" s="14" t="str">
        <x:f>'Current inventory'!W38</x:f>
        <x:v>n.a.</x:v>
      </x:c>
      <x:c r="R164" s="10" t="n">
        <x:f>L164*P164</x:f>
        <x:v>0</x:v>
      </x:c>
      <x:c r="S164" s="10" t="n">
        <x:f>M164*P164</x:f>
        <x:v>0</x:v>
      </x:c>
      <x:c r="T164" s="10" t="n">
        <x:f>N164*P164</x:f>
        <x:v>548.3057084188912</x:v>
      </x:c>
      <x:c r="U164" s="10" t="n">
        <x:f>O164*P164</x:f>
        <x:v>548.3057084188912</x:v>
      </x:c>
      <x:c r="V164" s="10" t="str">
        <x:f>IF(ISNUMBER(Q164),O164*(Q164-P164),"n.a.")</x:f>
        <x:v>n.a.</x:v>
      </x:c>
      <x:c r="W164" s="10" t="n">
        <x:f>IF(ISNUMBER(Q164),U164,0)</x:f>
        <x:v>0</x:v>
      </x:c>
      <x:c r="X164" s="8" t="n">
        <x:f>MAX(0,K164-SUM(E164:J164))</x:f>
        <x:v>0</x:v>
      </x:c>
      <x:c r="Y164" s="1" t="str">
        <x:f>IF(AND(O164&gt;0,NOT(ISNUMBER(Q164))),"No proposed replacement standard",IF(X164&gt;0,"Demand exceeds available stock",""))</x:f>
        <x:v>No proposed replacement standard</x:v>
      </x:c>
      <x:c r="Z164" s="1" t="n">
        <x:f>IF(ISNUMBER(Q164),1,0)</x:f>
        <x:v>0</x:v>
      </x:c>
    </x:row>
    <x:row r="165" ht="21" customHeight="1">
      <x:c r="A165" s="17" t="n">
        <x:f>Summary!B16</x:f>
        <x:v>46357</x:v>
      </x:c>
      <x:c r="B165" s="1" t="str">
        <x:f>'Current inventory'!A39</x:f>
        <x:v>30</x:v>
      </x:c>
      <x:c r="C165" s="1" t="str">
        <x:f>'Current inventory'!B39</x:f>
        <x:v>800BBLKBRC</x:v>
      </x:c>
      <x:c r="D165" s="7" t="n">
        <x:f>A39</x:f>
        <x:v>46327</x:v>
      </x:c>
      <x:c r="E165" s="8" t="n">
        <x:f>L39</x:f>
        <x:v>0</x:v>
      </x:c>
      <x:c r="F165" s="8" t="n">
        <x:f>M39</x:f>
        <x:v>0</x:v>
      </x:c>
      <x:c r="G165" s="8" t="n">
        <x:f>N39</x:f>
        <x:v>1748.870636550308</x:v>
      </x:c>
      <x:c r="H165" s="8" t="n">
        <x:f>SUMIFS('PO detail'!$U$2:$U$672,'PO detail'!$A$2:$A$672,B165,'PO detail'!$B$2:$B$672,C165,'PO detail'!$G$2:$G$672,"&gt;="&amp;D165,'PO detail'!$G$2:$G$672,"&lt;"&amp;A165)</x:f>
        <x:v>0</x:v>
      </x:c>
      <x:c r="I165" s="8" t="n">
        <x:f>SUMIFS('PO detail'!$V$2:$V$672,'PO detail'!$A$2:$A$672,B165,'PO detail'!$B$2:$B$672,C165,'PO detail'!$G$2:$G$672,"&gt;="&amp;D165,'PO detail'!$G$2:$G$672,"&lt;"&amp;A165)</x:f>
        <x:v>0</x:v>
      </x:c>
      <x:c r="J165" s="8" t="n">
        <x:f>SUMIFS('PO detail'!$W$2:$W$672,'PO detail'!$A$2:$A$672,B165,'PO detail'!$B$2:$B$672,C165,'PO detail'!$G$2:$G$672,"&gt;="&amp;D165,'PO detail'!$G$2:$G$672,"&lt;"&amp;A165)</x:f>
        <x:v>0</x:v>
      </x:c>
      <x:c r="K165" s="8" t="n">
        <x:f>'Current inventory'!E39*Summary!$D$6*(A165-D165)/30.4375</x:f>
        <x:v>197.1252566735113</x:v>
      </x:c>
      <x:c r="L165" s="8" t="n">
        <x:f>MAX(0,E165+H165-K165)</x:f>
        <x:v>0</x:v>
      </x:c>
      <x:c r="M165" s="8" t="n">
        <x:f>MAX(0,F165+I165-MAX(0,K165-E165-H165))</x:f>
        <x:v>0</x:v>
      </x:c>
      <x:c r="N165" s="8" t="n">
        <x:f>MAX(0,G165+J165-K165)</x:f>
        <x:v>1551.7453798767967</x:v>
      </x:c>
      <x:c r="O165" s="8" t="n">
        <x:f>SUM(L165:N165)</x:f>
        <x:v>1551.7453798767967</x:v>
      </x:c>
      <x:c r="P165" s="14" t="n">
        <x:f>'Current inventory'!V39</x:f>
        <x:v>0.16829999999999998</x:v>
      </x:c>
      <x:c r="Q165" s="14" t="str">
        <x:f>'Current inventory'!W39</x:f>
        <x:v>n.a.</x:v>
      </x:c>
      <x:c r="R165" s="10" t="n">
        <x:f>L165*P165</x:f>
        <x:v>0</x:v>
      </x:c>
      <x:c r="S165" s="10" t="n">
        <x:f>M165*P165</x:f>
        <x:v>0</x:v>
      </x:c>
      <x:c r="T165" s="10" t="n">
        <x:f>N165*P165</x:f>
        <x:v>261.15874743326486</x:v>
      </x:c>
      <x:c r="U165" s="10" t="n">
        <x:f>O165*P165</x:f>
        <x:v>261.15874743326486</x:v>
      </x:c>
      <x:c r="V165" s="10" t="str">
        <x:f>IF(ISNUMBER(Q165),O165*(Q165-P165),"n.a.")</x:f>
        <x:v>n.a.</x:v>
      </x:c>
      <x:c r="W165" s="10" t="n">
        <x:f>IF(ISNUMBER(Q165),U165,0)</x:f>
        <x:v>0</x:v>
      </x:c>
      <x:c r="X165" s="8" t="n">
        <x:f>MAX(0,K165-SUM(E165:J165))</x:f>
        <x:v>0</x:v>
      </x:c>
      <x:c r="Y165" s="1" t="str">
        <x:f>IF(AND(O165&gt;0,NOT(ISNUMBER(Q165))),"No proposed replacement standard",IF(X165&gt;0,"Demand exceeds available stock",""))</x:f>
        <x:v>No proposed replacement standard</x:v>
      </x:c>
      <x:c r="Z165" s="1" t="n">
        <x:f>IF(ISNUMBER(Q165),1,0)</x:f>
        <x:v>0</x:v>
      </x:c>
    </x:row>
    <x:row r="166" ht="21" customHeight="1">
      <x:c r="A166" s="17" t="n">
        <x:f>Summary!B16</x:f>
        <x:v>46357</x:v>
      </x:c>
      <x:c r="B166" s="1" t="str">
        <x:f>'Current inventory'!A40</x:f>
        <x:v>30</x:v>
      </x:c>
      <x:c r="C166" s="1" t="str">
        <x:f>'Current inventory'!B40</x:f>
        <x:v>800BNAVCSC</x:v>
      </x:c>
      <x:c r="D166" s="7" t="n">
        <x:f>A40</x:f>
        <x:v>46327</x:v>
      </x:c>
      <x:c r="E166" s="8" t="n">
        <x:f>L40</x:f>
        <x:v>0</x:v>
      </x:c>
      <x:c r="F166" s="8" t="n">
        <x:f>M40</x:f>
        <x:v>0</x:v>
      </x:c>
      <x:c r="G166" s="8" t="n">
        <x:f>N40</x:f>
        <x:v>61.46726899383984</x:v>
      </x:c>
      <x:c r="H166" s="8" t="n">
        <x:f>SUMIFS('PO detail'!$U$2:$U$672,'PO detail'!$A$2:$A$672,B166,'PO detail'!$B$2:$B$672,C166,'PO detail'!$G$2:$G$672,"&gt;="&amp;D166,'PO detail'!$G$2:$G$672,"&lt;"&amp;A166)</x:f>
        <x:v>0</x:v>
      </x:c>
      <x:c r="I166" s="8" t="n">
        <x:f>SUMIFS('PO detail'!$V$2:$V$672,'PO detail'!$A$2:$A$672,B166,'PO detail'!$B$2:$B$672,C166,'PO detail'!$G$2:$G$672,"&gt;="&amp;D166,'PO detail'!$G$2:$G$672,"&lt;"&amp;A166)</x:f>
        <x:v>0</x:v>
      </x:c>
      <x:c r="J166" s="8" t="n">
        <x:f>SUMIFS('PO detail'!$W$2:$W$672,'PO detail'!$A$2:$A$672,B166,'PO detail'!$B$2:$B$672,C166,'PO detail'!$G$2:$G$672,"&gt;="&amp;D166,'PO detail'!$G$2:$G$672,"&lt;"&amp;A166)</x:f>
        <x:v>0</x:v>
      </x:c>
      <x:c r="K166" s="8" t="n">
        <x:f>'Current inventory'!E40*Summary!$D$6*(A166-D166)/30.4375</x:f>
        <x:v>180.69486652977415</x:v>
      </x:c>
      <x:c r="L166" s="8" t="n">
        <x:f>MAX(0,E166+H166-K166)</x:f>
        <x:v>0</x:v>
      </x:c>
      <x:c r="M166" s="8" t="n">
        <x:f>MAX(0,F166+I166-MAX(0,K166-E166-H166))</x:f>
        <x:v>0</x:v>
      </x:c>
      <x:c r="N166" s="8" t="n">
        <x:f>MAX(0,G166+J166-K166)</x:f>
        <x:v>0</x:v>
      </x:c>
      <x:c r="O166" s="8" t="n">
        <x:f>SUM(L166:N166)</x:f>
        <x:v>0</x:v>
      </x:c>
      <x:c r="P166" s="14" t="n">
        <x:f>'Current inventory'!V40</x:f>
        <x:v>0.2022</x:v>
      </x:c>
      <x:c r="Q166" s="14" t="str">
        <x:f>'Current inventory'!W40</x:f>
        <x:v>n.a.</x:v>
      </x:c>
      <x:c r="R166" s="10" t="n">
        <x:f>L166*P166</x:f>
        <x:v>0</x:v>
      </x:c>
      <x:c r="S166" s="10" t="n">
        <x:f>M166*P166</x:f>
        <x:v>0</x:v>
      </x:c>
      <x:c r="T166" s="10" t="n">
        <x:f>N166*P166</x:f>
        <x:v>0</x:v>
      </x:c>
      <x:c r="U166" s="10" t="n">
        <x:f>O166*P166</x:f>
        <x:v>0</x:v>
      </x:c>
      <x:c r="V166" s="10" t="str">
        <x:f>IF(ISNUMBER(Q166),O166*(Q166-P166),"n.a.")</x:f>
        <x:v>n.a.</x:v>
      </x:c>
      <x:c r="W166" s="10" t="n">
        <x:f>IF(ISNUMBER(Q166),U166,0)</x:f>
        <x:v>0</x:v>
      </x:c>
      <x:c r="X166" s="8" t="n">
        <x:f>MAX(0,K166-SUM(E166:J166))</x:f>
        <x:v>119.22759753593431</x:v>
      </x:c>
      <x:c r="Y166" s="1" t="str">
        <x:f>IF(AND(O166&gt;0,NOT(ISNUMBER(Q166))),"No proposed replacement standard",IF(X166&gt;0,"Demand exceeds available stock",""))</x:f>
        <x:v>Demand exceeds available stock</x:v>
      </x:c>
      <x:c r="Z166" s="1" t="n">
        <x:f>IF(ISNUMBER(Q166),1,0)</x:f>
        <x:v>0</x:v>
      </x:c>
    </x:row>
    <x:row r="167" ht="21" customHeight="1">
      <x:c r="A167" s="17" t="n">
        <x:f>Summary!B16</x:f>
        <x:v>46357</x:v>
      </x:c>
      <x:c r="B167" s="1" t="str">
        <x:f>'Current inventory'!A41</x:f>
        <x:v>10</x:v>
      </x:c>
      <x:c r="C167" s="1" t="str">
        <x:f>'Current inventory'!B41</x:f>
        <x:v>800MARE</x:v>
      </x:c>
      <x:c r="D167" s="7" t="n">
        <x:f>A41</x:f>
        <x:v>46327</x:v>
      </x:c>
      <x:c r="E167" s="8" t="n">
        <x:f>L41</x:f>
        <x:v>1035.7793839835729</x:v>
      </x:c>
      <x:c r="F167" s="8" t="n">
        <x:f>M41</x:f>
        <x:v>0</x:v>
      </x:c>
      <x:c r="G167" s="8" t="n">
        <x:f>N41</x:f>
        <x:v>0</x:v>
      </x:c>
      <x:c r="H167" s="8" t="n">
        <x:f>SUMIFS('PO detail'!$U$2:$U$672,'PO detail'!$A$2:$A$672,B167,'PO detail'!$B$2:$B$672,C167,'PO detail'!$G$2:$G$672,"&gt;="&amp;D167,'PO detail'!$G$2:$G$672,"&lt;"&amp;A167)</x:f>
        <x:v>0</x:v>
      </x:c>
      <x:c r="I167" s="8" t="n">
        <x:f>SUMIFS('PO detail'!$V$2:$V$672,'PO detail'!$A$2:$A$672,B167,'PO detail'!$B$2:$B$672,C167,'PO detail'!$G$2:$G$672,"&gt;="&amp;D167,'PO detail'!$G$2:$G$672,"&lt;"&amp;A167)</x:f>
        <x:v>0</x:v>
      </x:c>
      <x:c r="J167" s="8" t="n">
        <x:f>SUMIFS('PO detail'!$W$2:$W$672,'PO detail'!$A$2:$A$672,B167,'PO detail'!$B$2:$B$672,C167,'PO detail'!$G$2:$G$672,"&gt;="&amp;D167,'PO detail'!$G$2:$G$672,"&lt;"&amp;A167)</x:f>
        <x:v>0</x:v>
      </x:c>
      <x:c r="K167" s="8" t="n">
        <x:f>'Current inventory'!E41*Summary!$D$6*(A167-D167)/30.4375</x:f>
        <x:v>169.85297741273104</x:v>
      </x:c>
      <x:c r="L167" s="8" t="n">
        <x:f>MAX(0,E167+H167-K167)</x:f>
        <x:v>865.9264065708419</x:v>
      </x:c>
      <x:c r="M167" s="8" t="n">
        <x:f>MAX(0,F167+I167-MAX(0,K167-E167-H167))</x:f>
        <x:v>0</x:v>
      </x:c>
      <x:c r="N167" s="8" t="n">
        <x:f>MAX(0,G167+J167-K167)</x:f>
        <x:v>0</x:v>
      </x:c>
      <x:c r="O167" s="8" t="n">
        <x:f>SUM(L167:N167)</x:f>
        <x:v>865.9264065708419</x:v>
      </x:c>
      <x:c r="P167" s="14" t="n">
        <x:f>'Current inventory'!V41</x:f>
        <x:v>1.29129</x:v>
      </x:c>
      <x:c r="Q167" s="14" t="n">
        <x:f>'Current inventory'!W41</x:f>
        <x:v>1.349355</x:v>
      </x:c>
      <x:c r="R167" s="10" t="n">
        <x:f>L167*P167</x:f>
        <x:v>1118.1621095408625</x:v>
      </x:c>
      <x:c r="S167" s="10" t="n">
        <x:f>M167*P167</x:f>
        <x:v>0</x:v>
      </x:c>
      <x:c r="T167" s="10" t="n">
        <x:f>N167*P167</x:f>
        <x:v>0</x:v>
      </x:c>
      <x:c r="U167" s="10" t="n">
        <x:f>O167*P167</x:f>
        <x:v>1118.1621095408625</x:v>
      </x:c>
      <x:c r="V167" s="10" t="n">
        <x:f>IF(ISNUMBER(Q167),O167*(Q167-P167),"n.a.")</x:f>
        <x:v>50.280016797535964</x:v>
      </x:c>
      <x:c r="W167" s="10" t="n">
        <x:f>IF(ISNUMBER(Q167),U167,0)</x:f>
        <x:v>1118.1621095408625</x:v>
      </x:c>
      <x:c r="X167" s="8" t="n">
        <x:f>MAX(0,K167-SUM(E167:J167))</x:f>
        <x:v>0</x:v>
      </x:c>
      <x:c r="Y167" s="1" t="str">
        <x:f>IF(AND(O167&gt;0,NOT(ISNUMBER(Q167))),"No proposed replacement standard",IF(X167&gt;0,"Demand exceeds available stock",""))</x:f>
      </x:c>
      <x:c r="Z167" s="1" t="n">
        <x:f>IF(ISNUMBER(Q167),1,0)</x:f>
        <x:v>1</x:v>
      </x:c>
    </x:row>
    <x:row r="168" ht="21" customHeight="1">
      <x:c r="A168" s="17" t="n">
        <x:f>Summary!B16</x:f>
        <x:v>46357</x:v>
      </x:c>
      <x:c r="B168" s="1" t="str">
        <x:f>'Current inventory'!A42</x:f>
        <x:v>30</x:v>
      </x:c>
      <x:c r="C168" s="1" t="str">
        <x:f>'Current inventory'!B42</x:f>
        <x:v>800BMARBRC</x:v>
      </x:c>
      <x:c r="D168" s="7" t="n">
        <x:f>A42</x:f>
        <x:v>46327</x:v>
      </x:c>
      <x:c r="E168" s="8" t="n">
        <x:f>L42</x:f>
        <x:v>0</x:v>
      </x:c>
      <x:c r="F168" s="8" t="n">
        <x:f>M42</x:f>
        <x:v>0</x:v>
      </x:c>
      <x:c r="G168" s="8" t="n">
        <x:f>N42</x:f>
        <x:v>574.0563449691992</x:v>
      </x:c>
      <x:c r="H168" s="8" t="n">
        <x:f>SUMIFS('PO detail'!$U$2:$U$672,'PO detail'!$A$2:$A$672,B168,'PO detail'!$B$2:$B$672,C168,'PO detail'!$G$2:$G$672,"&gt;="&amp;D168,'PO detail'!$G$2:$G$672,"&lt;"&amp;A168)</x:f>
        <x:v>0</x:v>
      </x:c>
      <x:c r="I168" s="8" t="n">
        <x:f>SUMIFS('PO detail'!$V$2:$V$672,'PO detail'!$A$2:$A$672,B168,'PO detail'!$B$2:$B$672,C168,'PO detail'!$G$2:$G$672,"&gt;="&amp;D168,'PO detail'!$G$2:$G$672,"&lt;"&amp;A168)</x:f>
        <x:v>0</x:v>
      </x:c>
      <x:c r="J168" s="8" t="n">
        <x:f>SUMIFS('PO detail'!$W$2:$W$672,'PO detail'!$A$2:$A$672,B168,'PO detail'!$B$2:$B$672,C168,'PO detail'!$G$2:$G$672,"&gt;="&amp;D168,'PO detail'!$G$2:$G$672,"&lt;"&amp;A168)</x:f>
        <x:v>0</x:v>
      </x:c>
      <x:c r="K168" s="8" t="n">
        <x:f>'Current inventory'!E42*Summary!$D$6*(A168-D168)/30.4375</x:f>
        <x:v>164.27433264887063</x:v>
      </x:c>
      <x:c r="L168" s="8" t="n">
        <x:f>MAX(0,E168+H168-K168)</x:f>
        <x:v>0</x:v>
      </x:c>
      <x:c r="M168" s="8" t="n">
        <x:f>MAX(0,F168+I168-MAX(0,K168-E168-H168))</x:f>
        <x:v>0</x:v>
      </x:c>
      <x:c r="N168" s="8" t="n">
        <x:f>MAX(0,G168+J168-K168)</x:f>
        <x:v>409.7820123203286</x:v>
      </x:c>
      <x:c r="O168" s="8" t="n">
        <x:f>SUM(L168:N168)</x:f>
        <x:v>409.7820123203286</x:v>
      </x:c>
      <x:c r="P168" s="14" t="n">
        <x:f>'Current inventory'!V42</x:f>
        <x:v>0.1996</x:v>
      </x:c>
      <x:c r="Q168" s="14" t="str">
        <x:f>'Current inventory'!W42</x:f>
        <x:v>n.a.</x:v>
      </x:c>
      <x:c r="R168" s="10" t="n">
        <x:f>L168*P168</x:f>
        <x:v>0</x:v>
      </x:c>
      <x:c r="S168" s="10" t="n">
        <x:f>M168*P168</x:f>
        <x:v>0</x:v>
      </x:c>
      <x:c r="T168" s="10" t="n">
        <x:f>N168*P168</x:f>
        <x:v>81.79248965913759</x:v>
      </x:c>
      <x:c r="U168" s="10" t="n">
        <x:f>O168*P168</x:f>
        <x:v>81.79248965913759</x:v>
      </x:c>
      <x:c r="V168" s="10" t="str">
        <x:f>IF(ISNUMBER(Q168),O168*(Q168-P168),"n.a.")</x:f>
        <x:v>n.a.</x:v>
      </x:c>
      <x:c r="W168" s="10" t="n">
        <x:f>IF(ISNUMBER(Q168),U168,0)</x:f>
        <x:v>0</x:v>
      </x:c>
      <x:c r="X168" s="8" t="n">
        <x:f>MAX(0,K168-SUM(E168:J168))</x:f>
        <x:v>0</x:v>
      </x:c>
      <x:c r="Y168" s="1" t="str">
        <x:f>IF(AND(O168&gt;0,NOT(ISNUMBER(Q168))),"No proposed replacement standard",IF(X168&gt;0,"Demand exceeds available stock",""))</x:f>
        <x:v>No proposed replacement standard</x:v>
      </x:c>
      <x:c r="Z168" s="1" t="n">
        <x:f>IF(ISNUMBER(Q168),1,0)</x:f>
        <x:v>0</x:v>
      </x:c>
    </x:row>
    <x:row r="169" ht="21" customHeight="1">
      <x:c r="A169" s="17" t="n">
        <x:f>Summary!B16</x:f>
        <x:v>46357</x:v>
      </x:c>
      <x:c r="B169" s="1" t="str">
        <x:f>'Current inventory'!A43</x:f>
        <x:v>10</x:v>
      </x:c>
      <x:c r="C169" s="1" t="str">
        <x:f>'Current inventory'!B43</x:f>
        <x:v>800BMARCSC</x:v>
      </x:c>
      <x:c r="D169" s="7" t="n">
        <x:f>A43</x:f>
        <x:v>46327</x:v>
      </x:c>
      <x:c r="E169" s="8" t="n">
        <x:f>L43</x:f>
        <x:v>0</x:v>
      </x:c>
      <x:c r="F169" s="8" t="n">
        <x:f>M43</x:f>
        <x:v>0</x:v>
      </x:c>
      <x:c r="G169" s="8" t="n">
        <x:f>N43</x:f>
        <x:v>1305.5441478439425</x:v>
      </x:c>
      <x:c r="H169" s="8" t="n">
        <x:f>SUMIFS('PO detail'!$U$2:$U$672,'PO detail'!$A$2:$A$672,B169,'PO detail'!$B$2:$B$672,C169,'PO detail'!$G$2:$G$672,"&gt;="&amp;D169,'PO detail'!$G$2:$G$672,"&lt;"&amp;A169)</x:f>
        <x:v>0</x:v>
      </x:c>
      <x:c r="I169" s="8" t="n">
        <x:f>SUMIFS('PO detail'!$V$2:$V$672,'PO detail'!$A$2:$A$672,B169,'PO detail'!$B$2:$B$672,C169,'PO detail'!$G$2:$G$672,"&gt;="&amp;D169,'PO detail'!$G$2:$G$672,"&lt;"&amp;A169)</x:f>
        <x:v>0</x:v>
      </x:c>
      <x:c r="J169" s="8" t="n">
        <x:f>SUMIFS('PO detail'!$W$2:$W$672,'PO detail'!$A$2:$A$672,B169,'PO detail'!$B$2:$B$672,C169,'PO detail'!$G$2:$G$672,"&gt;="&amp;D169,'PO detail'!$G$2:$G$672,"&lt;"&amp;A169)</x:f>
        <x:v>0</x:v>
      </x:c>
      <x:c r="K169" s="8" t="n">
        <x:f>'Current inventory'!E43*Summary!$D$6*(A169-D169)/30.4375</x:f>
        <x:v>123.20328542094455</x:v>
      </x:c>
      <x:c r="L169" s="8" t="n">
        <x:f>MAX(0,E169+H169-K169)</x:f>
        <x:v>0</x:v>
      </x:c>
      <x:c r="M169" s="8" t="n">
        <x:f>MAX(0,F169+I169-MAX(0,K169-E169-H169))</x:f>
        <x:v>0</x:v>
      </x:c>
      <x:c r="N169" s="8" t="n">
        <x:f>MAX(0,G169+J169-K169)</x:f>
        <x:v>1182.3408624229978</x:v>
      </x:c>
      <x:c r="O169" s="8" t="n">
        <x:f>SUM(L169:N169)</x:f>
        <x:v>1182.3408624229978</x:v>
      </x:c>
      <x:c r="P169" s="14" t="n">
        <x:f>'Current inventory'!V43</x:f>
        <x:v>0.23329999999999998</x:v>
      </x:c>
      <x:c r="Q169" s="14" t="str">
        <x:f>'Current inventory'!W43</x:f>
        <x:v>n.a.</x:v>
      </x:c>
      <x:c r="R169" s="10" t="n">
        <x:f>L169*P169</x:f>
        <x:v>0</x:v>
      </x:c>
      <x:c r="S169" s="10" t="n">
        <x:f>M169*P169</x:f>
        <x:v>0</x:v>
      </x:c>
      <x:c r="T169" s="10" t="n">
        <x:f>N169*P169</x:f>
        <x:v>275.8401232032854</x:v>
      </x:c>
      <x:c r="U169" s="10" t="n">
        <x:f>O169*P169</x:f>
        <x:v>275.8401232032854</x:v>
      </x:c>
      <x:c r="V169" s="10" t="str">
        <x:f>IF(ISNUMBER(Q169),O169*(Q169-P169),"n.a.")</x:f>
        <x:v>n.a.</x:v>
      </x:c>
      <x:c r="W169" s="10" t="n">
        <x:f>IF(ISNUMBER(Q169),U169,0)</x:f>
        <x:v>0</x:v>
      </x:c>
      <x:c r="X169" s="8" t="n">
        <x:f>MAX(0,K169-SUM(E169:J169))</x:f>
        <x:v>0</x:v>
      </x:c>
      <x:c r="Y169" s="1" t="str">
        <x:f>IF(AND(O169&gt;0,NOT(ISNUMBER(Q169))),"No proposed replacement standard",IF(X169&gt;0,"Demand exceeds available stock",""))</x:f>
        <x:v>No proposed replacement standard</x:v>
      </x:c>
      <x:c r="Z169" s="1" t="n">
        <x:f>IF(ISNUMBER(Q169),1,0)</x:f>
        <x:v>0</x:v>
      </x:c>
    </x:row>
    <x:row r="170" ht="21" customHeight="1">
      <x:c r="A170" s="17" t="n">
        <x:f>Summary!B16</x:f>
        <x:v>46357</x:v>
      </x:c>
      <x:c r="B170" s="1" t="str">
        <x:f>'Current inventory'!A44</x:f>
        <x:v>30</x:v>
      </x:c>
      <x:c r="C170" s="1" t="str">
        <x:f>'Current inventory'!B44</x:f>
        <x:v>800BMARISC</x:v>
      </x:c>
      <x:c r="D170" s="7" t="n">
        <x:f>A44</x:f>
        <x:v>46327</x:v>
      </x:c>
      <x:c r="E170" s="8" t="n">
        <x:f>L44</x:f>
        <x:v>0</x:v>
      </x:c>
      <x:c r="F170" s="8" t="n">
        <x:f>M44</x:f>
        <x:v>0</x:v>
      </x:c>
      <x:c r="G170" s="8" t="n">
        <x:f>N44</x:f>
        <x:v>2218.140780287474</x:v>
      </x:c>
      <x:c r="H170" s="8" t="n">
        <x:f>SUMIFS('PO detail'!$U$2:$U$672,'PO detail'!$A$2:$A$672,B170,'PO detail'!$B$2:$B$672,C170,'PO detail'!$G$2:$G$672,"&gt;="&amp;D170,'PO detail'!$G$2:$G$672,"&lt;"&amp;A170)</x:f>
        <x:v>0</x:v>
      </x:c>
      <x:c r="I170" s="8" t="n">
        <x:f>SUMIFS('PO detail'!$V$2:$V$672,'PO detail'!$A$2:$A$672,B170,'PO detail'!$B$2:$B$672,C170,'PO detail'!$G$2:$G$672,"&gt;="&amp;D170,'PO detail'!$G$2:$G$672,"&lt;"&amp;A170)</x:f>
        <x:v>0</x:v>
      </x:c>
      <x:c r="J170" s="8" t="n">
        <x:f>SUMIFS('PO detail'!$W$2:$W$672,'PO detail'!$A$2:$A$672,B170,'PO detail'!$B$2:$B$672,C170,'PO detail'!$G$2:$G$672,"&gt;="&amp;D170,'PO detail'!$G$2:$G$672,"&lt;"&amp;A170)</x:f>
        <x:v>0</x:v>
      </x:c>
      <x:c r="K170" s="8" t="n">
        <x:f>'Current inventory'!E44*Summary!$D$6*(A170-D170)/30.4375</x:f>
        <x:v>106.7728952772074</x:v>
      </x:c>
      <x:c r="L170" s="8" t="n">
        <x:f>MAX(0,E170+H170-K170)</x:f>
        <x:v>0</x:v>
      </x:c>
      <x:c r="M170" s="8" t="n">
        <x:f>MAX(0,F170+I170-MAX(0,K170-E170-H170))</x:f>
        <x:v>0</x:v>
      </x:c>
      <x:c r="N170" s="8" t="n">
        <x:f>MAX(0,G170+J170-K170)</x:f>
        <x:v>2111.367885010267</x:v>
      </x:c>
      <x:c r="O170" s="8" t="n">
        <x:f>SUM(L170:N170)</x:f>
        <x:v>2111.367885010267</x:v>
      </x:c>
      <x:c r="P170" s="14" t="n">
        <x:f>'Current inventory'!V44</x:f>
        <x:v>0.1946</x:v>
      </x:c>
      <x:c r="Q170" s="14" t="str">
        <x:f>'Current inventory'!W44</x:f>
        <x:v>n.a.</x:v>
      </x:c>
      <x:c r="R170" s="10" t="n">
        <x:f>L170*P170</x:f>
        <x:v>0</x:v>
      </x:c>
      <x:c r="S170" s="10" t="n">
        <x:f>M170*P170</x:f>
        <x:v>0</x:v>
      </x:c>
      <x:c r="T170" s="10" t="n">
        <x:f>N170*P170</x:f>
        <x:v>410.87219042299796</x:v>
      </x:c>
      <x:c r="U170" s="10" t="n">
        <x:f>O170*P170</x:f>
        <x:v>410.87219042299796</x:v>
      </x:c>
      <x:c r="V170" s="10" t="str">
        <x:f>IF(ISNUMBER(Q170),O170*(Q170-P170),"n.a.")</x:f>
        <x:v>n.a.</x:v>
      </x:c>
      <x:c r="W170" s="10" t="n">
        <x:f>IF(ISNUMBER(Q170),U170,0)</x:f>
        <x:v>0</x:v>
      </x:c>
      <x:c r="X170" s="8" t="n">
        <x:f>MAX(0,K170-SUM(E170:J170))</x:f>
        <x:v>0</x:v>
      </x:c>
      <x:c r="Y170" s="1" t="str">
        <x:f>IF(AND(O170&gt;0,NOT(ISNUMBER(Q170))),"No proposed replacement standard",IF(X170&gt;0,"Demand exceeds available stock",""))</x:f>
        <x:v>No proposed replacement standard</x:v>
      </x:c>
      <x:c r="Z170" s="1" t="n">
        <x:f>IF(ISNUMBER(Q170),1,0)</x:f>
        <x:v>0</x:v>
      </x:c>
    </x:row>
    <x:row r="171" ht="21" customHeight="1">
      <x:c r="A171" s="17" t="n">
        <x:f>Summary!B16</x:f>
        <x:v>46357</x:v>
      </x:c>
      <x:c r="B171" s="1" t="str">
        <x:f>'Current inventory'!A45</x:f>
        <x:v>30</x:v>
      </x:c>
      <x:c r="C171" s="1" t="str">
        <x:f>'Current inventory'!B45</x:f>
        <x:v>800BNAVDSC</x:v>
      </x:c>
      <x:c r="D171" s="7" t="n">
        <x:f>A45</x:f>
        <x:v>46327</x:v>
      </x:c>
      <x:c r="E171" s="8" t="n">
        <x:f>L45</x:f>
        <x:v>0</x:v>
      </x:c>
      <x:c r="F171" s="8" t="n">
        <x:f>M45</x:f>
        <x:v>0</x:v>
      </x:c>
      <x:c r="G171" s="8" t="n">
        <x:f>N45</x:f>
        <x:v>1118.1407802874744</x:v>
      </x:c>
      <x:c r="H171" s="8" t="n">
        <x:f>SUMIFS('PO detail'!$U$2:$U$672,'PO detail'!$A$2:$A$672,B171,'PO detail'!$B$2:$B$672,C171,'PO detail'!$G$2:$G$672,"&gt;="&amp;D171,'PO detail'!$G$2:$G$672,"&lt;"&amp;A171)</x:f>
        <x:v>0</x:v>
      </x:c>
      <x:c r="I171" s="8" t="n">
        <x:f>SUMIFS('PO detail'!$V$2:$V$672,'PO detail'!$A$2:$A$672,B171,'PO detail'!$B$2:$B$672,C171,'PO detail'!$G$2:$G$672,"&gt;="&amp;D171,'PO detail'!$G$2:$G$672,"&lt;"&amp;A171)</x:f>
        <x:v>0</x:v>
      </x:c>
      <x:c r="J171" s="8" t="n">
        <x:f>SUMIFS('PO detail'!$W$2:$W$672,'PO detail'!$A$2:$A$672,B171,'PO detail'!$B$2:$B$672,C171,'PO detail'!$G$2:$G$672,"&gt;="&amp;D171,'PO detail'!$G$2:$G$672,"&lt;"&amp;A171)</x:f>
        <x:v>0</x:v>
      </x:c>
      <x:c r="K171" s="8" t="n">
        <x:f>'Current inventory'!E45*Summary!$D$6*(A171-D171)/30.4375</x:f>
        <x:v>106.7728952772074</x:v>
      </x:c>
      <x:c r="L171" s="8" t="n">
        <x:f>MAX(0,E171+H171-K171)</x:f>
        <x:v>0</x:v>
      </x:c>
      <x:c r="M171" s="8" t="n">
        <x:f>MAX(0,F171+I171-MAX(0,K171-E171-H171))</x:f>
        <x:v>0</x:v>
      </x:c>
      <x:c r="N171" s="8" t="n">
        <x:f>MAX(0,G171+J171-K171)</x:f>
        <x:v>1011.367885010267</x:v>
      </x:c>
      <x:c r="O171" s="8" t="n">
        <x:f>SUM(L171:N171)</x:f>
        <x:v>1011.367885010267</x:v>
      </x:c>
      <x:c r="P171" s="14" t="n">
        <x:f>'Current inventory'!V45</x:f>
        <x:v>0.34509999999999996</x:v>
      </x:c>
      <x:c r="Q171" s="14" t="str">
        <x:f>'Current inventory'!W45</x:f>
        <x:v>n.a.</x:v>
      </x:c>
      <x:c r="R171" s="10" t="n">
        <x:f>L171*P171</x:f>
        <x:v>0</x:v>
      </x:c>
      <x:c r="S171" s="10" t="n">
        <x:f>M171*P171</x:f>
        <x:v>0</x:v>
      </x:c>
      <x:c r="T171" s="10" t="n">
        <x:f>N171*P171</x:f>
        <x:v>349.0230571170431</x:v>
      </x:c>
      <x:c r="U171" s="10" t="n">
        <x:f>O171*P171</x:f>
        <x:v>349.0230571170431</x:v>
      </x:c>
      <x:c r="V171" s="10" t="str">
        <x:f>IF(ISNUMBER(Q171),O171*(Q171-P171),"n.a.")</x:f>
        <x:v>n.a.</x:v>
      </x:c>
      <x:c r="W171" s="10" t="n">
        <x:f>IF(ISNUMBER(Q171),U171,0)</x:f>
        <x:v>0</x:v>
      </x:c>
      <x:c r="X171" s="8" t="n">
        <x:f>MAX(0,K171-SUM(E171:J171))</x:f>
        <x:v>0</x:v>
      </x:c>
      <x:c r="Y171" s="1" t="str">
        <x:f>IF(AND(O171&gt;0,NOT(ISNUMBER(Q171))),"No proposed replacement standard",IF(X171&gt;0,"Demand exceeds available stock",""))</x:f>
        <x:v>No proposed replacement standard</x:v>
      </x:c>
      <x:c r="Z171" s="1" t="n">
        <x:f>IF(ISNUMBER(Q171),1,0)</x:f>
        <x:v>0</x:v>
      </x:c>
    </x:row>
    <x:row r="172" ht="21" customHeight="1">
      <x:c r="A172" s="17" t="n">
        <x:f>Summary!B16</x:f>
        <x:v>46357</x:v>
      </x:c>
      <x:c r="B172" s="1" t="str">
        <x:f>'Current inventory'!A46</x:f>
        <x:v>60</x:v>
      </x:c>
      <x:c r="C172" s="1" t="str">
        <x:f>'Current inventory'!B46</x:f>
        <x:v>800BMARBRC</x:v>
      </x:c>
      <x:c r="D172" s="7" t="n">
        <x:f>A46</x:f>
        <x:v>46327</x:v>
      </x:c>
      <x:c r="E172" s="8" t="n">
        <x:f>L46</x:f>
        <x:v>0</x:v>
      </x:c>
      <x:c r="F172" s="8" t="n">
        <x:f>M46</x:f>
        <x:v>0</x:v>
      </x:c>
      <x:c r="G172" s="8" t="n">
        <x:f>N46</x:f>
        <x:v>1318.1407802874744</x:v>
      </x:c>
      <x:c r="H172" s="8" t="n">
        <x:f>SUMIFS('PO detail'!$U$2:$U$672,'PO detail'!$A$2:$A$672,B172,'PO detail'!$B$2:$B$672,C172,'PO detail'!$G$2:$G$672,"&gt;="&amp;D172,'PO detail'!$G$2:$G$672,"&lt;"&amp;A172)</x:f>
        <x:v>0</x:v>
      </x:c>
      <x:c r="I172" s="8" t="n">
        <x:f>SUMIFS('PO detail'!$V$2:$V$672,'PO detail'!$A$2:$A$672,B172,'PO detail'!$B$2:$B$672,C172,'PO detail'!$G$2:$G$672,"&gt;="&amp;D172,'PO detail'!$G$2:$G$672,"&lt;"&amp;A172)</x:f>
        <x:v>0</x:v>
      </x:c>
      <x:c r="J172" s="8" t="n">
        <x:f>SUMIFS('PO detail'!$W$2:$W$672,'PO detail'!$A$2:$A$672,B172,'PO detail'!$B$2:$B$672,C172,'PO detail'!$G$2:$G$672,"&gt;="&amp;D172,'PO detail'!$G$2:$G$672,"&lt;"&amp;A172)</x:f>
        <x:v>0</x:v>
      </x:c>
      <x:c r="K172" s="8" t="n">
        <x:f>'Current inventory'!E46*Summary!$D$6*(A172-D172)/30.4375</x:f>
        <x:v>106.7728952772074</x:v>
      </x:c>
      <x:c r="L172" s="8" t="n">
        <x:f>MAX(0,E172+H172-K172)</x:f>
        <x:v>0</x:v>
      </x:c>
      <x:c r="M172" s="8" t="n">
        <x:f>MAX(0,F172+I172-MAX(0,K172-E172-H172))</x:f>
        <x:v>0</x:v>
      </x:c>
      <x:c r="N172" s="8" t="n">
        <x:f>MAX(0,G172+J172-K172)</x:f>
        <x:v>1211.367885010267</x:v>
      </x:c>
      <x:c r="O172" s="8" t="n">
        <x:f>SUM(L172:N172)</x:f>
        <x:v>1211.367885010267</x:v>
      </x:c>
      <x:c r="P172" s="14" t="n">
        <x:f>'Current inventory'!V46</x:f>
        <x:v>0.1996</x:v>
      </x:c>
      <x:c r="Q172" s="14" t="str">
        <x:f>'Current inventory'!W46</x:f>
        <x:v>n.a.</x:v>
      </x:c>
      <x:c r="R172" s="10" t="n">
        <x:f>L172*P172</x:f>
        <x:v>0</x:v>
      </x:c>
      <x:c r="S172" s="10" t="n">
        <x:f>M172*P172</x:f>
        <x:v>0</x:v>
      </x:c>
      <x:c r="T172" s="10" t="n">
        <x:f>N172*P172</x:f>
        <x:v>241.7890298480493</x:v>
      </x:c>
      <x:c r="U172" s="10" t="n">
        <x:f>O172*P172</x:f>
        <x:v>241.7890298480493</x:v>
      </x:c>
      <x:c r="V172" s="10" t="str">
        <x:f>IF(ISNUMBER(Q172),O172*(Q172-P172),"n.a.")</x:f>
        <x:v>n.a.</x:v>
      </x:c>
      <x:c r="W172" s="10" t="n">
        <x:f>IF(ISNUMBER(Q172),U172,0)</x:f>
        <x:v>0</x:v>
      </x:c>
      <x:c r="X172" s="8" t="n">
        <x:f>MAX(0,K172-SUM(E172:J172))</x:f>
        <x:v>0</x:v>
      </x:c>
      <x:c r="Y172" s="1" t="str">
        <x:f>IF(AND(O172&gt;0,NOT(ISNUMBER(Q172))),"No proposed replacement standard",IF(X172&gt;0,"Demand exceeds available stock",""))</x:f>
        <x:v>No proposed replacement standard</x:v>
      </x:c>
      <x:c r="Z172" s="1" t="n">
        <x:f>IF(ISNUMBER(Q172),1,0)</x:f>
        <x:v>0</x:v>
      </x:c>
    </x:row>
    <x:row r="173" ht="21" customHeight="1">
      <x:c r="A173" s="17" t="n">
        <x:f>Summary!B16</x:f>
        <x:v>46357</x:v>
      </x:c>
      <x:c r="B173" s="1" t="str">
        <x:f>'Current inventory'!A47</x:f>
        <x:v>60</x:v>
      </x:c>
      <x:c r="C173" s="1" t="str">
        <x:f>'Current inventory'!B47</x:f>
        <x:v>800MARE</x:v>
      </x:c>
      <x:c r="D173" s="7" t="n">
        <x:f>A47</x:f>
        <x:v>46327</x:v>
      </x:c>
      <x:c r="E173" s="8" t="n">
        <x:f>L47</x:f>
        <x:v>2606.435318275154</x:v>
      </x:c>
      <x:c r="F173" s="8" t="n">
        <x:f>M47</x:f>
        <x:v>0</x:v>
      </x:c>
      <x:c r="G173" s="8" t="n">
        <x:f>N47</x:f>
        <x:v>0</x:v>
      </x:c>
      <x:c r="H173" s="8" t="n">
        <x:f>SUMIFS('PO detail'!$U$2:$U$672,'PO detail'!$A$2:$A$672,B173,'PO detail'!$B$2:$B$672,C173,'PO detail'!$G$2:$G$672,"&gt;="&amp;D173,'PO detail'!$G$2:$G$672,"&lt;"&amp;A173)</x:f>
        <x:v>0</x:v>
      </x:c>
      <x:c r="I173" s="8" t="n">
        <x:f>SUMIFS('PO detail'!$V$2:$V$672,'PO detail'!$A$2:$A$672,B173,'PO detail'!$B$2:$B$672,C173,'PO detail'!$G$2:$G$672,"&gt;="&amp;D173,'PO detail'!$G$2:$G$672,"&lt;"&amp;A173)</x:f>
        <x:v>0</x:v>
      </x:c>
      <x:c r="J173" s="8" t="n">
        <x:f>SUMIFS('PO detail'!$W$2:$W$672,'PO detail'!$A$2:$A$672,B173,'PO detail'!$B$2:$B$672,C173,'PO detail'!$G$2:$G$672,"&gt;="&amp;D173,'PO detail'!$G$2:$G$672,"&lt;"&amp;A173)</x:f>
        <x:v>0</x:v>
      </x:c>
      <x:c r="K173" s="8" t="n">
        <x:f>'Current inventory'!E47*Summary!$D$6*(A173-D173)/30.4375</x:f>
        <x:v>98.56262833675565</x:v>
      </x:c>
      <x:c r="L173" s="8" t="n">
        <x:f>MAX(0,E173+H173-K173)</x:f>
        <x:v>2507.8726899383983</x:v>
      </x:c>
      <x:c r="M173" s="8" t="n">
        <x:f>MAX(0,F173+I173-MAX(0,K173-E173-H173))</x:f>
        <x:v>0</x:v>
      </x:c>
      <x:c r="N173" s="8" t="n">
        <x:f>MAX(0,G173+J173-K173)</x:f>
        <x:v>0</x:v>
      </x:c>
      <x:c r="O173" s="8" t="n">
        <x:f>SUM(L173:N173)</x:f>
        <x:v>2507.8726899383983</x:v>
      </x:c>
      <x:c r="P173" s="14" t="n">
        <x:f>'Current inventory'!V47</x:f>
        <x:v>1.29129</x:v>
      </x:c>
      <x:c r="Q173" s="14" t="n">
        <x:f>'Current inventory'!W47</x:f>
        <x:v>1.349355</x:v>
      </x:c>
      <x:c r="R173" s="10" t="n">
        <x:f>L173*P173</x:f>
        <x:v>3238.3909257905543</x:v>
      </x:c>
      <x:c r="S173" s="10" t="n">
        <x:f>M173*P173</x:f>
        <x:v>0</x:v>
      </x:c>
      <x:c r="T173" s="10" t="n">
        <x:f>N173*P173</x:f>
        <x:v>0</x:v>
      </x:c>
      <x:c r="U173" s="10" t="n">
        <x:f>O173*P173</x:f>
        <x:v>3238.3909257905543</x:v>
      </x:c>
      <x:c r="V173" s="10" t="n">
        <x:f>IF(ISNUMBER(Q173),O173*(Q173-P173),"n.a.")</x:f>
        <x:v>145.61962774127318</x:v>
      </x:c>
      <x:c r="W173" s="10" t="n">
        <x:f>IF(ISNUMBER(Q173),U173,0)</x:f>
        <x:v>3238.3909257905543</x:v>
      </x:c>
      <x:c r="X173" s="8" t="n">
        <x:f>MAX(0,K173-SUM(E173:J173))</x:f>
        <x:v>0</x:v>
      </x:c>
      <x:c r="Y173" s="1" t="str">
        <x:f>IF(AND(O173&gt;0,NOT(ISNUMBER(Q173))),"No proposed replacement standard",IF(X173&gt;0,"Demand exceeds available stock",""))</x:f>
      </x:c>
      <x:c r="Z173" s="1" t="n">
        <x:f>IF(ISNUMBER(Q173),1,0)</x:f>
        <x:v>1</x:v>
      </x:c>
    </x:row>
    <x:row r="174" ht="21" customHeight="1">
      <x:c r="A174" s="17" t="n">
        <x:f>Summary!B16</x:f>
        <x:v>46357</x:v>
      </x:c>
      <x:c r="B174" s="1" t="str">
        <x:f>'Current inventory'!A48</x:f>
        <x:v>60</x:v>
      </x:c>
      <x:c r="C174" s="1" t="str">
        <x:f>'Current inventory'!B48</x:f>
        <x:v>800BMARISC</x:v>
      </x:c>
      <x:c r="D174" s="7" t="n">
        <x:f>A48</x:f>
        <x:v>46327</x:v>
      </x:c>
      <x:c r="E174" s="8" t="n">
        <x:f>L48</x:f>
        <x:v>0</x:v>
      </x:c>
      <x:c r="F174" s="8" t="n">
        <x:f>M48</x:f>
        <x:v>0</x:v>
      </x:c>
      <x:c r="G174" s="8" t="n">
        <x:f>N48</x:f>
        <x:v>755.9231211498974</x:v>
      </x:c>
      <x:c r="H174" s="8" t="n">
        <x:f>SUMIFS('PO detail'!$U$2:$U$672,'PO detail'!$A$2:$A$672,B174,'PO detail'!$B$2:$B$672,C174,'PO detail'!$G$2:$G$672,"&gt;="&amp;D174,'PO detail'!$G$2:$G$672,"&lt;"&amp;A174)</x:f>
        <x:v>0</x:v>
      </x:c>
      <x:c r="I174" s="8" t="n">
        <x:f>SUMIFS('PO detail'!$V$2:$V$672,'PO detail'!$A$2:$A$672,B174,'PO detail'!$B$2:$B$672,C174,'PO detail'!$G$2:$G$672,"&gt;="&amp;D174,'PO detail'!$G$2:$G$672,"&lt;"&amp;A174)</x:f>
        <x:v>0</x:v>
      </x:c>
      <x:c r="J174" s="8" t="n">
        <x:f>SUMIFS('PO detail'!$W$2:$W$672,'PO detail'!$A$2:$A$672,B174,'PO detail'!$B$2:$B$672,C174,'PO detail'!$G$2:$G$672,"&gt;="&amp;D174,'PO detail'!$G$2:$G$672,"&lt;"&amp;A174)</x:f>
        <x:v>0</x:v>
      </x:c>
      <x:c r="K174" s="8" t="n">
        <x:f>'Current inventory'!E48*Summary!$D$6*(A174-D174)/30.4375</x:f>
        <x:v>57.491581108829564</x:v>
      </x:c>
      <x:c r="L174" s="8" t="n">
        <x:f>MAX(0,E174+H174-K174)</x:f>
        <x:v>0</x:v>
      </x:c>
      <x:c r="M174" s="8" t="n">
        <x:f>MAX(0,F174+I174-MAX(0,K174-E174-H174))</x:f>
        <x:v>0</x:v>
      </x:c>
      <x:c r="N174" s="8" t="n">
        <x:f>MAX(0,G174+J174-K174)</x:f>
        <x:v>698.4315400410678</x:v>
      </x:c>
      <x:c r="O174" s="8" t="n">
        <x:f>SUM(L174:N174)</x:f>
        <x:v>698.4315400410678</x:v>
      </x:c>
      <x:c r="P174" s="14" t="n">
        <x:f>'Current inventory'!V48</x:f>
        <x:v>0.1946</x:v>
      </x:c>
      <x:c r="Q174" s="14" t="str">
        <x:f>'Current inventory'!W48</x:f>
        <x:v>n.a.</x:v>
      </x:c>
      <x:c r="R174" s="10" t="n">
        <x:f>L174*P174</x:f>
        <x:v>0</x:v>
      </x:c>
      <x:c r="S174" s="10" t="n">
        <x:f>M174*P174</x:f>
        <x:v>0</x:v>
      </x:c>
      <x:c r="T174" s="10" t="n">
        <x:f>N174*P174</x:f>
        <x:v>135.9147776919918</x:v>
      </x:c>
      <x:c r="U174" s="10" t="n">
        <x:f>O174*P174</x:f>
        <x:v>135.9147776919918</x:v>
      </x:c>
      <x:c r="V174" s="10" t="str">
        <x:f>IF(ISNUMBER(Q174),O174*(Q174-P174),"n.a.")</x:f>
        <x:v>n.a.</x:v>
      </x:c>
      <x:c r="W174" s="10" t="n">
        <x:f>IF(ISNUMBER(Q174),U174,0)</x:f>
        <x:v>0</x:v>
      </x:c>
      <x:c r="X174" s="8" t="n">
        <x:f>MAX(0,K174-SUM(E174:J174))</x:f>
        <x:v>0</x:v>
      </x:c>
      <x:c r="Y174" s="1" t="str">
        <x:f>IF(AND(O174&gt;0,NOT(ISNUMBER(Q174))),"No proposed replacement standard",IF(X174&gt;0,"Demand exceeds available stock",""))</x:f>
        <x:v>No proposed replacement standard</x:v>
      </x:c>
      <x:c r="Z174" s="1" t="n">
        <x:f>IF(ISNUMBER(Q174),1,0)</x:f>
        <x:v>0</x:v>
      </x:c>
    </x:row>
    <x:row r="175" ht="21" customHeight="1">
      <x:c r="A175" s="17" t="n">
        <x:f>Summary!B16</x:f>
        <x:v>46357</x:v>
      </x:c>
      <x:c r="B175" s="1" t="str">
        <x:f>'Current inventory'!A49</x:f>
        <x:v>10</x:v>
      </x:c>
      <x:c r="C175" s="1" t="str">
        <x:f>'Current inventory'!B49</x:f>
        <x:v>800WBLKASC</x:v>
      </x:c>
      <x:c r="D175" s="7" t="n">
        <x:f>A49</x:f>
        <x:v>46327</x:v>
      </x:c>
      <x:c r="E175" s="8" t="n">
        <x:f>L49</x:f>
        <x:v>0</x:v>
      </x:c>
      <x:c r="F175" s="8" t="n">
        <x:f>M49</x:f>
        <x:v>0</x:v>
      </x:c>
      <x:c r="G175" s="8" t="n">
        <x:f>N49</x:f>
        <x:v>1262.217659137577</x:v>
      </x:c>
      <x:c r="H175" s="8" t="n">
        <x:f>SUMIFS('PO detail'!$U$2:$U$672,'PO detail'!$A$2:$A$672,B175,'PO detail'!$B$2:$B$672,C175,'PO detail'!$G$2:$G$672,"&gt;="&amp;D175,'PO detail'!$G$2:$G$672,"&lt;"&amp;A175)</x:f>
        <x:v>0</x:v>
      </x:c>
      <x:c r="I175" s="8" t="n">
        <x:f>SUMIFS('PO detail'!$V$2:$V$672,'PO detail'!$A$2:$A$672,B175,'PO detail'!$B$2:$B$672,C175,'PO detail'!$G$2:$G$672,"&gt;="&amp;D175,'PO detail'!$G$2:$G$672,"&lt;"&amp;A175)</x:f>
        <x:v>0</x:v>
      </x:c>
      <x:c r="J175" s="8" t="n">
        <x:f>SUMIFS('PO detail'!$W$2:$W$672,'PO detail'!$A$2:$A$672,B175,'PO detail'!$B$2:$B$672,C175,'PO detail'!$G$2:$G$672,"&gt;="&amp;D175,'PO detail'!$G$2:$G$672,"&lt;"&amp;A175)</x:f>
        <x:v>0</x:v>
      </x:c>
      <x:c r="K175" s="8" t="n">
        <x:f>'Current inventory'!E49*Summary!$D$6*(A175-D175)/30.4375</x:f>
        <x:v>49.281314168377826</x:v>
      </x:c>
      <x:c r="L175" s="8" t="n">
        <x:f>MAX(0,E175+H175-K175)</x:f>
        <x:v>0</x:v>
      </x:c>
      <x:c r="M175" s="8" t="n">
        <x:f>MAX(0,F175+I175-MAX(0,K175-E175-H175))</x:f>
        <x:v>0</x:v>
      </x:c>
      <x:c r="N175" s="8" t="n">
        <x:f>MAX(0,G175+J175-K175)</x:f>
        <x:v>1212.9363449691991</x:v>
      </x:c>
      <x:c r="O175" s="8" t="n">
        <x:f>SUM(L175:N175)</x:f>
        <x:v>1212.9363449691991</x:v>
      </x:c>
      <x:c r="P175" s="14" t="n">
        <x:f>'Current inventory'!V49</x:f>
        <x:v>0.111</x:v>
      </x:c>
      <x:c r="Q175" s="14" t="str">
        <x:f>'Current inventory'!W49</x:f>
        <x:v>n.a.</x:v>
      </x:c>
      <x:c r="R175" s="10" t="n">
        <x:f>L175*P175</x:f>
        <x:v>0</x:v>
      </x:c>
      <x:c r="S175" s="10" t="n">
        <x:f>M175*P175</x:f>
        <x:v>0</x:v>
      </x:c>
      <x:c r="T175" s="10" t="n">
        <x:f>N175*P175</x:f>
        <x:v>134.6359342915811</x:v>
      </x:c>
      <x:c r="U175" s="10" t="n">
        <x:f>O175*P175</x:f>
        <x:v>134.6359342915811</x:v>
      </x:c>
      <x:c r="V175" s="10" t="str">
        <x:f>IF(ISNUMBER(Q175),O175*(Q175-P175),"n.a.")</x:f>
        <x:v>n.a.</x:v>
      </x:c>
      <x:c r="W175" s="10" t="n">
        <x:f>IF(ISNUMBER(Q175),U175,0)</x:f>
        <x:v>0</x:v>
      </x:c>
      <x:c r="X175" s="8" t="n">
        <x:f>MAX(0,K175-SUM(E175:J175))</x:f>
        <x:v>0</x:v>
      </x:c>
      <x:c r="Y175" s="1" t="str">
        <x:f>IF(AND(O175&gt;0,NOT(ISNUMBER(Q175))),"No proposed replacement standard",IF(X175&gt;0,"Demand exceeds available stock",""))</x:f>
        <x:v>No proposed replacement standard</x:v>
      </x:c>
      <x:c r="Z175" s="1" t="n">
        <x:f>IF(ISNUMBER(Q175),1,0)</x:f>
        <x:v>0</x:v>
      </x:c>
    </x:row>
    <x:row r="176" ht="21" customHeight="1">
      <x:c r="A176" s="17" t="n">
        <x:f>Summary!B16</x:f>
        <x:v>46357</x:v>
      </x:c>
      <x:c r="B176" s="1" t="str">
        <x:f>'Current inventory'!A50</x:f>
        <x:v>30</x:v>
      </x:c>
      <x:c r="C176" s="1" t="str">
        <x:f>'Current inventory'!B50</x:f>
        <x:v>800BMARCSC</x:v>
      </x:c>
      <x:c r="D176" s="7" t="n">
        <x:f>A50</x:f>
        <x:v>46327</x:v>
      </x:c>
      <x:c r="E176" s="8" t="n">
        <x:f>L50</x:f>
        <x:v>0</x:v>
      </x:c>
      <x:c r="F176" s="8" t="n">
        <x:f>M50</x:f>
        <x:v>0</x:v>
      </x:c>
      <x:c r="G176" s="8" t="n">
        <x:f>N50</x:f>
        <x:v>1074.8142915811088</x:v>
      </x:c>
      <x:c r="H176" s="8" t="n">
        <x:f>SUMIFS('PO detail'!$U$2:$U$672,'PO detail'!$A$2:$A$672,B176,'PO detail'!$B$2:$B$672,C176,'PO detail'!$G$2:$G$672,"&gt;="&amp;D176,'PO detail'!$G$2:$G$672,"&lt;"&amp;A176)</x:f>
        <x:v>0</x:v>
      </x:c>
      <x:c r="I176" s="8" t="n">
        <x:f>SUMIFS('PO detail'!$V$2:$V$672,'PO detail'!$A$2:$A$672,B176,'PO detail'!$B$2:$B$672,C176,'PO detail'!$G$2:$G$672,"&gt;="&amp;D176,'PO detail'!$G$2:$G$672,"&lt;"&amp;A176)</x:f>
        <x:v>0</x:v>
      </x:c>
      <x:c r="J176" s="8" t="n">
        <x:f>SUMIFS('PO detail'!$W$2:$W$672,'PO detail'!$A$2:$A$672,B176,'PO detail'!$B$2:$B$672,C176,'PO detail'!$G$2:$G$672,"&gt;="&amp;D176,'PO detail'!$G$2:$G$672,"&lt;"&amp;A176)</x:f>
        <x:v>0</x:v>
      </x:c>
      <x:c r="K176" s="8" t="n">
        <x:f>'Current inventory'!E50*Summary!$D$6*(A176-D176)/30.4375</x:f>
        <x:v>32.850924024640655</x:v>
      </x:c>
      <x:c r="L176" s="8" t="n">
        <x:f>MAX(0,E176+H176-K176)</x:f>
        <x:v>0</x:v>
      </x:c>
      <x:c r="M176" s="8" t="n">
        <x:f>MAX(0,F176+I176-MAX(0,K176-E176-H176))</x:f>
        <x:v>0</x:v>
      </x:c>
      <x:c r="N176" s="8" t="n">
        <x:f>MAX(0,G176+J176-K176)</x:f>
        <x:v>1041.9633675564683</x:v>
      </x:c>
      <x:c r="O176" s="8" t="n">
        <x:f>SUM(L176:N176)</x:f>
        <x:v>1041.9633675564683</x:v>
      </x:c>
      <x:c r="P176" s="14" t="n">
        <x:f>'Current inventory'!V50</x:f>
        <x:v>0.23329999999999998</x:v>
      </x:c>
      <x:c r="Q176" s="14" t="str">
        <x:f>'Current inventory'!W50</x:f>
        <x:v>n.a.</x:v>
      </x:c>
      <x:c r="R176" s="10" t="n">
        <x:f>L176*P176</x:f>
        <x:v>0</x:v>
      </x:c>
      <x:c r="S176" s="10" t="n">
        <x:f>M176*P176</x:f>
        <x:v>0</x:v>
      </x:c>
      <x:c r="T176" s="10" t="n">
        <x:f>N176*P176</x:f>
        <x:v>243.09005365092403</x:v>
      </x:c>
      <x:c r="U176" s="10" t="n">
        <x:f>O176*P176</x:f>
        <x:v>243.09005365092403</x:v>
      </x:c>
      <x:c r="V176" s="10" t="str">
        <x:f>IF(ISNUMBER(Q176),O176*(Q176-P176),"n.a.")</x:f>
        <x:v>n.a.</x:v>
      </x:c>
      <x:c r="W176" s="10" t="n">
        <x:f>IF(ISNUMBER(Q176),U176,0)</x:f>
        <x:v>0</x:v>
      </x:c>
      <x:c r="X176" s="8" t="n">
        <x:f>MAX(0,K176-SUM(E176:J176))</x:f>
        <x:v>0</x:v>
      </x:c>
      <x:c r="Y176" s="1" t="str">
        <x:f>IF(AND(O176&gt;0,NOT(ISNUMBER(Q176))),"No proposed replacement standard",IF(X176&gt;0,"Demand exceeds available stock",""))</x:f>
        <x:v>No proposed replacement standard</x:v>
      </x:c>
      <x:c r="Z176" s="1" t="n">
        <x:f>IF(ISNUMBER(Q176),1,0)</x:f>
        <x:v>0</x:v>
      </x:c>
    </x:row>
    <x:row r="177" ht="21" customHeight="1">
      <x:c r="A177" s="17" t="n">
        <x:f>Summary!B16</x:f>
        <x:v>46357</x:v>
      </x:c>
      <x:c r="B177" s="1" t="str">
        <x:f>'Current inventory'!A51</x:f>
        <x:v>60</x:v>
      </x:c>
      <x:c r="C177" s="1" t="str">
        <x:f>'Current inventory'!B51</x:f>
        <x:v>800WBLKASC</x:v>
      </x:c>
      <x:c r="D177" s="7" t="n">
        <x:f>A51</x:f>
        <x:v>46327</x:v>
      </x:c>
      <x:c r="E177" s="8" t="n">
        <x:f>L51</x:f>
        <x:v>0</x:v>
      </x:c>
      <x:c r="F177" s="8" t="n">
        <x:f>M51</x:f>
        <x:v>0</x:v>
      </x:c>
      <x:c r="G177" s="8" t="n">
        <x:f>N51</x:f>
        <x:v>1474.8142915811088</x:v>
      </x:c>
      <x:c r="H177" s="8" t="n">
        <x:f>SUMIFS('PO detail'!$U$2:$U$672,'PO detail'!$A$2:$A$672,B177,'PO detail'!$B$2:$B$672,C177,'PO detail'!$G$2:$G$672,"&gt;="&amp;D177,'PO detail'!$G$2:$G$672,"&lt;"&amp;A177)</x:f>
        <x:v>0</x:v>
      </x:c>
      <x:c r="I177" s="8" t="n">
        <x:f>SUMIFS('PO detail'!$V$2:$V$672,'PO detail'!$A$2:$A$672,B177,'PO detail'!$B$2:$B$672,C177,'PO detail'!$G$2:$G$672,"&gt;="&amp;D177,'PO detail'!$G$2:$G$672,"&lt;"&amp;A177)</x:f>
        <x:v>0</x:v>
      </x:c>
      <x:c r="J177" s="8" t="n">
        <x:f>SUMIFS('PO detail'!$W$2:$W$672,'PO detail'!$A$2:$A$672,B177,'PO detail'!$B$2:$B$672,C177,'PO detail'!$G$2:$G$672,"&gt;="&amp;D177,'PO detail'!$G$2:$G$672,"&lt;"&amp;A177)</x:f>
        <x:v>0</x:v>
      </x:c>
      <x:c r="K177" s="8" t="n">
        <x:f>'Current inventory'!E51*Summary!$D$6*(A177-D177)/30.4375</x:f>
        <x:v>32.850924024640655</x:v>
      </x:c>
      <x:c r="L177" s="8" t="n">
        <x:f>MAX(0,E177+H177-K177)</x:f>
        <x:v>0</x:v>
      </x:c>
      <x:c r="M177" s="8" t="n">
        <x:f>MAX(0,F177+I177-MAX(0,K177-E177-H177))</x:f>
        <x:v>0</x:v>
      </x:c>
      <x:c r="N177" s="8" t="n">
        <x:f>MAX(0,G177+J177-K177)</x:f>
        <x:v>1441.9633675564683</x:v>
      </x:c>
      <x:c r="O177" s="8" t="n">
        <x:f>SUM(L177:N177)</x:f>
        <x:v>1441.9633675564683</x:v>
      </x:c>
      <x:c r="P177" s="14" t="n">
        <x:f>'Current inventory'!V51</x:f>
        <x:v>0.111</x:v>
      </x:c>
      <x:c r="Q177" s="14" t="str">
        <x:f>'Current inventory'!W51</x:f>
        <x:v>n.a.</x:v>
      </x:c>
      <x:c r="R177" s="10" t="n">
        <x:f>L177*P177</x:f>
        <x:v>0</x:v>
      </x:c>
      <x:c r="S177" s="10" t="n">
        <x:f>M177*P177</x:f>
        <x:v>0</x:v>
      </x:c>
      <x:c r="T177" s="10" t="n">
        <x:f>N177*P177</x:f>
        <x:v>160.05793379876798</x:v>
      </x:c>
      <x:c r="U177" s="10" t="n">
        <x:f>O177*P177</x:f>
        <x:v>160.05793379876798</x:v>
      </x:c>
      <x:c r="V177" s="10" t="str">
        <x:f>IF(ISNUMBER(Q177),O177*(Q177-P177),"n.a.")</x:f>
        <x:v>n.a.</x:v>
      </x:c>
      <x:c r="W177" s="10" t="n">
        <x:f>IF(ISNUMBER(Q177),U177,0)</x:f>
        <x:v>0</x:v>
      </x:c>
      <x:c r="X177" s="8" t="n">
        <x:f>MAX(0,K177-SUM(E177:J177))</x:f>
        <x:v>0</x:v>
      </x:c>
      <x:c r="Y177" s="1" t="str">
        <x:f>IF(AND(O177&gt;0,NOT(ISNUMBER(Q177))),"No proposed replacement standard",IF(X177&gt;0,"Demand exceeds available stock",""))</x:f>
        <x:v>No proposed replacement standard</x:v>
      </x:c>
      <x:c r="Z177" s="1" t="n">
        <x:f>IF(ISNUMBER(Q177),1,0)</x:f>
        <x:v>0</x:v>
      </x:c>
    </x:row>
    <x:row r="178" ht="21" customHeight="1">
      <x:c r="A178" s="17" t="n">
        <x:f>Summary!B16</x:f>
        <x:v>46357</x:v>
      </x:c>
      <x:c r="B178" s="1" t="str">
        <x:f>'Current inventory'!A52</x:f>
        <x:v>10</x:v>
      </x:c>
      <x:c r="C178" s="1" t="str">
        <x:f>'Current inventory'!B52</x:f>
        <x:v>800WMARASC</x:v>
      </x:c>
      <x:c r="D178" s="7" t="n">
        <x:f>A52</x:f>
        <x:v>46327</x:v>
      </x:c>
      <x:c r="E178" s="8" t="n">
        <x:f>L52</x:f>
        <x:v>0</x:v>
      </x:c>
      <x:c r="F178" s="8" t="n">
        <x:f>M52</x:f>
        <x:v>0</x:v>
      </x:c>
      <x:c r="G178" s="8" t="n">
        <x:f>N52</x:f>
        <x:v>287.4033675564682</x:v>
      </x:c>
      <x:c r="H178" s="8" t="n">
        <x:f>SUMIFS('PO detail'!$U$2:$U$672,'PO detail'!$A$2:$A$672,B178,'PO detail'!$B$2:$B$672,C178,'PO detail'!$G$2:$G$672,"&gt;="&amp;D178,'PO detail'!$G$2:$G$672,"&lt;"&amp;A178)</x:f>
        <x:v>0</x:v>
      </x:c>
      <x:c r="I178" s="8" t="n">
        <x:f>SUMIFS('PO detail'!$V$2:$V$672,'PO detail'!$A$2:$A$672,B178,'PO detail'!$B$2:$B$672,C178,'PO detail'!$G$2:$G$672,"&gt;="&amp;D178,'PO detail'!$G$2:$G$672,"&lt;"&amp;A178)</x:f>
        <x:v>0</x:v>
      </x:c>
      <x:c r="J178" s="8" t="n">
        <x:f>SUMIFS('PO detail'!$W$2:$W$672,'PO detail'!$A$2:$A$672,B178,'PO detail'!$B$2:$B$672,C178,'PO detail'!$G$2:$G$672,"&gt;="&amp;D178,'PO detail'!$G$2:$G$672,"&lt;"&amp;A178)</x:f>
        <x:v>0</x:v>
      </x:c>
      <x:c r="K178" s="8" t="n">
        <x:f>'Current inventory'!E52*Summary!$D$6*(A178-D178)/30.4375</x:f>
        <x:v>16.430390143737167</x:v>
      </x:c>
      <x:c r="L178" s="8" t="n">
        <x:f>MAX(0,E178+H178-K178)</x:f>
        <x:v>0</x:v>
      </x:c>
      <x:c r="M178" s="8" t="n">
        <x:f>MAX(0,F178+I178-MAX(0,K178-E178-H178))</x:f>
        <x:v>0</x:v>
      </x:c>
      <x:c r="N178" s="8" t="n">
        <x:f>MAX(0,G178+J178-K178)</x:f>
        <x:v>270.97297741273104</x:v>
      </x:c>
      <x:c r="O178" s="8" t="n">
        <x:f>SUM(L178:N178)</x:f>
        <x:v>270.97297741273104</x:v>
      </x:c>
      <x:c r="P178" s="14" t="n">
        <x:f>'Current inventory'!V52</x:f>
        <x:v>0.1383</x:v>
      </x:c>
      <x:c r="Q178" s="14" t="str">
        <x:f>'Current inventory'!W52</x:f>
        <x:v>n.a.</x:v>
      </x:c>
      <x:c r="R178" s="10" t="n">
        <x:f>L178*P178</x:f>
        <x:v>0</x:v>
      </x:c>
      <x:c r="S178" s="10" t="n">
        <x:f>M178*P178</x:f>
        <x:v>0</x:v>
      </x:c>
      <x:c r="T178" s="10" t="n">
        <x:f>N178*P178</x:f>
        <x:v>37.4755627761807</x:v>
      </x:c>
      <x:c r="U178" s="10" t="n">
        <x:f>O178*P178</x:f>
        <x:v>37.4755627761807</x:v>
      </x:c>
      <x:c r="V178" s="10" t="str">
        <x:f>IF(ISNUMBER(Q178),O178*(Q178-P178),"n.a.")</x:f>
        <x:v>n.a.</x:v>
      </x:c>
      <x:c r="W178" s="10" t="n">
        <x:f>IF(ISNUMBER(Q178),U178,0)</x:f>
        <x:v>0</x:v>
      </x:c>
      <x:c r="X178" s="8" t="n">
        <x:f>MAX(0,K178-SUM(E178:J178))</x:f>
        <x:v>0</x:v>
      </x:c>
      <x:c r="Y178" s="1" t="str">
        <x:f>IF(AND(O178&gt;0,NOT(ISNUMBER(Q178))),"No proposed replacement standard",IF(X178&gt;0,"Demand exceeds available stock",""))</x:f>
        <x:v>No proposed replacement standard</x:v>
      </x:c>
      <x:c r="Z178" s="1" t="n">
        <x:f>IF(ISNUMBER(Q178),1,0)</x:f>
        <x:v>0</x:v>
      </x:c>
    </x:row>
    <x:row r="179" ht="21" customHeight="1">
      <x:c r="A179" s="17" t="n">
        <x:f>Summary!B16</x:f>
        <x:v>46357</x:v>
      </x:c>
      <x:c r="B179" s="1" t="str">
        <x:f>'Current inventory'!A53</x:f>
        <x:v>10</x:v>
      </x:c>
      <x:c r="C179" s="1" t="str">
        <x:f>'Current inventory'!B53</x:f>
        <x:v>800WNAVASC</x:v>
      </x:c>
      <x:c r="D179" s="7" t="n">
        <x:f>A53</x:f>
        <x:v>46327</x:v>
      </x:c>
      <x:c r="E179" s="8" t="n">
        <x:f>L53</x:f>
        <x:v>0</x:v>
      </x:c>
      <x:c r="F179" s="8" t="n">
        <x:f>M53</x:f>
        <x:v>0</x:v>
      </x:c>
      <x:c r="G179" s="8" t="n">
        <x:f>N53</x:f>
        <x:v>687.4033675564682</x:v>
      </x:c>
      <x:c r="H179" s="8" t="n">
        <x:f>SUMIFS('PO detail'!$U$2:$U$672,'PO detail'!$A$2:$A$672,B179,'PO detail'!$B$2:$B$672,C179,'PO detail'!$G$2:$G$672,"&gt;="&amp;D179,'PO detail'!$G$2:$G$672,"&lt;"&amp;A179)</x:f>
        <x:v>0</x:v>
      </x:c>
      <x:c r="I179" s="8" t="n">
        <x:f>SUMIFS('PO detail'!$V$2:$V$672,'PO detail'!$A$2:$A$672,B179,'PO detail'!$B$2:$B$672,C179,'PO detail'!$G$2:$G$672,"&gt;="&amp;D179,'PO detail'!$G$2:$G$672,"&lt;"&amp;A179)</x:f>
        <x:v>0</x:v>
      </x:c>
      <x:c r="J179" s="8" t="n">
        <x:f>SUMIFS('PO detail'!$W$2:$W$672,'PO detail'!$A$2:$A$672,B179,'PO detail'!$B$2:$B$672,C179,'PO detail'!$G$2:$G$672,"&gt;="&amp;D179,'PO detail'!$G$2:$G$672,"&lt;"&amp;A179)</x:f>
        <x:v>0</x:v>
      </x:c>
      <x:c r="K179" s="8" t="n">
        <x:f>'Current inventory'!E53*Summary!$D$6*(A179-D179)/30.4375</x:f>
        <x:v>16.430390143737167</x:v>
      </x:c>
      <x:c r="L179" s="8" t="n">
        <x:f>MAX(0,E179+H179-K179)</x:f>
        <x:v>0</x:v>
      </x:c>
      <x:c r="M179" s="8" t="n">
        <x:f>MAX(0,F179+I179-MAX(0,K179-E179-H179))</x:f>
        <x:v>0</x:v>
      </x:c>
      <x:c r="N179" s="8" t="n">
        <x:f>MAX(0,G179+J179-K179)</x:f>
        <x:v>670.972977412731</x:v>
      </x:c>
      <x:c r="O179" s="8" t="n">
        <x:f>SUM(L179:N179)</x:f>
        <x:v>670.972977412731</x:v>
      </x:c>
      <x:c r="P179" s="14" t="n">
        <x:f>'Current inventory'!V53</x:f>
        <x:v>0.13570000000000002</x:v>
      </x:c>
      <x:c r="Q179" s="14" t="str">
        <x:f>'Current inventory'!W53</x:f>
        <x:v>n.a.</x:v>
      </x:c>
      <x:c r="R179" s="10" t="n">
        <x:f>L179*P179</x:f>
        <x:v>0</x:v>
      </x:c>
      <x:c r="S179" s="10" t="n">
        <x:f>M179*P179</x:f>
        <x:v>0</x:v>
      </x:c>
      <x:c r="T179" s="10" t="n">
        <x:f>N179*P179</x:f>
        <x:v>91.0510330349076</x:v>
      </x:c>
      <x:c r="U179" s="10" t="n">
        <x:f>O179*P179</x:f>
        <x:v>91.0510330349076</x:v>
      </x:c>
      <x:c r="V179" s="10" t="str">
        <x:f>IF(ISNUMBER(Q179),O179*(Q179-P179),"n.a.")</x:f>
        <x:v>n.a.</x:v>
      </x:c>
      <x:c r="W179" s="10" t="n">
        <x:f>IF(ISNUMBER(Q179),U179,0)</x:f>
        <x:v>0</x:v>
      </x:c>
      <x:c r="X179" s="8" t="n">
        <x:f>MAX(0,K179-SUM(E179:J179))</x:f>
        <x:v>0</x:v>
      </x:c>
      <x:c r="Y179" s="1" t="str">
        <x:f>IF(AND(O179&gt;0,NOT(ISNUMBER(Q179))),"No proposed replacement standard",IF(X179&gt;0,"Demand exceeds available stock",""))</x:f>
        <x:v>No proposed replacement standard</x:v>
      </x:c>
      <x:c r="Z179" s="1" t="n">
        <x:f>IF(ISNUMBER(Q179),1,0)</x:f>
        <x:v>0</x:v>
      </x:c>
    </x:row>
    <x:row r="180" ht="21" customHeight="1">
      <x:c r="A180" s="17" t="n">
        <x:f>Summary!B16</x:f>
        <x:v>46357</x:v>
      </x:c>
      <x:c r="B180" s="1" t="str">
        <x:f>'Current inventory'!A54</x:f>
        <x:v>30</x:v>
      </x:c>
      <x:c r="C180" s="1" t="str">
        <x:f>'Current inventory'!B54</x:f>
        <x:v>800BMARDSC</x:v>
      </x:c>
      <x:c r="D180" s="7" t="n">
        <x:f>A54</x:f>
        <x:v>46327</x:v>
      </x:c>
      <x:c r="E180" s="8" t="n">
        <x:f>L54</x:f>
        <x:v>0</x:v>
      </x:c>
      <x:c r="F180" s="8" t="n">
        <x:f>M54</x:f>
        <x:v>0</x:v>
      </x:c>
      <x:c r="G180" s="8" t="n">
        <x:f>N54</x:f>
        <x:v>2687.4033675564683</x:v>
      </x:c>
      <x:c r="H180" s="8" t="n">
        <x:f>SUMIFS('PO detail'!$U$2:$U$672,'PO detail'!$A$2:$A$672,B180,'PO detail'!$B$2:$B$672,C180,'PO detail'!$G$2:$G$672,"&gt;="&amp;D180,'PO detail'!$G$2:$G$672,"&lt;"&amp;A180)</x:f>
        <x:v>0</x:v>
      </x:c>
      <x:c r="I180" s="8" t="n">
        <x:f>SUMIFS('PO detail'!$V$2:$V$672,'PO detail'!$A$2:$A$672,B180,'PO detail'!$B$2:$B$672,C180,'PO detail'!$G$2:$G$672,"&gt;="&amp;D180,'PO detail'!$G$2:$G$672,"&lt;"&amp;A180)</x:f>
        <x:v>0</x:v>
      </x:c>
      <x:c r="J180" s="8" t="n">
        <x:f>SUMIFS('PO detail'!$W$2:$W$672,'PO detail'!$A$2:$A$672,B180,'PO detail'!$B$2:$B$672,C180,'PO detail'!$G$2:$G$672,"&gt;="&amp;D180,'PO detail'!$G$2:$G$672,"&lt;"&amp;A180)</x:f>
        <x:v>0</x:v>
      </x:c>
      <x:c r="K180" s="8" t="n">
        <x:f>'Current inventory'!E54*Summary!$D$6*(A180-D180)/30.4375</x:f>
        <x:v>16.430390143737167</x:v>
      </x:c>
      <x:c r="L180" s="8" t="n">
        <x:f>MAX(0,E180+H180-K180)</x:f>
        <x:v>0</x:v>
      </x:c>
      <x:c r="M180" s="8" t="n">
        <x:f>MAX(0,F180+I180-MAX(0,K180-E180-H180))</x:f>
        <x:v>0</x:v>
      </x:c>
      <x:c r="N180" s="8" t="n">
        <x:f>MAX(0,G180+J180-K180)</x:f>
        <x:v>2670.9729774127313</x:v>
      </x:c>
      <x:c r="O180" s="8" t="n">
        <x:f>SUM(L180:N180)</x:f>
        <x:v>2670.9729774127313</x:v>
      </x:c>
      <x:c r="P180" s="14" t="n">
        <x:f>'Current inventory'!V54</x:f>
        <x:v>0.3998</x:v>
      </x:c>
      <x:c r="Q180" s="14" t="str">
        <x:f>'Current inventory'!W54</x:f>
        <x:v>n.a.</x:v>
      </x:c>
      <x:c r="R180" s="10" t="n">
        <x:f>L180*P180</x:f>
        <x:v>0</x:v>
      </x:c>
      <x:c r="S180" s="10" t="n">
        <x:f>M180*P180</x:f>
        <x:v>0</x:v>
      </x:c>
      <x:c r="T180" s="10" t="n">
        <x:f>N180*P180</x:f>
        <x:v>1067.85499636961</x:v>
      </x:c>
      <x:c r="U180" s="10" t="n">
        <x:f>O180*P180</x:f>
        <x:v>1067.85499636961</x:v>
      </x:c>
      <x:c r="V180" s="10" t="str">
        <x:f>IF(ISNUMBER(Q180),O180*(Q180-P180),"n.a.")</x:f>
        <x:v>n.a.</x:v>
      </x:c>
      <x:c r="W180" s="10" t="n">
        <x:f>IF(ISNUMBER(Q180),U180,0)</x:f>
        <x:v>0</x:v>
      </x:c>
      <x:c r="X180" s="8" t="n">
        <x:f>MAX(0,K180-SUM(E180:J180))</x:f>
        <x:v>0</x:v>
      </x:c>
      <x:c r="Y180" s="1" t="str">
        <x:f>IF(AND(O180&gt;0,NOT(ISNUMBER(Q180))),"No proposed replacement standard",IF(X180&gt;0,"Demand exceeds available stock",""))</x:f>
        <x:v>No proposed replacement standard</x:v>
      </x:c>
      <x:c r="Z180" s="1" t="n">
        <x:f>IF(ISNUMBER(Q180),1,0)</x:f>
        <x:v>0</x:v>
      </x:c>
    </x:row>
    <x:row r="181" ht="21" customHeight="1">
      <x:c r="A181" s="17" t="n">
        <x:f>Summary!B16</x:f>
        <x:v>46357</x:v>
      </x:c>
      <x:c r="B181" s="1" t="str">
        <x:f>'Current inventory'!A55</x:f>
        <x:v>60</x:v>
      </x:c>
      <x:c r="C181" s="1" t="str">
        <x:f>'Current inventory'!B55</x:f>
        <x:v>800WNAVASC</x:v>
      </x:c>
      <x:c r="D181" s="7" t="n">
        <x:f>A55</x:f>
        <x:v>46327</x:v>
      </x:c>
      <x:c r="E181" s="8" t="n">
        <x:f>L55</x:f>
        <x:v>0</x:v>
      </x:c>
      <x:c r="F181" s="8" t="n">
        <x:f>M55</x:f>
        <x:v>0</x:v>
      </x:c>
      <x:c r="G181" s="8" t="n">
        <x:f>N55</x:f>
        <x:v>987.4033675564682</x:v>
      </x:c>
      <x:c r="H181" s="8" t="n">
        <x:f>SUMIFS('PO detail'!$U$2:$U$672,'PO detail'!$A$2:$A$672,B181,'PO detail'!$B$2:$B$672,C181,'PO detail'!$G$2:$G$672,"&gt;="&amp;D181,'PO detail'!$G$2:$G$672,"&lt;"&amp;A181)</x:f>
        <x:v>0</x:v>
      </x:c>
      <x:c r="I181" s="8" t="n">
        <x:f>SUMIFS('PO detail'!$V$2:$V$672,'PO detail'!$A$2:$A$672,B181,'PO detail'!$B$2:$B$672,C181,'PO detail'!$G$2:$G$672,"&gt;="&amp;D181,'PO detail'!$G$2:$G$672,"&lt;"&amp;A181)</x:f>
        <x:v>0</x:v>
      </x:c>
      <x:c r="J181" s="8" t="n">
        <x:f>SUMIFS('PO detail'!$W$2:$W$672,'PO detail'!$A$2:$A$672,B181,'PO detail'!$B$2:$B$672,C181,'PO detail'!$G$2:$G$672,"&gt;="&amp;D181,'PO detail'!$G$2:$G$672,"&lt;"&amp;A181)</x:f>
        <x:v>0</x:v>
      </x:c>
      <x:c r="K181" s="8" t="n">
        <x:f>'Current inventory'!E55*Summary!$D$6*(A181-D181)/30.4375</x:f>
        <x:v>16.430390143737167</x:v>
      </x:c>
      <x:c r="L181" s="8" t="n">
        <x:f>MAX(0,E181+H181-K181)</x:f>
        <x:v>0</x:v>
      </x:c>
      <x:c r="M181" s="8" t="n">
        <x:f>MAX(0,F181+I181-MAX(0,K181-E181-H181))</x:f>
        <x:v>0</x:v>
      </x:c>
      <x:c r="N181" s="8" t="n">
        <x:f>MAX(0,G181+J181-K181)</x:f>
        <x:v>970.972977412731</x:v>
      </x:c>
      <x:c r="O181" s="8" t="n">
        <x:f>SUM(L181:N181)</x:f>
        <x:v>970.972977412731</x:v>
      </x:c>
      <x:c r="P181" s="14" t="n">
        <x:f>'Current inventory'!V55</x:f>
        <x:v>0.13570000000000002</x:v>
      </x:c>
      <x:c r="Q181" s="14" t="str">
        <x:f>'Current inventory'!W55</x:f>
        <x:v>n.a.</x:v>
      </x:c>
      <x:c r="R181" s="10" t="n">
        <x:f>L181*P181</x:f>
        <x:v>0</x:v>
      </x:c>
      <x:c r="S181" s="10" t="n">
        <x:f>M181*P181</x:f>
        <x:v>0</x:v>
      </x:c>
      <x:c r="T181" s="10" t="n">
        <x:f>N181*P181</x:f>
        <x:v>131.7610330349076</x:v>
      </x:c>
      <x:c r="U181" s="10" t="n">
        <x:f>O181*P181</x:f>
        <x:v>131.7610330349076</x:v>
      </x:c>
      <x:c r="V181" s="10" t="str">
        <x:f>IF(ISNUMBER(Q181),O181*(Q181-P181),"n.a.")</x:f>
        <x:v>n.a.</x:v>
      </x:c>
      <x:c r="W181" s="10" t="n">
        <x:f>IF(ISNUMBER(Q181),U181,0)</x:f>
        <x:v>0</x:v>
      </x:c>
      <x:c r="X181" s="8" t="n">
        <x:f>MAX(0,K181-SUM(E181:J181))</x:f>
        <x:v>0</x:v>
      </x:c>
      <x:c r="Y181" s="1" t="str">
        <x:f>IF(AND(O181&gt;0,NOT(ISNUMBER(Q181))),"No proposed replacement standard",IF(X181&gt;0,"Demand exceeds available stock",""))</x:f>
        <x:v>No proposed replacement standard</x:v>
      </x:c>
      <x:c r="Z181" s="1" t="n">
        <x:f>IF(ISNUMBER(Q181),1,0)</x:f>
        <x:v>0</x:v>
      </x:c>
    </x:row>
    <x:row r="182" ht="21" customHeight="1">
      <x:c r="A182" s="17" t="n">
        <x:f>Summary!B16</x:f>
        <x:v>46357</x:v>
      </x:c>
      <x:c r="B182" s="1" t="str">
        <x:f>'Current inventory'!A56</x:f>
        <x:v>60</x:v>
      </x:c>
      <x:c r="C182" s="1" t="str">
        <x:f>'Current inventory'!B56</x:f>
        <x:v>800BMARDSC</x:v>
      </x:c>
      <x:c r="D182" s="7" t="n">
        <x:f>A56</x:f>
        <x:v>46327</x:v>
      </x:c>
      <x:c r="E182" s="8" t="n">
        <x:f>L56</x:f>
        <x:v>0</x:v>
      </x:c>
      <x:c r="F182" s="8" t="n">
        <x:f>M56</x:f>
        <x:v>0</x:v>
      </x:c>
      <x:c r="G182" s="8" t="n">
        <x:f>N56</x:f>
        <x:v>593.7054620123204</x:v>
      </x:c>
      <x:c r="H182" s="8" t="n">
        <x:f>SUMIFS('PO detail'!$U$2:$U$672,'PO detail'!$A$2:$A$672,B182,'PO detail'!$B$2:$B$672,C182,'PO detail'!$G$2:$G$672,"&gt;="&amp;D182,'PO detail'!$G$2:$G$672,"&lt;"&amp;A182)</x:f>
        <x:v>0</x:v>
      </x:c>
      <x:c r="I182" s="8" t="n">
        <x:f>SUMIFS('PO detail'!$V$2:$V$672,'PO detail'!$A$2:$A$672,B182,'PO detail'!$B$2:$B$672,C182,'PO detail'!$G$2:$G$672,"&gt;="&amp;D182,'PO detail'!$G$2:$G$672,"&lt;"&amp;A182)</x:f>
        <x:v>0</x:v>
      </x:c>
      <x:c r="J182" s="8" t="n">
        <x:f>SUMIFS('PO detail'!$W$2:$W$672,'PO detail'!$A$2:$A$672,B182,'PO detail'!$B$2:$B$672,C182,'PO detail'!$G$2:$G$672,"&gt;="&amp;D182,'PO detail'!$G$2:$G$672,"&lt;"&amp;A182)</x:f>
        <x:v>0</x:v>
      </x:c>
      <x:c r="K182" s="8" t="n">
        <x:f>'Current inventory'!E56*Summary!$D$6*(A182-D182)/30.4375</x:f>
        <x:v>8.210266940451746</x:v>
      </x:c>
      <x:c r="L182" s="8" t="n">
        <x:f>MAX(0,E182+H182-K182)</x:f>
        <x:v>0</x:v>
      </x:c>
      <x:c r="M182" s="8" t="n">
        <x:f>MAX(0,F182+I182-MAX(0,K182-E182-H182))</x:f>
        <x:v>0</x:v>
      </x:c>
      <x:c r="N182" s="8" t="n">
        <x:f>MAX(0,G182+J182-K182)</x:f>
        <x:v>585.4951950718686</x:v>
      </x:c>
      <x:c r="O182" s="8" t="n">
        <x:f>SUM(L182:N182)</x:f>
        <x:v>585.4951950718686</x:v>
      </x:c>
      <x:c r="P182" s="14" t="n">
        <x:f>'Current inventory'!V56</x:f>
        <x:v>0.3998</x:v>
      </x:c>
      <x:c r="Q182" s="14" t="str">
        <x:f>'Current inventory'!W56</x:f>
        <x:v>n.a.</x:v>
      </x:c>
      <x:c r="R182" s="10" t="n">
        <x:f>L182*P182</x:f>
        <x:v>0</x:v>
      </x:c>
      <x:c r="S182" s="10" t="n">
        <x:f>M182*P182</x:f>
        <x:v>0</x:v>
      </x:c>
      <x:c r="T182" s="10" t="n">
        <x:f>N182*P182</x:f>
        <x:v>234.08097898973304</x:v>
      </x:c>
      <x:c r="U182" s="10" t="n">
        <x:f>O182*P182</x:f>
        <x:v>234.08097898973304</x:v>
      </x:c>
      <x:c r="V182" s="10" t="str">
        <x:f>IF(ISNUMBER(Q182),O182*(Q182-P182),"n.a.")</x:f>
        <x:v>n.a.</x:v>
      </x:c>
      <x:c r="W182" s="10" t="n">
        <x:f>IF(ISNUMBER(Q182),U182,0)</x:f>
        <x:v>0</x:v>
      </x:c>
      <x:c r="X182" s="8" t="n">
        <x:f>MAX(0,K182-SUM(E182:J182))</x:f>
        <x:v>0</x:v>
      </x:c>
      <x:c r="Y182" s="1" t="str">
        <x:f>IF(AND(O182&gt;0,NOT(ISNUMBER(Q182))),"No proposed replacement standard",IF(X182&gt;0,"Demand exceeds available stock",""))</x:f>
        <x:v>No proposed replacement standard</x:v>
      </x:c>
      <x:c r="Z182" s="1" t="n">
        <x:f>IF(ISNUMBER(Q182),1,0)</x:f>
        <x:v>0</x:v>
      </x:c>
    </x:row>
    <x:row r="183" ht="21" customHeight="1">
      <x:c r="A183" s="17" t="n">
        <x:f>Summary!B16</x:f>
        <x:v>46357</x:v>
      </x:c>
      <x:c r="B183" s="1" t="str">
        <x:f>'Current inventory'!A57</x:f>
        <x:v>10</x:v>
      </x:c>
      <x:c r="C183" s="1" t="str">
        <x:f>'Current inventory'!B57</x:f>
        <x:v>800BFGASC</x:v>
      </x:c>
      <x:c r="D183" s="7" t="n">
        <x:f>A57</x:f>
        <x:v>46327</x:v>
      </x:c>
      <x:c r="E183" s="8" t="n">
        <x:f>L57</x:f>
        <x:v>0</x:v>
      </x:c>
      <x:c r="F183" s="8" t="n">
        <x:f>M57</x:f>
        <x:v>0</x:v>
      </x:c>
      <x:c r="G183" s="8" t="n">
        <x:f>N57</x:f>
        <x:v>0</x:v>
      </x:c>
      <x:c r="H183" s="8" t="n">
        <x:f>SUMIFS('PO detail'!$U$2:$U$672,'PO detail'!$A$2:$A$672,B183,'PO detail'!$B$2:$B$672,C183,'PO detail'!$G$2:$G$672,"&gt;="&amp;D183,'PO detail'!$G$2:$G$672,"&lt;"&amp;A183)</x:f>
        <x:v>0</x:v>
      </x:c>
      <x:c r="I183" s="8" t="n">
        <x:f>SUMIFS('PO detail'!$V$2:$V$672,'PO detail'!$A$2:$A$672,B183,'PO detail'!$B$2:$B$672,C183,'PO detail'!$G$2:$G$672,"&gt;="&amp;D183,'PO detail'!$G$2:$G$672,"&lt;"&amp;A183)</x:f>
        <x:v>0</x:v>
      </x:c>
      <x:c r="J183" s="8" t="n">
        <x:f>SUMIFS('PO detail'!$W$2:$W$672,'PO detail'!$A$2:$A$672,B183,'PO detail'!$B$2:$B$672,C183,'PO detail'!$G$2:$G$672,"&gt;="&amp;D183,'PO detail'!$G$2:$G$672,"&lt;"&amp;A183)</x:f>
        <x:v>0</x:v>
      </x:c>
      <x:c r="K183" s="8" t="n">
        <x:f>'Current inventory'!E57*Summary!$D$6*(A183-D183)/30.4375</x:f>
        <x:v>0</x:v>
      </x:c>
      <x:c r="L183" s="8" t="n">
        <x:f>MAX(0,E183+H183-K183)</x:f>
        <x:v>0</x:v>
      </x:c>
      <x:c r="M183" s="8" t="n">
        <x:f>MAX(0,F183+I183-MAX(0,K183-E183-H183))</x:f>
        <x:v>0</x:v>
      </x:c>
      <x:c r="N183" s="8" t="n">
        <x:f>MAX(0,G183+J183-K183)</x:f>
        <x:v>0</x:v>
      </x:c>
      <x:c r="O183" s="8" t="n">
        <x:f>SUM(L183:N183)</x:f>
        <x:v>0</x:v>
      </x:c>
      <x:c r="P183" s="14" t="n">
        <x:f>'Current inventory'!V57</x:f>
        <x:v>0.1456</x:v>
      </x:c>
      <x:c r="Q183" s="14" t="str">
        <x:f>'Current inventory'!W57</x:f>
        <x:v>n.a.</x:v>
      </x:c>
      <x:c r="R183" s="10" t="n">
        <x:f>L183*P183</x:f>
        <x:v>0</x:v>
      </x:c>
      <x:c r="S183" s="10" t="n">
        <x:f>M183*P183</x:f>
        <x:v>0</x:v>
      </x:c>
      <x:c r="T183" s="10" t="n">
        <x:f>N183*P183</x:f>
        <x:v>0</x:v>
      </x:c>
      <x:c r="U183" s="10" t="n">
        <x:f>O183*P183</x:f>
        <x:v>0</x:v>
      </x:c>
      <x:c r="V183" s="10" t="str">
        <x:f>IF(ISNUMBER(Q183),O183*(Q183-P183),"n.a.")</x:f>
        <x:v>n.a.</x:v>
      </x:c>
      <x:c r="W183" s="10" t="n">
        <x:f>IF(ISNUMBER(Q183),U183,0)</x:f>
        <x:v>0</x:v>
      </x:c>
      <x:c r="X183" s="8" t="n">
        <x:f>MAX(0,K183-SUM(E183:J183))</x:f>
        <x:v>0</x:v>
      </x:c>
      <x:c r="Y183" s="1" t="str">
        <x:f>IF(AND(O183&gt;0,NOT(ISNUMBER(Q183))),"No proposed replacement standard",IF(X183&gt;0,"Demand exceeds available stock",""))</x:f>
      </x:c>
      <x:c r="Z183" s="1" t="n">
        <x:f>IF(ISNUMBER(Q183),1,0)</x:f>
        <x:v>0</x:v>
      </x:c>
    </x:row>
    <x:row r="184" ht="21" customHeight="1">
      <x:c r="A184" s="17" t="n">
        <x:f>Summary!B16</x:f>
        <x:v>46357</x:v>
      </x:c>
      <x:c r="B184" s="1" t="str">
        <x:f>'Current inventory'!A58</x:f>
        <x:v>10</x:v>
      </x:c>
      <x:c r="C184" s="1" t="str">
        <x:f>'Current inventory'!B58</x:f>
        <x:v>800BFGBRC</x:v>
      </x:c>
      <x:c r="D184" s="7" t="n">
        <x:f>A58</x:f>
        <x:v>46327</x:v>
      </x:c>
      <x:c r="E184" s="8" t="n">
        <x:f>L58</x:f>
        <x:v>0</x:v>
      </x:c>
      <x:c r="F184" s="8" t="n">
        <x:f>M58</x:f>
        <x:v>0</x:v>
      </x:c>
      <x:c r="G184" s="8" t="n">
        <x:f>N58</x:f>
        <x:v>0</x:v>
      </x:c>
      <x:c r="H184" s="8" t="n">
        <x:f>SUMIFS('PO detail'!$U$2:$U$672,'PO detail'!$A$2:$A$672,B184,'PO detail'!$B$2:$B$672,C184,'PO detail'!$G$2:$G$672,"&gt;="&amp;D184,'PO detail'!$G$2:$G$672,"&lt;"&amp;A184)</x:f>
        <x:v>0</x:v>
      </x:c>
      <x:c r="I184" s="8" t="n">
        <x:f>SUMIFS('PO detail'!$V$2:$V$672,'PO detail'!$A$2:$A$672,B184,'PO detail'!$B$2:$B$672,C184,'PO detail'!$G$2:$G$672,"&gt;="&amp;D184,'PO detail'!$G$2:$G$672,"&lt;"&amp;A184)</x:f>
        <x:v>0</x:v>
      </x:c>
      <x:c r="J184" s="8" t="n">
        <x:f>SUMIFS('PO detail'!$W$2:$W$672,'PO detail'!$A$2:$A$672,B184,'PO detail'!$B$2:$B$672,C184,'PO detail'!$G$2:$G$672,"&gt;="&amp;D184,'PO detail'!$G$2:$G$672,"&lt;"&amp;A184)</x:f>
        <x:v>0</x:v>
      </x:c>
      <x:c r="K184" s="8" t="n">
        <x:f>'Current inventory'!E58*Summary!$D$6*(A184-D184)/30.4375</x:f>
        <x:v>0</x:v>
      </x:c>
      <x:c r="L184" s="8" t="n">
        <x:f>MAX(0,E184+H184-K184)</x:f>
        <x:v>0</x:v>
      </x:c>
      <x:c r="M184" s="8" t="n">
        <x:f>MAX(0,F184+I184-MAX(0,K184-E184-H184))</x:f>
        <x:v>0</x:v>
      </x:c>
      <x:c r="N184" s="8" t="n">
        <x:f>MAX(0,G184+J184-K184)</x:f>
        <x:v>0</x:v>
      </x:c>
      <x:c r="O184" s="8" t="n">
        <x:f>SUM(L184:N184)</x:f>
        <x:v>0</x:v>
      </x:c>
      <x:c r="P184" s="14" t="n">
        <x:f>'Current inventory'!V58</x:f>
        <x:v>0.18469999999999998</x:v>
      </x:c>
      <x:c r="Q184" s="14" t="str">
        <x:f>'Current inventory'!W58</x:f>
        <x:v>n.a.</x:v>
      </x:c>
      <x:c r="R184" s="10" t="n">
        <x:f>L184*P184</x:f>
        <x:v>0</x:v>
      </x:c>
      <x:c r="S184" s="10" t="n">
        <x:f>M184*P184</x:f>
        <x:v>0</x:v>
      </x:c>
      <x:c r="T184" s="10" t="n">
        <x:f>N184*P184</x:f>
        <x:v>0</x:v>
      </x:c>
      <x:c r="U184" s="10" t="n">
        <x:f>O184*P184</x:f>
        <x:v>0</x:v>
      </x:c>
      <x:c r="V184" s="10" t="str">
        <x:f>IF(ISNUMBER(Q184),O184*(Q184-P184),"n.a.")</x:f>
        <x:v>n.a.</x:v>
      </x:c>
      <x:c r="W184" s="10" t="n">
        <x:f>IF(ISNUMBER(Q184),U184,0)</x:f>
        <x:v>0</x:v>
      </x:c>
      <x:c r="X184" s="8" t="n">
        <x:f>MAX(0,K184-SUM(E184:J184))</x:f>
        <x:v>0</x:v>
      </x:c>
      <x:c r="Y184" s="1" t="str">
        <x:f>IF(AND(O184&gt;0,NOT(ISNUMBER(Q184))),"No proposed replacement standard",IF(X184&gt;0,"Demand exceeds available stock",""))</x:f>
      </x:c>
      <x:c r="Z184" s="1" t="n">
        <x:f>IF(ISNUMBER(Q184),1,0)</x:f>
        <x:v>0</x:v>
      </x:c>
    </x:row>
    <x:row r="185" ht="21" customHeight="1">
      <x:c r="A185" s="17" t="n">
        <x:f>Summary!B16</x:f>
        <x:v>46357</x:v>
      </x:c>
      <x:c r="B185" s="1" t="str">
        <x:f>'Current inventory'!A59</x:f>
        <x:v>10</x:v>
      </x:c>
      <x:c r="C185" s="1" t="str">
        <x:f>'Current inventory'!B59</x:f>
        <x:v>800BFGCSC</x:v>
      </x:c>
      <x:c r="D185" s="7" t="n">
        <x:f>A59</x:f>
        <x:v>46327</x:v>
      </x:c>
      <x:c r="E185" s="8" t="n">
        <x:f>L59</x:f>
        <x:v>0</x:v>
      </x:c>
      <x:c r="F185" s="8" t="n">
        <x:f>M59</x:f>
        <x:v>0</x:v>
      </x:c>
      <x:c r="G185" s="8" t="n">
        <x:f>N59</x:f>
        <x:v>0</x:v>
      </x:c>
      <x:c r="H185" s="8" t="n">
        <x:f>SUMIFS('PO detail'!$U$2:$U$672,'PO detail'!$A$2:$A$672,B185,'PO detail'!$B$2:$B$672,C185,'PO detail'!$G$2:$G$672,"&gt;="&amp;D185,'PO detail'!$G$2:$G$672,"&lt;"&amp;A185)</x:f>
        <x:v>0</x:v>
      </x:c>
      <x:c r="I185" s="8" t="n">
        <x:f>SUMIFS('PO detail'!$V$2:$V$672,'PO detail'!$A$2:$A$672,B185,'PO detail'!$B$2:$B$672,C185,'PO detail'!$G$2:$G$672,"&gt;="&amp;D185,'PO detail'!$G$2:$G$672,"&lt;"&amp;A185)</x:f>
        <x:v>0</x:v>
      </x:c>
      <x:c r="J185" s="8" t="n">
        <x:f>SUMIFS('PO detail'!$W$2:$W$672,'PO detail'!$A$2:$A$672,B185,'PO detail'!$B$2:$B$672,C185,'PO detail'!$G$2:$G$672,"&gt;="&amp;D185,'PO detail'!$G$2:$G$672,"&lt;"&amp;A185)</x:f>
        <x:v>0</x:v>
      </x:c>
      <x:c r="K185" s="8" t="n">
        <x:f>'Current inventory'!E59*Summary!$D$6*(A185-D185)/30.4375</x:f>
        <x:v>0</x:v>
      </x:c>
      <x:c r="L185" s="8" t="n">
        <x:f>MAX(0,E185+H185-K185)</x:f>
        <x:v>0</x:v>
      </x:c>
      <x:c r="M185" s="8" t="n">
        <x:f>MAX(0,F185+I185-MAX(0,K185-E185-H185))</x:f>
        <x:v>0</x:v>
      </x:c>
      <x:c r="N185" s="8" t="n">
        <x:f>MAX(0,G185+J185-K185)</x:f>
        <x:v>0</x:v>
      </x:c>
      <x:c r="O185" s="8" t="n">
        <x:f>SUM(L185:N185)</x:f>
        <x:v>0</x:v>
      </x:c>
      <x:c r="P185" s="14" t="n">
        <x:f>'Current inventory'!V59</x:f>
        <x:v>0.21559999999999999</x:v>
      </x:c>
      <x:c r="Q185" s="14" t="str">
        <x:f>'Current inventory'!W59</x:f>
        <x:v>n.a.</x:v>
      </x:c>
      <x:c r="R185" s="10" t="n">
        <x:f>L185*P185</x:f>
        <x:v>0</x:v>
      </x:c>
      <x:c r="S185" s="10" t="n">
        <x:f>M185*P185</x:f>
        <x:v>0</x:v>
      </x:c>
      <x:c r="T185" s="10" t="n">
        <x:f>N185*P185</x:f>
        <x:v>0</x:v>
      </x:c>
      <x:c r="U185" s="10" t="n">
        <x:f>O185*P185</x:f>
        <x:v>0</x:v>
      </x:c>
      <x:c r="V185" s="10" t="str">
        <x:f>IF(ISNUMBER(Q185),O185*(Q185-P185),"n.a.")</x:f>
        <x:v>n.a.</x:v>
      </x:c>
      <x:c r="W185" s="10" t="n">
        <x:f>IF(ISNUMBER(Q185),U185,0)</x:f>
        <x:v>0</x:v>
      </x:c>
      <x:c r="X185" s="8" t="n">
        <x:f>MAX(0,K185-SUM(E185:J185))</x:f>
        <x:v>0</x:v>
      </x:c>
      <x:c r="Y185" s="1" t="str">
        <x:f>IF(AND(O185&gt;0,NOT(ISNUMBER(Q185))),"No proposed replacement standard",IF(X185&gt;0,"Demand exceeds available stock",""))</x:f>
      </x:c>
      <x:c r="Z185" s="1" t="n">
        <x:f>IF(ISNUMBER(Q185),1,0)</x:f>
        <x:v>0</x:v>
      </x:c>
    </x:row>
    <x:row r="186" ht="21" customHeight="1">
      <x:c r="A186" s="17" t="n">
        <x:f>Summary!B16</x:f>
        <x:v>46357</x:v>
      </x:c>
      <x:c r="B186" s="1" t="str">
        <x:f>'Current inventory'!A60</x:f>
        <x:v>10</x:v>
      </x:c>
      <x:c r="C186" s="1" t="str">
        <x:f>'Current inventory'!B60</x:f>
        <x:v>800BFGDSC</x:v>
      </x:c>
      <x:c r="D186" s="7" t="n">
        <x:f>A60</x:f>
        <x:v>46327</x:v>
      </x:c>
      <x:c r="E186" s="8" t="n">
        <x:f>L60</x:f>
        <x:v>0</x:v>
      </x:c>
      <x:c r="F186" s="8" t="n">
        <x:f>M60</x:f>
        <x:v>0</x:v>
      </x:c>
      <x:c r="G186" s="8" t="n">
        <x:f>N60</x:f>
        <x:v>0</x:v>
      </x:c>
      <x:c r="H186" s="8" t="n">
        <x:f>SUMIFS('PO detail'!$U$2:$U$672,'PO detail'!$A$2:$A$672,B186,'PO detail'!$B$2:$B$672,C186,'PO detail'!$G$2:$G$672,"&gt;="&amp;D186,'PO detail'!$G$2:$G$672,"&lt;"&amp;A186)</x:f>
        <x:v>0</x:v>
      </x:c>
      <x:c r="I186" s="8" t="n">
        <x:f>SUMIFS('PO detail'!$V$2:$V$672,'PO detail'!$A$2:$A$672,B186,'PO detail'!$B$2:$B$672,C186,'PO detail'!$G$2:$G$672,"&gt;="&amp;D186,'PO detail'!$G$2:$G$672,"&lt;"&amp;A186)</x:f>
        <x:v>0</x:v>
      </x:c>
      <x:c r="J186" s="8" t="n">
        <x:f>SUMIFS('PO detail'!$W$2:$W$672,'PO detail'!$A$2:$A$672,B186,'PO detail'!$B$2:$B$672,C186,'PO detail'!$G$2:$G$672,"&gt;="&amp;D186,'PO detail'!$G$2:$G$672,"&lt;"&amp;A186)</x:f>
        <x:v>0</x:v>
      </x:c>
      <x:c r="K186" s="8" t="n">
        <x:f>'Current inventory'!E60*Summary!$D$6*(A186-D186)/30.4375</x:f>
        <x:v>0</x:v>
      </x:c>
      <x:c r="L186" s="8" t="n">
        <x:f>MAX(0,E186+H186-K186)</x:f>
        <x:v>0</x:v>
      </x:c>
      <x:c r="M186" s="8" t="n">
        <x:f>MAX(0,F186+I186-MAX(0,K186-E186-H186))</x:f>
        <x:v>0</x:v>
      </x:c>
      <x:c r="N186" s="8" t="n">
        <x:f>MAX(0,G186+J186-K186)</x:f>
        <x:v>0</x:v>
      </x:c>
      <x:c r="O186" s="8" t="n">
        <x:f>SUM(L186:N186)</x:f>
        <x:v>0</x:v>
      </x:c>
      <x:c r="P186" s="14" t="n">
        <x:f>'Current inventory'!V60</x:f>
        <x:v>0.38</x:v>
      </x:c>
      <x:c r="Q186" s="14" t="str">
        <x:f>'Current inventory'!W60</x:f>
        <x:v>n.a.</x:v>
      </x:c>
      <x:c r="R186" s="10" t="n">
        <x:f>L186*P186</x:f>
        <x:v>0</x:v>
      </x:c>
      <x:c r="S186" s="10" t="n">
        <x:f>M186*P186</x:f>
        <x:v>0</x:v>
      </x:c>
      <x:c r="T186" s="10" t="n">
        <x:f>N186*P186</x:f>
        <x:v>0</x:v>
      </x:c>
      <x:c r="U186" s="10" t="n">
        <x:f>O186*P186</x:f>
        <x:v>0</x:v>
      </x:c>
      <x:c r="V186" s="10" t="str">
        <x:f>IF(ISNUMBER(Q186),O186*(Q186-P186),"n.a.")</x:f>
        <x:v>n.a.</x:v>
      </x:c>
      <x:c r="W186" s="10" t="n">
        <x:f>IF(ISNUMBER(Q186),U186,0)</x:f>
        <x:v>0</x:v>
      </x:c>
      <x:c r="X186" s="8" t="n">
        <x:f>MAX(0,K186-SUM(E186:J186))</x:f>
        <x:v>0</x:v>
      </x:c>
      <x:c r="Y186" s="1" t="str">
        <x:f>IF(AND(O186&gt;0,NOT(ISNUMBER(Q186))),"No proposed replacement standard",IF(X186&gt;0,"Demand exceeds available stock",""))</x:f>
      </x:c>
      <x:c r="Z186" s="1" t="n">
        <x:f>IF(ISNUMBER(Q186),1,0)</x:f>
        <x:v>0</x:v>
      </x:c>
    </x:row>
    <x:row r="187" ht="21" customHeight="1">
      <x:c r="A187" s="17" t="n">
        <x:f>Summary!B16</x:f>
        <x:v>46357</x:v>
      </x:c>
      <x:c r="B187" s="1" t="str">
        <x:f>'Current inventory'!A61</x:f>
        <x:v>10</x:v>
      </x:c>
      <x:c r="C187" s="1" t="str">
        <x:f>'Current inventory'!B61</x:f>
        <x:v>800BFGISC</x:v>
      </x:c>
      <x:c r="D187" s="7" t="n">
        <x:f>A61</x:f>
        <x:v>46327</x:v>
      </x:c>
      <x:c r="E187" s="8" t="n">
        <x:f>L61</x:f>
        <x:v>0</x:v>
      </x:c>
      <x:c r="F187" s="8" t="n">
        <x:f>M61</x:f>
        <x:v>0</x:v>
      </x:c>
      <x:c r="G187" s="8" t="n">
        <x:f>N61</x:f>
        <x:v>0</x:v>
      </x:c>
      <x:c r="H187" s="8" t="n">
        <x:f>SUMIFS('PO detail'!$U$2:$U$672,'PO detail'!$A$2:$A$672,B187,'PO detail'!$B$2:$B$672,C187,'PO detail'!$G$2:$G$672,"&gt;="&amp;D187,'PO detail'!$G$2:$G$672,"&lt;"&amp;A187)</x:f>
        <x:v>0</x:v>
      </x:c>
      <x:c r="I187" s="8" t="n">
        <x:f>SUMIFS('PO detail'!$V$2:$V$672,'PO detail'!$A$2:$A$672,B187,'PO detail'!$B$2:$B$672,C187,'PO detail'!$G$2:$G$672,"&gt;="&amp;D187,'PO detail'!$G$2:$G$672,"&lt;"&amp;A187)</x:f>
        <x:v>0</x:v>
      </x:c>
      <x:c r="J187" s="8" t="n">
        <x:f>SUMIFS('PO detail'!$W$2:$W$672,'PO detail'!$A$2:$A$672,B187,'PO detail'!$B$2:$B$672,C187,'PO detail'!$G$2:$G$672,"&gt;="&amp;D187,'PO detail'!$G$2:$G$672,"&lt;"&amp;A187)</x:f>
        <x:v>0</x:v>
      </x:c>
      <x:c r="K187" s="8" t="n">
        <x:f>'Current inventory'!E61*Summary!$D$6*(A187-D187)/30.4375</x:f>
        <x:v>0</x:v>
      </x:c>
      <x:c r="L187" s="8" t="n">
        <x:f>MAX(0,E187+H187-K187)</x:f>
        <x:v>0</x:v>
      </x:c>
      <x:c r="M187" s="8" t="n">
        <x:f>MAX(0,F187+I187-MAX(0,K187-E187-H187))</x:f>
        <x:v>0</x:v>
      </x:c>
      <x:c r="N187" s="8" t="n">
        <x:f>MAX(0,G187+J187-K187)</x:f>
        <x:v>0</x:v>
      </x:c>
      <x:c r="O187" s="8" t="n">
        <x:f>SUM(L187:N187)</x:f>
        <x:v>0</x:v>
      </x:c>
      <x:c r="P187" s="14" t="n">
        <x:f>'Current inventory'!V61</x:f>
        <x:v>0.1797</x:v>
      </x:c>
      <x:c r="Q187" s="14" t="str">
        <x:f>'Current inventory'!W61</x:f>
        <x:v>n.a.</x:v>
      </x:c>
      <x:c r="R187" s="10" t="n">
        <x:f>L187*P187</x:f>
        <x:v>0</x:v>
      </x:c>
      <x:c r="S187" s="10" t="n">
        <x:f>M187*P187</x:f>
        <x:v>0</x:v>
      </x:c>
      <x:c r="T187" s="10" t="n">
        <x:f>N187*P187</x:f>
        <x:v>0</x:v>
      </x:c>
      <x:c r="U187" s="10" t="n">
        <x:f>O187*P187</x:f>
        <x:v>0</x:v>
      </x:c>
      <x:c r="V187" s="10" t="str">
        <x:f>IF(ISNUMBER(Q187),O187*(Q187-P187),"n.a.")</x:f>
        <x:v>n.a.</x:v>
      </x:c>
      <x:c r="W187" s="10" t="n">
        <x:f>IF(ISNUMBER(Q187),U187,0)</x:f>
        <x:v>0</x:v>
      </x:c>
      <x:c r="X187" s="8" t="n">
        <x:f>MAX(0,K187-SUM(E187:J187))</x:f>
        <x:v>0</x:v>
      </x:c>
      <x:c r="Y187" s="1" t="str">
        <x:f>IF(AND(O187&gt;0,NOT(ISNUMBER(Q187))),"No proposed replacement standard",IF(X187&gt;0,"Demand exceeds available stock",""))</x:f>
      </x:c>
      <x:c r="Z187" s="1" t="n">
        <x:f>IF(ISNUMBER(Q187),1,0)</x:f>
        <x:v>0</x:v>
      </x:c>
    </x:row>
    <x:row r="188" ht="21" customHeight="1">
      <x:c r="A188" s="17" t="n">
        <x:f>Summary!B16</x:f>
        <x:v>46357</x:v>
      </x:c>
      <x:c r="B188" s="1" t="str">
        <x:f>'Current inventory'!A62</x:f>
        <x:v>10</x:v>
      </x:c>
      <x:c r="C188" s="1" t="str">
        <x:f>'Current inventory'!B62</x:f>
        <x:v>800BLKF</x:v>
      </x:c>
      <x:c r="D188" s="7" t="n">
        <x:f>A62</x:f>
        <x:v>46327</x:v>
      </x:c>
      <x:c r="E188" s="8" t="n">
        <x:f>L62</x:f>
        <x:v>0</x:v>
      </x:c>
      <x:c r="F188" s="8" t="n">
        <x:f>M62</x:f>
        <x:v>0</x:v>
      </x:c>
      <x:c r="G188" s="8" t="n">
        <x:f>N62</x:f>
        <x:v>0</x:v>
      </x:c>
      <x:c r="H188" s="8" t="n">
        <x:f>SUMIFS('PO detail'!$U$2:$U$672,'PO detail'!$A$2:$A$672,B188,'PO detail'!$B$2:$B$672,C188,'PO detail'!$G$2:$G$672,"&gt;="&amp;D188,'PO detail'!$G$2:$G$672,"&lt;"&amp;A188)</x:f>
        <x:v>0</x:v>
      </x:c>
      <x:c r="I188" s="8" t="n">
        <x:f>SUMIFS('PO detail'!$V$2:$V$672,'PO detail'!$A$2:$A$672,B188,'PO detail'!$B$2:$B$672,C188,'PO detail'!$G$2:$G$672,"&gt;="&amp;D188,'PO detail'!$G$2:$G$672,"&lt;"&amp;A188)</x:f>
        <x:v>0</x:v>
      </x:c>
      <x:c r="J188" s="8" t="n">
        <x:f>SUMIFS('PO detail'!$W$2:$W$672,'PO detail'!$A$2:$A$672,B188,'PO detail'!$B$2:$B$672,C188,'PO detail'!$G$2:$G$672,"&gt;="&amp;D188,'PO detail'!$G$2:$G$672,"&lt;"&amp;A188)</x:f>
        <x:v>0</x:v>
      </x:c>
      <x:c r="K188" s="8" t="n">
        <x:f>'Current inventory'!E62*Summary!$D$6*(A188-D188)/30.4375</x:f>
        <x:v>0</x:v>
      </x:c>
      <x:c r="L188" s="8" t="n">
        <x:f>MAX(0,E188+H188-K188)</x:f>
        <x:v>0</x:v>
      </x:c>
      <x:c r="M188" s="8" t="n">
        <x:f>MAX(0,F188+I188-MAX(0,K188-E188-H188))</x:f>
        <x:v>0</x:v>
      </x:c>
      <x:c r="N188" s="8" t="n">
        <x:f>MAX(0,G188+J188-K188)</x:f>
        <x:v>0</x:v>
      </x:c>
      <x:c r="O188" s="8" t="n">
        <x:f>SUM(L188:N188)</x:f>
        <x:v>0</x:v>
      </x:c>
      <x:c r="P188" s="14" t="n">
        <x:f>'Current inventory'!V62</x:f>
        <x:v>7.03</x:v>
      </x:c>
      <x:c r="Q188" s="14" t="str">
        <x:f>'Current inventory'!W62</x:f>
        <x:v>n.a.</x:v>
      </x:c>
      <x:c r="R188" s="10" t="n">
        <x:f>L188*P188</x:f>
        <x:v>0</x:v>
      </x:c>
      <x:c r="S188" s="10" t="n">
        <x:f>M188*P188</x:f>
        <x:v>0</x:v>
      </x:c>
      <x:c r="T188" s="10" t="n">
        <x:f>N188*P188</x:f>
        <x:v>0</x:v>
      </x:c>
      <x:c r="U188" s="10" t="n">
        <x:f>O188*P188</x:f>
        <x:v>0</x:v>
      </x:c>
      <x:c r="V188" s="10" t="str">
        <x:f>IF(ISNUMBER(Q188),O188*(Q188-P188),"n.a.")</x:f>
        <x:v>n.a.</x:v>
      </x:c>
      <x:c r="W188" s="10" t="n">
        <x:f>IF(ISNUMBER(Q188),U188,0)</x:f>
        <x:v>0</x:v>
      </x:c>
      <x:c r="X188" s="8" t="n">
        <x:f>MAX(0,K188-SUM(E188:J188))</x:f>
        <x:v>0</x:v>
      </x:c>
      <x:c r="Y188" s="1" t="str">
        <x:f>IF(AND(O188&gt;0,NOT(ISNUMBER(Q188))),"No proposed replacement standard",IF(X188&gt;0,"Demand exceeds available stock",""))</x:f>
      </x:c>
      <x:c r="Z188" s="1" t="n">
        <x:f>IF(ISNUMBER(Q188),1,0)</x:f>
        <x:v>0</x:v>
      </x:c>
    </x:row>
    <x:row r="189" ht="21" customHeight="1">
      <x:c r="A189" s="17" t="n">
        <x:f>Summary!B16</x:f>
        <x:v>46357</x:v>
      </x:c>
      <x:c r="B189" s="1" t="str">
        <x:f>'Current inventory'!A63</x:f>
        <x:v>10</x:v>
      </x:c>
      <x:c r="C189" s="1" t="str">
        <x:f>'Current inventory'!B63</x:f>
        <x:v>800BWHTASC</x:v>
      </x:c>
      <x:c r="D189" s="7" t="n">
        <x:f>A63</x:f>
        <x:v>46327</x:v>
      </x:c>
      <x:c r="E189" s="8" t="n">
        <x:f>L63</x:f>
        <x:v>0</x:v>
      </x:c>
      <x:c r="F189" s="8" t="n">
        <x:f>M63</x:f>
        <x:v>0</x:v>
      </x:c>
      <x:c r="G189" s="8" t="n">
        <x:f>N63</x:f>
        <x:v>0</x:v>
      </x:c>
      <x:c r="H189" s="8" t="n">
        <x:f>SUMIFS('PO detail'!$U$2:$U$672,'PO detail'!$A$2:$A$672,B189,'PO detail'!$B$2:$B$672,C189,'PO detail'!$G$2:$G$672,"&gt;="&amp;D189,'PO detail'!$G$2:$G$672,"&lt;"&amp;A189)</x:f>
        <x:v>0</x:v>
      </x:c>
      <x:c r="I189" s="8" t="n">
        <x:f>SUMIFS('PO detail'!$V$2:$V$672,'PO detail'!$A$2:$A$672,B189,'PO detail'!$B$2:$B$672,C189,'PO detail'!$G$2:$G$672,"&gt;="&amp;D189,'PO detail'!$G$2:$G$672,"&lt;"&amp;A189)</x:f>
        <x:v>0</x:v>
      </x:c>
      <x:c r="J189" s="8" t="n">
        <x:f>SUMIFS('PO detail'!$W$2:$W$672,'PO detail'!$A$2:$A$672,B189,'PO detail'!$B$2:$B$672,C189,'PO detail'!$G$2:$G$672,"&gt;="&amp;D189,'PO detail'!$G$2:$G$672,"&lt;"&amp;A189)</x:f>
        <x:v>0</x:v>
      </x:c>
      <x:c r="K189" s="8" t="n">
        <x:f>'Current inventory'!E63*Summary!$D$6*(A189-D189)/30.4375</x:f>
        <x:v>0</x:v>
      </x:c>
      <x:c r="L189" s="8" t="n">
        <x:f>MAX(0,E189+H189-K189)</x:f>
        <x:v>0</x:v>
      </x:c>
      <x:c r="M189" s="8" t="n">
        <x:f>MAX(0,F189+I189-MAX(0,K189-E189-H189))</x:f>
        <x:v>0</x:v>
      </x:c>
      <x:c r="N189" s="8" t="n">
        <x:f>MAX(0,G189+J189-K189)</x:f>
        <x:v>0</x:v>
      </x:c>
      <x:c r="O189" s="8" t="n">
        <x:f>SUM(L189:N189)</x:f>
        <x:v>0</x:v>
      </x:c>
      <x:c r="P189" s="14" t="n">
        <x:f>'Current inventory'!V63</x:f>
        <x:v>0.1456</x:v>
      </x:c>
      <x:c r="Q189" s="14" t="str">
        <x:f>'Current inventory'!W63</x:f>
        <x:v>n.a.</x:v>
      </x:c>
      <x:c r="R189" s="10" t="n">
        <x:f>L189*P189</x:f>
        <x:v>0</x:v>
      </x:c>
      <x:c r="S189" s="10" t="n">
        <x:f>M189*P189</x:f>
        <x:v>0</x:v>
      </x:c>
      <x:c r="T189" s="10" t="n">
        <x:f>N189*P189</x:f>
        <x:v>0</x:v>
      </x:c>
      <x:c r="U189" s="10" t="n">
        <x:f>O189*P189</x:f>
        <x:v>0</x:v>
      </x:c>
      <x:c r="V189" s="10" t="str">
        <x:f>IF(ISNUMBER(Q189),O189*(Q189-P189),"n.a.")</x:f>
        <x:v>n.a.</x:v>
      </x:c>
      <x:c r="W189" s="10" t="n">
        <x:f>IF(ISNUMBER(Q189),U189,0)</x:f>
        <x:v>0</x:v>
      </x:c>
      <x:c r="X189" s="8" t="n">
        <x:f>MAX(0,K189-SUM(E189:J189))</x:f>
        <x:v>0</x:v>
      </x:c>
      <x:c r="Y189" s="1" t="str">
        <x:f>IF(AND(O189&gt;0,NOT(ISNUMBER(Q189))),"No proposed replacement standard",IF(X189&gt;0,"Demand exceeds available stock",""))</x:f>
      </x:c>
      <x:c r="Z189" s="1" t="n">
        <x:f>IF(ISNUMBER(Q189),1,0)</x:f>
        <x:v>0</x:v>
      </x:c>
    </x:row>
    <x:row r="190" ht="21" customHeight="1">
      <x:c r="A190" s="17" t="n">
        <x:f>Summary!B16</x:f>
        <x:v>46357</x:v>
      </x:c>
      <x:c r="B190" s="1" t="str">
        <x:f>'Current inventory'!A64</x:f>
        <x:v>10</x:v>
      </x:c>
      <x:c r="C190" s="1" t="str">
        <x:f>'Current inventory'!B64</x:f>
        <x:v>800BWHTBRC</x:v>
      </x:c>
      <x:c r="D190" s="7" t="n">
        <x:f>A64</x:f>
        <x:v>46327</x:v>
      </x:c>
      <x:c r="E190" s="8" t="n">
        <x:f>L64</x:f>
        <x:v>0</x:v>
      </x:c>
      <x:c r="F190" s="8" t="n">
        <x:f>M64</x:f>
        <x:v>0</x:v>
      </x:c>
      <x:c r="G190" s="8" t="n">
        <x:f>N64</x:f>
        <x:v>0</x:v>
      </x:c>
      <x:c r="H190" s="8" t="n">
        <x:f>SUMIFS('PO detail'!$U$2:$U$672,'PO detail'!$A$2:$A$672,B190,'PO detail'!$B$2:$B$672,C190,'PO detail'!$G$2:$G$672,"&gt;="&amp;D190,'PO detail'!$G$2:$G$672,"&lt;"&amp;A190)</x:f>
        <x:v>0</x:v>
      </x:c>
      <x:c r="I190" s="8" t="n">
        <x:f>SUMIFS('PO detail'!$V$2:$V$672,'PO detail'!$A$2:$A$672,B190,'PO detail'!$B$2:$B$672,C190,'PO detail'!$G$2:$G$672,"&gt;="&amp;D190,'PO detail'!$G$2:$G$672,"&lt;"&amp;A190)</x:f>
        <x:v>0</x:v>
      </x:c>
      <x:c r="J190" s="8" t="n">
        <x:f>SUMIFS('PO detail'!$W$2:$W$672,'PO detail'!$A$2:$A$672,B190,'PO detail'!$B$2:$B$672,C190,'PO detail'!$G$2:$G$672,"&gt;="&amp;D190,'PO detail'!$G$2:$G$672,"&lt;"&amp;A190)</x:f>
        <x:v>0</x:v>
      </x:c>
      <x:c r="K190" s="8" t="n">
        <x:f>'Current inventory'!E64*Summary!$D$6*(A190-D190)/30.4375</x:f>
        <x:v>0</x:v>
      </x:c>
      <x:c r="L190" s="8" t="n">
        <x:f>MAX(0,E190+H190-K190)</x:f>
        <x:v>0</x:v>
      </x:c>
      <x:c r="M190" s="8" t="n">
        <x:f>MAX(0,F190+I190-MAX(0,K190-E190-H190))</x:f>
        <x:v>0</x:v>
      </x:c>
      <x:c r="N190" s="8" t="n">
        <x:f>MAX(0,G190+J190-K190)</x:f>
        <x:v>0</x:v>
      </x:c>
      <x:c r="O190" s="8" t="n">
        <x:f>SUM(L190:N190)</x:f>
        <x:v>0</x:v>
      </x:c>
      <x:c r="P190" s="14" t="n">
        <x:f>'Current inventory'!V64</x:f>
        <x:v>0.18469999999999998</x:v>
      </x:c>
      <x:c r="Q190" s="14" t="str">
        <x:f>'Current inventory'!W64</x:f>
        <x:v>n.a.</x:v>
      </x:c>
      <x:c r="R190" s="10" t="n">
        <x:f>L190*P190</x:f>
        <x:v>0</x:v>
      </x:c>
      <x:c r="S190" s="10" t="n">
        <x:f>M190*P190</x:f>
        <x:v>0</x:v>
      </x:c>
      <x:c r="T190" s="10" t="n">
        <x:f>N190*P190</x:f>
        <x:v>0</x:v>
      </x:c>
      <x:c r="U190" s="10" t="n">
        <x:f>O190*P190</x:f>
        <x:v>0</x:v>
      </x:c>
      <x:c r="V190" s="10" t="str">
        <x:f>IF(ISNUMBER(Q190),O190*(Q190-P190),"n.a.")</x:f>
        <x:v>n.a.</x:v>
      </x:c>
      <x:c r="W190" s="10" t="n">
        <x:f>IF(ISNUMBER(Q190),U190,0)</x:f>
        <x:v>0</x:v>
      </x:c>
      <x:c r="X190" s="8" t="n">
        <x:f>MAX(0,K190-SUM(E190:J190))</x:f>
        <x:v>0</x:v>
      </x:c>
      <x:c r="Y190" s="1" t="str">
        <x:f>IF(AND(O190&gt;0,NOT(ISNUMBER(Q190))),"No proposed replacement standard",IF(X190&gt;0,"Demand exceeds available stock",""))</x:f>
      </x:c>
      <x:c r="Z190" s="1" t="n">
        <x:f>IF(ISNUMBER(Q190),1,0)</x:f>
        <x:v>0</x:v>
      </x:c>
    </x:row>
    <x:row r="191" ht="21" customHeight="1">
      <x:c r="A191" s="17" t="n">
        <x:f>Summary!B16</x:f>
        <x:v>46357</x:v>
      </x:c>
      <x:c r="B191" s="1" t="str">
        <x:f>'Current inventory'!A65</x:f>
        <x:v>10</x:v>
      </x:c>
      <x:c r="C191" s="1" t="str">
        <x:f>'Current inventory'!B65</x:f>
        <x:v>800BWHTCSC</x:v>
      </x:c>
      <x:c r="D191" s="7" t="n">
        <x:f>A65</x:f>
        <x:v>46327</x:v>
      </x:c>
      <x:c r="E191" s="8" t="n">
        <x:f>L65</x:f>
        <x:v>0</x:v>
      </x:c>
      <x:c r="F191" s="8" t="n">
        <x:f>M65</x:f>
        <x:v>0</x:v>
      </x:c>
      <x:c r="G191" s="8" t="n">
        <x:f>N65</x:f>
        <x:v>0</x:v>
      </x:c>
      <x:c r="H191" s="8" t="n">
        <x:f>SUMIFS('PO detail'!$U$2:$U$672,'PO detail'!$A$2:$A$672,B191,'PO detail'!$B$2:$B$672,C191,'PO detail'!$G$2:$G$672,"&gt;="&amp;D191,'PO detail'!$G$2:$G$672,"&lt;"&amp;A191)</x:f>
        <x:v>0</x:v>
      </x:c>
      <x:c r="I191" s="8" t="n">
        <x:f>SUMIFS('PO detail'!$V$2:$V$672,'PO detail'!$A$2:$A$672,B191,'PO detail'!$B$2:$B$672,C191,'PO detail'!$G$2:$G$672,"&gt;="&amp;D191,'PO detail'!$G$2:$G$672,"&lt;"&amp;A191)</x:f>
        <x:v>0</x:v>
      </x:c>
      <x:c r="J191" s="8" t="n">
        <x:f>SUMIFS('PO detail'!$W$2:$W$672,'PO detail'!$A$2:$A$672,B191,'PO detail'!$B$2:$B$672,C191,'PO detail'!$G$2:$G$672,"&gt;="&amp;D191,'PO detail'!$G$2:$G$672,"&lt;"&amp;A191)</x:f>
        <x:v>0</x:v>
      </x:c>
      <x:c r="K191" s="8" t="n">
        <x:f>'Current inventory'!E65*Summary!$D$6*(A191-D191)/30.4375</x:f>
        <x:v>0</x:v>
      </x:c>
      <x:c r="L191" s="8" t="n">
        <x:f>MAX(0,E191+H191-K191)</x:f>
        <x:v>0</x:v>
      </x:c>
      <x:c r="M191" s="8" t="n">
        <x:f>MAX(0,F191+I191-MAX(0,K191-E191-H191))</x:f>
        <x:v>0</x:v>
      </x:c>
      <x:c r="N191" s="8" t="n">
        <x:f>MAX(0,G191+J191-K191)</x:f>
        <x:v>0</x:v>
      </x:c>
      <x:c r="O191" s="8" t="n">
        <x:f>SUM(L191:N191)</x:f>
        <x:v>0</x:v>
      </x:c>
      <x:c r="P191" s="14" t="n">
        <x:f>'Current inventory'!V65</x:f>
        <x:v>0.21559999999999999</x:v>
      </x:c>
      <x:c r="Q191" s="14" t="str">
        <x:f>'Current inventory'!W65</x:f>
        <x:v>n.a.</x:v>
      </x:c>
      <x:c r="R191" s="10" t="n">
        <x:f>L191*P191</x:f>
        <x:v>0</x:v>
      </x:c>
      <x:c r="S191" s="10" t="n">
        <x:f>M191*P191</x:f>
        <x:v>0</x:v>
      </x:c>
      <x:c r="T191" s="10" t="n">
        <x:f>N191*P191</x:f>
        <x:v>0</x:v>
      </x:c>
      <x:c r="U191" s="10" t="n">
        <x:f>O191*P191</x:f>
        <x:v>0</x:v>
      </x:c>
      <x:c r="V191" s="10" t="str">
        <x:f>IF(ISNUMBER(Q191),O191*(Q191-P191),"n.a.")</x:f>
        <x:v>n.a.</x:v>
      </x:c>
      <x:c r="W191" s="10" t="n">
        <x:f>IF(ISNUMBER(Q191),U191,0)</x:f>
        <x:v>0</x:v>
      </x:c>
      <x:c r="X191" s="8" t="n">
        <x:f>MAX(0,K191-SUM(E191:J191))</x:f>
        <x:v>0</x:v>
      </x:c>
      <x:c r="Y191" s="1" t="str">
        <x:f>IF(AND(O191&gt;0,NOT(ISNUMBER(Q191))),"No proposed replacement standard",IF(X191&gt;0,"Demand exceeds available stock",""))</x:f>
      </x:c>
      <x:c r="Z191" s="1" t="n">
        <x:f>IF(ISNUMBER(Q191),1,0)</x:f>
        <x:v>0</x:v>
      </x:c>
    </x:row>
    <x:row r="192" ht="21" customHeight="1">
      <x:c r="A192" s="17" t="n">
        <x:f>Summary!B16</x:f>
        <x:v>46357</x:v>
      </x:c>
      <x:c r="B192" s="1" t="str">
        <x:f>'Current inventory'!A66</x:f>
        <x:v>10</x:v>
      </x:c>
      <x:c r="C192" s="1" t="str">
        <x:f>'Current inventory'!B66</x:f>
        <x:v>800BWHTDSC</x:v>
      </x:c>
      <x:c r="D192" s="7" t="n">
        <x:f>A66</x:f>
        <x:v>46327</x:v>
      </x:c>
      <x:c r="E192" s="8" t="n">
        <x:f>L66</x:f>
        <x:v>0</x:v>
      </x:c>
      <x:c r="F192" s="8" t="n">
        <x:f>M66</x:f>
        <x:v>0</x:v>
      </x:c>
      <x:c r="G192" s="8" t="n">
        <x:f>N66</x:f>
        <x:v>0</x:v>
      </x:c>
      <x:c r="H192" s="8" t="n">
        <x:f>SUMIFS('PO detail'!$U$2:$U$672,'PO detail'!$A$2:$A$672,B192,'PO detail'!$B$2:$B$672,C192,'PO detail'!$G$2:$G$672,"&gt;="&amp;D192,'PO detail'!$G$2:$G$672,"&lt;"&amp;A192)</x:f>
        <x:v>0</x:v>
      </x:c>
      <x:c r="I192" s="8" t="n">
        <x:f>SUMIFS('PO detail'!$V$2:$V$672,'PO detail'!$A$2:$A$672,B192,'PO detail'!$B$2:$B$672,C192,'PO detail'!$G$2:$G$672,"&gt;="&amp;D192,'PO detail'!$G$2:$G$672,"&lt;"&amp;A192)</x:f>
        <x:v>0</x:v>
      </x:c>
      <x:c r="J192" s="8" t="n">
        <x:f>SUMIFS('PO detail'!$W$2:$W$672,'PO detail'!$A$2:$A$672,B192,'PO detail'!$B$2:$B$672,C192,'PO detail'!$G$2:$G$672,"&gt;="&amp;D192,'PO detail'!$G$2:$G$672,"&lt;"&amp;A192)</x:f>
        <x:v>0</x:v>
      </x:c>
      <x:c r="K192" s="8" t="n">
        <x:f>'Current inventory'!E66*Summary!$D$6*(A192-D192)/30.4375</x:f>
        <x:v>0</x:v>
      </x:c>
      <x:c r="L192" s="8" t="n">
        <x:f>MAX(0,E192+H192-K192)</x:f>
        <x:v>0</x:v>
      </x:c>
      <x:c r="M192" s="8" t="n">
        <x:f>MAX(0,F192+I192-MAX(0,K192-E192-H192))</x:f>
        <x:v>0</x:v>
      </x:c>
      <x:c r="N192" s="8" t="n">
        <x:f>MAX(0,G192+J192-K192)</x:f>
        <x:v>0</x:v>
      </x:c>
      <x:c r="O192" s="8" t="n">
        <x:f>SUM(L192:N192)</x:f>
        <x:v>0</x:v>
      </x:c>
      <x:c r="P192" s="14" t="n">
        <x:f>'Current inventory'!V66</x:f>
        <x:v>0.38</x:v>
      </x:c>
      <x:c r="Q192" s="14" t="str">
        <x:f>'Current inventory'!W66</x:f>
        <x:v>n.a.</x:v>
      </x:c>
      <x:c r="R192" s="10" t="n">
        <x:f>L192*P192</x:f>
        <x:v>0</x:v>
      </x:c>
      <x:c r="S192" s="10" t="n">
        <x:f>M192*P192</x:f>
        <x:v>0</x:v>
      </x:c>
      <x:c r="T192" s="10" t="n">
        <x:f>N192*P192</x:f>
        <x:v>0</x:v>
      </x:c>
      <x:c r="U192" s="10" t="n">
        <x:f>O192*P192</x:f>
        <x:v>0</x:v>
      </x:c>
      <x:c r="V192" s="10" t="str">
        <x:f>IF(ISNUMBER(Q192),O192*(Q192-P192),"n.a.")</x:f>
        <x:v>n.a.</x:v>
      </x:c>
      <x:c r="W192" s="10" t="n">
        <x:f>IF(ISNUMBER(Q192),U192,0)</x:f>
        <x:v>0</x:v>
      </x:c>
      <x:c r="X192" s="8" t="n">
        <x:f>MAX(0,K192-SUM(E192:J192))</x:f>
        <x:v>0</x:v>
      </x:c>
      <x:c r="Y192" s="1" t="str">
        <x:f>IF(AND(O192&gt;0,NOT(ISNUMBER(Q192))),"No proposed replacement standard",IF(X192&gt;0,"Demand exceeds available stock",""))</x:f>
      </x:c>
      <x:c r="Z192" s="1" t="n">
        <x:f>IF(ISNUMBER(Q192),1,0)</x:f>
        <x:v>0</x:v>
      </x:c>
    </x:row>
    <x:row r="193" ht="21" customHeight="1">
      <x:c r="A193" s="17" t="n">
        <x:f>Summary!B16</x:f>
        <x:v>46357</x:v>
      </x:c>
      <x:c r="B193" s="1" t="str">
        <x:f>'Current inventory'!A67</x:f>
        <x:v>10</x:v>
      </x:c>
      <x:c r="C193" s="1" t="str">
        <x:f>'Current inventory'!B67</x:f>
        <x:v>800BWHTISC</x:v>
      </x:c>
      <x:c r="D193" s="7" t="n">
        <x:f>A67</x:f>
        <x:v>46327</x:v>
      </x:c>
      <x:c r="E193" s="8" t="n">
        <x:f>L67</x:f>
        <x:v>0</x:v>
      </x:c>
      <x:c r="F193" s="8" t="n">
        <x:f>M67</x:f>
        <x:v>0</x:v>
      </x:c>
      <x:c r="G193" s="8" t="n">
        <x:f>N67</x:f>
        <x:v>0</x:v>
      </x:c>
      <x:c r="H193" s="8" t="n">
        <x:f>SUMIFS('PO detail'!$U$2:$U$672,'PO detail'!$A$2:$A$672,B193,'PO detail'!$B$2:$B$672,C193,'PO detail'!$G$2:$G$672,"&gt;="&amp;D193,'PO detail'!$G$2:$G$672,"&lt;"&amp;A193)</x:f>
        <x:v>0</x:v>
      </x:c>
      <x:c r="I193" s="8" t="n">
        <x:f>SUMIFS('PO detail'!$V$2:$V$672,'PO detail'!$A$2:$A$672,B193,'PO detail'!$B$2:$B$672,C193,'PO detail'!$G$2:$G$672,"&gt;="&amp;D193,'PO detail'!$G$2:$G$672,"&lt;"&amp;A193)</x:f>
        <x:v>0</x:v>
      </x:c>
      <x:c r="J193" s="8" t="n">
        <x:f>SUMIFS('PO detail'!$W$2:$W$672,'PO detail'!$A$2:$A$672,B193,'PO detail'!$B$2:$B$672,C193,'PO detail'!$G$2:$G$672,"&gt;="&amp;D193,'PO detail'!$G$2:$G$672,"&lt;"&amp;A193)</x:f>
        <x:v>0</x:v>
      </x:c>
      <x:c r="K193" s="8" t="n">
        <x:f>'Current inventory'!E67*Summary!$D$6*(A193-D193)/30.4375</x:f>
        <x:v>0</x:v>
      </x:c>
      <x:c r="L193" s="8" t="n">
        <x:f>MAX(0,E193+H193-K193)</x:f>
        <x:v>0</x:v>
      </x:c>
      <x:c r="M193" s="8" t="n">
        <x:f>MAX(0,F193+I193-MAX(0,K193-E193-H193))</x:f>
        <x:v>0</x:v>
      </x:c>
      <x:c r="N193" s="8" t="n">
        <x:f>MAX(0,G193+J193-K193)</x:f>
        <x:v>0</x:v>
      </x:c>
      <x:c r="O193" s="8" t="n">
        <x:f>SUM(L193:N193)</x:f>
        <x:v>0</x:v>
      </x:c>
      <x:c r="P193" s="14" t="n">
        <x:f>'Current inventory'!V67</x:f>
        <x:v>0.1797</x:v>
      </x:c>
      <x:c r="Q193" s="14" t="str">
        <x:f>'Current inventory'!W67</x:f>
        <x:v>n.a.</x:v>
      </x:c>
      <x:c r="R193" s="10" t="n">
        <x:f>L193*P193</x:f>
        <x:v>0</x:v>
      </x:c>
      <x:c r="S193" s="10" t="n">
        <x:f>M193*P193</x:f>
        <x:v>0</x:v>
      </x:c>
      <x:c r="T193" s="10" t="n">
        <x:f>N193*P193</x:f>
        <x:v>0</x:v>
      </x:c>
      <x:c r="U193" s="10" t="n">
        <x:f>O193*P193</x:f>
        <x:v>0</x:v>
      </x:c>
      <x:c r="V193" s="10" t="str">
        <x:f>IF(ISNUMBER(Q193),O193*(Q193-P193),"n.a.")</x:f>
        <x:v>n.a.</x:v>
      </x:c>
      <x:c r="W193" s="10" t="n">
        <x:f>IF(ISNUMBER(Q193),U193,0)</x:f>
        <x:v>0</x:v>
      </x:c>
      <x:c r="X193" s="8" t="n">
        <x:f>MAX(0,K193-SUM(E193:J193))</x:f>
        <x:v>0</x:v>
      </x:c>
      <x:c r="Y193" s="1" t="str">
        <x:f>IF(AND(O193&gt;0,NOT(ISNUMBER(Q193))),"No proposed replacement standard",IF(X193&gt;0,"Demand exceeds available stock",""))</x:f>
      </x:c>
      <x:c r="Z193" s="1" t="n">
        <x:f>IF(ISNUMBER(Q193),1,0)</x:f>
        <x:v>0</x:v>
      </x:c>
    </x:row>
    <x:row r="194" ht="21" customHeight="1">
      <x:c r="A194" s="17" t="n">
        <x:f>Summary!B16</x:f>
        <x:v>46357</x:v>
      </x:c>
      <x:c r="B194" s="1" t="str">
        <x:f>'Current inventory'!A68</x:f>
        <x:v>10</x:v>
      </x:c>
      <x:c r="C194" s="1" t="str">
        <x:f>'Current inventory'!B68</x:f>
        <x:v>800FGE</x:v>
      </x:c>
      <x:c r="D194" s="7" t="n">
        <x:f>A68</x:f>
        <x:v>46327</x:v>
      </x:c>
      <x:c r="E194" s="8" t="n">
        <x:f>L68</x:f>
        <x:v>0</x:v>
      </x:c>
      <x:c r="F194" s="8" t="n">
        <x:f>M68</x:f>
        <x:v>0</x:v>
      </x:c>
      <x:c r="G194" s="8" t="n">
        <x:f>N68</x:f>
        <x:v>0</x:v>
      </x:c>
      <x:c r="H194" s="8" t="n">
        <x:f>SUMIFS('PO detail'!$U$2:$U$672,'PO detail'!$A$2:$A$672,B194,'PO detail'!$B$2:$B$672,C194,'PO detail'!$G$2:$G$672,"&gt;="&amp;D194,'PO detail'!$G$2:$G$672,"&lt;"&amp;A194)</x:f>
        <x:v>0</x:v>
      </x:c>
      <x:c r="I194" s="8" t="n">
        <x:f>SUMIFS('PO detail'!$V$2:$V$672,'PO detail'!$A$2:$A$672,B194,'PO detail'!$B$2:$B$672,C194,'PO detail'!$G$2:$G$672,"&gt;="&amp;D194,'PO detail'!$G$2:$G$672,"&lt;"&amp;A194)</x:f>
        <x:v>0</x:v>
      </x:c>
      <x:c r="J194" s="8" t="n">
        <x:f>SUMIFS('PO detail'!$W$2:$W$672,'PO detail'!$A$2:$A$672,B194,'PO detail'!$B$2:$B$672,C194,'PO detail'!$G$2:$G$672,"&gt;="&amp;D194,'PO detail'!$G$2:$G$672,"&lt;"&amp;A194)</x:f>
        <x:v>0</x:v>
      </x:c>
      <x:c r="K194" s="8" t="n">
        <x:f>'Current inventory'!E68*Summary!$D$6*(A194-D194)/30.4375</x:f>
        <x:v>0</x:v>
      </x:c>
      <x:c r="L194" s="8" t="n">
        <x:f>MAX(0,E194+H194-K194)</x:f>
        <x:v>0</x:v>
      </x:c>
      <x:c r="M194" s="8" t="n">
        <x:f>MAX(0,F194+I194-MAX(0,K194-E194-H194))</x:f>
        <x:v>0</x:v>
      </x:c>
      <x:c r="N194" s="8" t="n">
        <x:f>MAX(0,G194+J194-K194)</x:f>
        <x:v>0</x:v>
      </x:c>
      <x:c r="O194" s="8" t="n">
        <x:f>SUM(L194:N194)</x:f>
        <x:v>0</x:v>
      </x:c>
      <x:c r="P194" s="14" t="n">
        <x:f>'Current inventory'!V68</x:f>
        <x:v>10.78</x:v>
      </x:c>
      <x:c r="Q194" s="14" t="str">
        <x:f>'Current inventory'!W68</x:f>
        <x:v>n.a.</x:v>
      </x:c>
      <x:c r="R194" s="10" t="n">
        <x:f>L194*P194</x:f>
        <x:v>0</x:v>
      </x:c>
      <x:c r="S194" s="10" t="n">
        <x:f>M194*P194</x:f>
        <x:v>0</x:v>
      </x:c>
      <x:c r="T194" s="10" t="n">
        <x:f>N194*P194</x:f>
        <x:v>0</x:v>
      </x:c>
      <x:c r="U194" s="10" t="n">
        <x:f>O194*P194</x:f>
        <x:v>0</x:v>
      </x:c>
      <x:c r="V194" s="10" t="str">
        <x:f>IF(ISNUMBER(Q194),O194*(Q194-P194),"n.a.")</x:f>
        <x:v>n.a.</x:v>
      </x:c>
      <x:c r="W194" s="10" t="n">
        <x:f>IF(ISNUMBER(Q194),U194,0)</x:f>
        <x:v>0</x:v>
      </x:c>
      <x:c r="X194" s="8" t="n">
        <x:f>MAX(0,K194-SUM(E194:J194))</x:f>
        <x:v>0</x:v>
      </x:c>
      <x:c r="Y194" s="1" t="str">
        <x:f>IF(AND(O194&gt;0,NOT(ISNUMBER(Q194))),"No proposed replacement standard",IF(X194&gt;0,"Demand exceeds available stock",""))</x:f>
      </x:c>
      <x:c r="Z194" s="1" t="n">
        <x:f>IF(ISNUMBER(Q194),1,0)</x:f>
        <x:v>0</x:v>
      </x:c>
    </x:row>
    <x:row r="195" ht="21" customHeight="1">
      <x:c r="A195" s="17" t="n">
        <x:f>Summary!B16</x:f>
        <x:v>46357</x:v>
      </x:c>
      <x:c r="B195" s="1" t="str">
        <x:f>'Current inventory'!A69</x:f>
        <x:v>10</x:v>
      </x:c>
      <x:c r="C195" s="1" t="str">
        <x:f>'Current inventory'!B69</x:f>
        <x:v>800NAVF</x:v>
      </x:c>
      <x:c r="D195" s="7" t="n">
        <x:f>A69</x:f>
        <x:v>46327</x:v>
      </x:c>
      <x:c r="E195" s="8" t="n">
        <x:f>L69</x:f>
        <x:v>0</x:v>
      </x:c>
      <x:c r="F195" s="8" t="n">
        <x:f>M69</x:f>
        <x:v>0</x:v>
      </x:c>
      <x:c r="G195" s="8" t="n">
        <x:f>N69</x:f>
        <x:v>0</x:v>
      </x:c>
      <x:c r="H195" s="8" t="n">
        <x:f>SUMIFS('PO detail'!$U$2:$U$672,'PO detail'!$A$2:$A$672,B195,'PO detail'!$B$2:$B$672,C195,'PO detail'!$G$2:$G$672,"&gt;="&amp;D195,'PO detail'!$G$2:$G$672,"&lt;"&amp;A195)</x:f>
        <x:v>0</x:v>
      </x:c>
      <x:c r="I195" s="8" t="n">
        <x:f>SUMIFS('PO detail'!$V$2:$V$672,'PO detail'!$A$2:$A$672,B195,'PO detail'!$B$2:$B$672,C195,'PO detail'!$G$2:$G$672,"&gt;="&amp;D195,'PO detail'!$G$2:$G$672,"&lt;"&amp;A195)</x:f>
        <x:v>0</x:v>
      </x:c>
      <x:c r="J195" s="8" t="n">
        <x:f>SUMIFS('PO detail'!$W$2:$W$672,'PO detail'!$A$2:$A$672,B195,'PO detail'!$B$2:$B$672,C195,'PO detail'!$G$2:$G$672,"&gt;="&amp;D195,'PO detail'!$G$2:$G$672,"&lt;"&amp;A195)</x:f>
        <x:v>0</x:v>
      </x:c>
      <x:c r="K195" s="8" t="n">
        <x:f>'Current inventory'!E69*Summary!$D$6*(A195-D195)/30.4375</x:f>
        <x:v>0</x:v>
      </x:c>
      <x:c r="L195" s="8" t="n">
        <x:f>MAX(0,E195+H195-K195)</x:f>
        <x:v>0</x:v>
      </x:c>
      <x:c r="M195" s="8" t="n">
        <x:f>MAX(0,F195+I195-MAX(0,K195-E195-H195))</x:f>
        <x:v>0</x:v>
      </x:c>
      <x:c r="N195" s="8" t="n">
        <x:f>MAX(0,G195+J195-K195)</x:f>
        <x:v>0</x:v>
      </x:c>
      <x:c r="O195" s="8" t="n">
        <x:f>SUM(L195:N195)</x:f>
        <x:v>0</x:v>
      </x:c>
      <x:c r="P195" s="14" t="n">
        <x:f>'Current inventory'!V69</x:f>
        <x:v>7.03</x:v>
      </x:c>
      <x:c r="Q195" s="14" t="str">
        <x:f>'Current inventory'!W69</x:f>
        <x:v>n.a.</x:v>
      </x:c>
      <x:c r="R195" s="10" t="n">
        <x:f>L195*P195</x:f>
        <x:v>0</x:v>
      </x:c>
      <x:c r="S195" s="10" t="n">
        <x:f>M195*P195</x:f>
        <x:v>0</x:v>
      </x:c>
      <x:c r="T195" s="10" t="n">
        <x:f>N195*P195</x:f>
        <x:v>0</x:v>
      </x:c>
      <x:c r="U195" s="10" t="n">
        <x:f>O195*P195</x:f>
        <x:v>0</x:v>
      </x:c>
      <x:c r="V195" s="10" t="str">
        <x:f>IF(ISNUMBER(Q195),O195*(Q195-P195),"n.a.")</x:f>
        <x:v>n.a.</x:v>
      </x:c>
      <x:c r="W195" s="10" t="n">
        <x:f>IF(ISNUMBER(Q195),U195,0)</x:f>
        <x:v>0</x:v>
      </x:c>
      <x:c r="X195" s="8" t="n">
        <x:f>MAX(0,K195-SUM(E195:J195))</x:f>
        <x:v>0</x:v>
      </x:c>
      <x:c r="Y195" s="1" t="str">
        <x:f>IF(AND(O195&gt;0,NOT(ISNUMBER(Q195))),"No proposed replacement standard",IF(X195&gt;0,"Demand exceeds available stock",""))</x:f>
      </x:c>
      <x:c r="Z195" s="1" t="n">
        <x:f>IF(ISNUMBER(Q195),1,0)</x:f>
        <x:v>0</x:v>
      </x:c>
    </x:row>
    <x:row r="196" ht="21" customHeight="1">
      <x:c r="A196" s="17" t="n">
        <x:f>Summary!B16</x:f>
        <x:v>46357</x:v>
      </x:c>
      <x:c r="B196" s="1" t="str">
        <x:f>'Current inventory'!A70</x:f>
        <x:v>10</x:v>
      </x:c>
      <x:c r="C196" s="1" t="str">
        <x:f>'Current inventory'!B70</x:f>
        <x:v>800WHTE</x:v>
      </x:c>
      <x:c r="D196" s="7" t="n">
        <x:f>A70</x:f>
        <x:v>46327</x:v>
      </x:c>
      <x:c r="E196" s="8" t="n">
        <x:f>L70</x:f>
        <x:v>0</x:v>
      </x:c>
      <x:c r="F196" s="8" t="n">
        <x:f>M70</x:f>
        <x:v>0</x:v>
      </x:c>
      <x:c r="G196" s="8" t="n">
        <x:f>N70</x:f>
        <x:v>0</x:v>
      </x:c>
      <x:c r="H196" s="8" t="n">
        <x:f>SUMIFS('PO detail'!$U$2:$U$672,'PO detail'!$A$2:$A$672,B196,'PO detail'!$B$2:$B$672,C196,'PO detail'!$G$2:$G$672,"&gt;="&amp;D196,'PO detail'!$G$2:$G$672,"&lt;"&amp;A196)</x:f>
        <x:v>0</x:v>
      </x:c>
      <x:c r="I196" s="8" t="n">
        <x:f>SUMIFS('PO detail'!$V$2:$V$672,'PO detail'!$A$2:$A$672,B196,'PO detail'!$B$2:$B$672,C196,'PO detail'!$G$2:$G$672,"&gt;="&amp;D196,'PO detail'!$G$2:$G$672,"&lt;"&amp;A196)</x:f>
        <x:v>0</x:v>
      </x:c>
      <x:c r="J196" s="8" t="n">
        <x:f>SUMIFS('PO detail'!$W$2:$W$672,'PO detail'!$A$2:$A$672,B196,'PO detail'!$B$2:$B$672,C196,'PO detail'!$G$2:$G$672,"&gt;="&amp;D196,'PO detail'!$G$2:$G$672,"&lt;"&amp;A196)</x:f>
        <x:v>0</x:v>
      </x:c>
      <x:c r="K196" s="8" t="n">
        <x:f>'Current inventory'!E70*Summary!$D$6*(A196-D196)/30.4375</x:f>
        <x:v>0</x:v>
      </x:c>
      <x:c r="L196" s="8" t="n">
        <x:f>MAX(0,E196+H196-K196)</x:f>
        <x:v>0</x:v>
      </x:c>
      <x:c r="M196" s="8" t="n">
        <x:f>MAX(0,F196+I196-MAX(0,K196-E196-H196))</x:f>
        <x:v>0</x:v>
      </x:c>
      <x:c r="N196" s="8" t="n">
        <x:f>MAX(0,G196+J196-K196)</x:f>
        <x:v>0</x:v>
      </x:c>
      <x:c r="O196" s="8" t="n">
        <x:f>SUM(L196:N196)</x:f>
        <x:v>0</x:v>
      </x:c>
      <x:c r="P196" s="14" t="n">
        <x:f>'Current inventory'!V70</x:f>
        <x:v>11.44</x:v>
      </x:c>
      <x:c r="Q196" s="14" t="str">
        <x:f>'Current inventory'!W70</x:f>
        <x:v>n.a.</x:v>
      </x:c>
      <x:c r="R196" s="10" t="n">
        <x:f>L196*P196</x:f>
        <x:v>0</x:v>
      </x:c>
      <x:c r="S196" s="10" t="n">
        <x:f>M196*P196</x:f>
        <x:v>0</x:v>
      </x:c>
      <x:c r="T196" s="10" t="n">
        <x:f>N196*P196</x:f>
        <x:v>0</x:v>
      </x:c>
      <x:c r="U196" s="10" t="n">
        <x:f>O196*P196</x:f>
        <x:v>0</x:v>
      </x:c>
      <x:c r="V196" s="10" t="str">
        <x:f>IF(ISNUMBER(Q196),O196*(Q196-P196),"n.a.")</x:f>
        <x:v>n.a.</x:v>
      </x:c>
      <x:c r="W196" s="10" t="n">
        <x:f>IF(ISNUMBER(Q196),U196,0)</x:f>
        <x:v>0</x:v>
      </x:c>
      <x:c r="X196" s="8" t="n">
        <x:f>MAX(0,K196-SUM(E196:J196))</x:f>
        <x:v>0</x:v>
      </x:c>
      <x:c r="Y196" s="1" t="str">
        <x:f>IF(AND(O196&gt;0,NOT(ISNUMBER(Q196))),"No proposed replacement standard",IF(X196&gt;0,"Demand exceeds available stock",""))</x:f>
      </x:c>
      <x:c r="Z196" s="1" t="n">
        <x:f>IF(ISNUMBER(Q196),1,0)</x:f>
        <x:v>0</x:v>
      </x:c>
    </x:row>
    <x:row r="197" ht="21" customHeight="1">
      <x:c r="A197" s="17" t="n">
        <x:f>Summary!B16</x:f>
        <x:v>46357</x:v>
      </x:c>
      <x:c r="B197" s="1" t="str">
        <x:f>'Current inventory'!A71</x:f>
        <x:v>10</x:v>
      </x:c>
      <x:c r="C197" s="1" t="str">
        <x:f>'Current inventory'!B71</x:f>
        <x:v>880BLKE</x:v>
      </x:c>
      <x:c r="D197" s="7" t="n">
        <x:f>A71</x:f>
        <x:v>46327</x:v>
      </x:c>
      <x:c r="E197" s="8" t="n">
        <x:f>L71</x:f>
        <x:v>0</x:v>
      </x:c>
      <x:c r="F197" s="8" t="n">
        <x:f>M71</x:f>
        <x:v>0</x:v>
      </x:c>
      <x:c r="G197" s="8" t="n">
        <x:f>N71</x:f>
        <x:v>0</x:v>
      </x:c>
      <x:c r="H197" s="8" t="n">
        <x:f>SUMIFS('PO detail'!$U$2:$U$672,'PO detail'!$A$2:$A$672,B197,'PO detail'!$B$2:$B$672,C197,'PO detail'!$G$2:$G$672,"&gt;="&amp;D197,'PO detail'!$G$2:$G$672,"&lt;"&amp;A197)</x:f>
        <x:v>0</x:v>
      </x:c>
      <x:c r="I197" s="8" t="n">
        <x:f>SUMIFS('PO detail'!$V$2:$V$672,'PO detail'!$A$2:$A$672,B197,'PO detail'!$B$2:$B$672,C197,'PO detail'!$G$2:$G$672,"&gt;="&amp;D197,'PO detail'!$G$2:$G$672,"&lt;"&amp;A197)</x:f>
        <x:v>0</x:v>
      </x:c>
      <x:c r="J197" s="8" t="n">
        <x:f>SUMIFS('PO detail'!$W$2:$W$672,'PO detail'!$A$2:$A$672,B197,'PO detail'!$B$2:$B$672,C197,'PO detail'!$G$2:$G$672,"&gt;="&amp;D197,'PO detail'!$G$2:$G$672,"&lt;"&amp;A197)</x:f>
        <x:v>0</x:v>
      </x:c>
      <x:c r="K197" s="8" t="n">
        <x:f>'Current inventory'!E71*Summary!$D$6*(A197-D197)/30.4375</x:f>
        <x:v>0</x:v>
      </x:c>
      <x:c r="L197" s="8" t="n">
        <x:f>MAX(0,E197+H197-K197)</x:f>
        <x:v>0</x:v>
      </x:c>
      <x:c r="M197" s="8" t="n">
        <x:f>MAX(0,F197+I197-MAX(0,K197-E197-H197))</x:f>
        <x:v>0</x:v>
      </x:c>
      <x:c r="N197" s="8" t="n">
        <x:f>MAX(0,G197+J197-K197)</x:f>
        <x:v>0</x:v>
      </x:c>
      <x:c r="O197" s="8" t="n">
        <x:f>SUM(L197:N197)</x:f>
        <x:v>0</x:v>
      </x:c>
      <x:c r="P197" s="14" t="n">
        <x:f>'Current inventory'!V71</x:f>
        <x:v>21.34</x:v>
      </x:c>
      <x:c r="Q197" s="14" t="str">
        <x:f>'Current inventory'!W71</x:f>
        <x:v>n.a.</x:v>
      </x:c>
      <x:c r="R197" s="10" t="n">
        <x:f>L197*P197</x:f>
        <x:v>0</x:v>
      </x:c>
      <x:c r="S197" s="10" t="n">
        <x:f>M197*P197</x:f>
        <x:v>0</x:v>
      </x:c>
      <x:c r="T197" s="10" t="n">
        <x:f>N197*P197</x:f>
        <x:v>0</x:v>
      </x:c>
      <x:c r="U197" s="10" t="n">
        <x:f>O197*P197</x:f>
        <x:v>0</x:v>
      </x:c>
      <x:c r="V197" s="10" t="str">
        <x:f>IF(ISNUMBER(Q197),O197*(Q197-P197),"n.a.")</x:f>
        <x:v>n.a.</x:v>
      </x:c>
      <x:c r="W197" s="10" t="n">
        <x:f>IF(ISNUMBER(Q197),U197,0)</x:f>
        <x:v>0</x:v>
      </x:c>
      <x:c r="X197" s="8" t="n">
        <x:f>MAX(0,K197-SUM(E197:J197))</x:f>
        <x:v>0</x:v>
      </x:c>
      <x:c r="Y197" s="1" t="str">
        <x:f>IF(AND(O197&gt;0,NOT(ISNUMBER(Q197))),"No proposed replacement standard",IF(X197&gt;0,"Demand exceeds available stock",""))</x:f>
      </x:c>
      <x:c r="Z197" s="1" t="n">
        <x:f>IF(ISNUMBER(Q197),1,0)</x:f>
        <x:v>0</x:v>
      </x:c>
    </x:row>
    <x:row r="198" ht="21" customHeight="1">
      <x:c r="A198" s="17" t="n">
        <x:f>Summary!B16</x:f>
        <x:v>46357</x:v>
      </x:c>
      <x:c r="B198" s="1" t="str">
        <x:f>'Current inventory'!A72</x:f>
        <x:v>10</x:v>
      </x:c>
      <x:c r="C198" s="1" t="str">
        <x:f>'Current inventory'!B72</x:f>
        <x:v>880NAVE</x:v>
      </x:c>
      <x:c r="D198" s="7" t="n">
        <x:f>A72</x:f>
        <x:v>46327</x:v>
      </x:c>
      <x:c r="E198" s="8" t="n">
        <x:f>L72</x:f>
        <x:v>0</x:v>
      </x:c>
      <x:c r="F198" s="8" t="n">
        <x:f>M72</x:f>
        <x:v>0</x:v>
      </x:c>
      <x:c r="G198" s="8" t="n">
        <x:f>N72</x:f>
        <x:v>0</x:v>
      </x:c>
      <x:c r="H198" s="8" t="n">
        <x:f>SUMIFS('PO detail'!$U$2:$U$672,'PO detail'!$A$2:$A$672,B198,'PO detail'!$B$2:$B$672,C198,'PO detail'!$G$2:$G$672,"&gt;="&amp;D198,'PO detail'!$G$2:$G$672,"&lt;"&amp;A198)</x:f>
        <x:v>0</x:v>
      </x:c>
      <x:c r="I198" s="8" t="n">
        <x:f>SUMIFS('PO detail'!$V$2:$V$672,'PO detail'!$A$2:$A$672,B198,'PO detail'!$B$2:$B$672,C198,'PO detail'!$G$2:$G$672,"&gt;="&amp;D198,'PO detail'!$G$2:$G$672,"&lt;"&amp;A198)</x:f>
        <x:v>0</x:v>
      </x:c>
      <x:c r="J198" s="8" t="n">
        <x:f>SUMIFS('PO detail'!$W$2:$W$672,'PO detail'!$A$2:$A$672,B198,'PO detail'!$B$2:$B$672,C198,'PO detail'!$G$2:$G$672,"&gt;="&amp;D198,'PO detail'!$G$2:$G$672,"&lt;"&amp;A198)</x:f>
        <x:v>0</x:v>
      </x:c>
      <x:c r="K198" s="8" t="n">
        <x:f>'Current inventory'!E72*Summary!$D$6*(A198-D198)/30.4375</x:f>
        <x:v>0</x:v>
      </x:c>
      <x:c r="L198" s="8" t="n">
        <x:f>MAX(0,E198+H198-K198)</x:f>
        <x:v>0</x:v>
      </x:c>
      <x:c r="M198" s="8" t="n">
        <x:f>MAX(0,F198+I198-MAX(0,K198-E198-H198))</x:f>
        <x:v>0</x:v>
      </x:c>
      <x:c r="N198" s="8" t="n">
        <x:f>MAX(0,G198+J198-K198)</x:f>
        <x:v>0</x:v>
      </x:c>
      <x:c r="O198" s="8" t="n">
        <x:f>SUM(L198:N198)</x:f>
        <x:v>0</x:v>
      </x:c>
      <x:c r="P198" s="14" t="n">
        <x:f>'Current inventory'!V72</x:f>
        <x:v>21.34</x:v>
      </x:c>
      <x:c r="Q198" s="14" t="str">
        <x:f>'Current inventory'!W72</x:f>
        <x:v>n.a.</x:v>
      </x:c>
      <x:c r="R198" s="10" t="n">
        <x:f>L198*P198</x:f>
        <x:v>0</x:v>
      </x:c>
      <x:c r="S198" s="10" t="n">
        <x:f>M198*P198</x:f>
        <x:v>0</x:v>
      </x:c>
      <x:c r="T198" s="10" t="n">
        <x:f>N198*P198</x:f>
        <x:v>0</x:v>
      </x:c>
      <x:c r="U198" s="10" t="n">
        <x:f>O198*P198</x:f>
        <x:v>0</x:v>
      </x:c>
      <x:c r="V198" s="10" t="str">
        <x:f>IF(ISNUMBER(Q198),O198*(Q198-P198),"n.a.")</x:f>
        <x:v>n.a.</x:v>
      </x:c>
      <x:c r="W198" s="10" t="n">
        <x:f>IF(ISNUMBER(Q198),U198,0)</x:f>
        <x:v>0</x:v>
      </x:c>
      <x:c r="X198" s="8" t="n">
        <x:f>MAX(0,K198-SUM(E198:J198))</x:f>
        <x:v>0</x:v>
      </x:c>
      <x:c r="Y198" s="1" t="str">
        <x:f>IF(AND(O198&gt;0,NOT(ISNUMBER(Q198))),"No proposed replacement standard",IF(X198&gt;0,"Demand exceeds available stock",""))</x:f>
      </x:c>
      <x:c r="Z198" s="1" t="n">
        <x:f>IF(ISNUMBER(Q198),1,0)</x:f>
        <x:v>0</x:v>
      </x:c>
    </x:row>
    <x:row r="199" ht="21" customHeight="1">
      <x:c r="A199" s="17" t="n">
        <x:f>Summary!B16</x:f>
        <x:v>46357</x:v>
      </x:c>
      <x:c r="B199" s="1" t="str">
        <x:f>'Current inventory'!A73</x:f>
        <x:v>10</x:v>
      </x:c>
      <x:c r="C199" s="1" t="str">
        <x:f>'Current inventory'!B73</x:f>
        <x:v>800BLKTB</x:v>
      </x:c>
      <x:c r="D199" s="7" t="n">
        <x:f>A73</x:f>
        <x:v>46327</x:v>
      </x:c>
      <x:c r="E199" s="8" t="n">
        <x:f>L73</x:f>
        <x:v>0</x:v>
      </x:c>
      <x:c r="F199" s="8" t="n">
        <x:f>M73</x:f>
        <x:v>0</x:v>
      </x:c>
      <x:c r="G199" s="8" t="n">
        <x:f>N73</x:f>
        <x:v>1050</x:v>
      </x:c>
      <x:c r="H199" s="8" t="n">
        <x:f>SUMIFS('PO detail'!$U$2:$U$672,'PO detail'!$A$2:$A$672,B199,'PO detail'!$B$2:$B$672,C199,'PO detail'!$G$2:$G$672,"&gt;="&amp;D199,'PO detail'!$G$2:$G$672,"&lt;"&amp;A199)</x:f>
        <x:v>0</x:v>
      </x:c>
      <x:c r="I199" s="8" t="n">
        <x:f>SUMIFS('PO detail'!$V$2:$V$672,'PO detail'!$A$2:$A$672,B199,'PO detail'!$B$2:$B$672,C199,'PO detail'!$G$2:$G$672,"&gt;="&amp;D199,'PO detail'!$G$2:$G$672,"&lt;"&amp;A199)</x:f>
        <x:v>0</x:v>
      </x:c>
      <x:c r="J199" s="8" t="n">
        <x:f>SUMIFS('PO detail'!$W$2:$W$672,'PO detail'!$A$2:$A$672,B199,'PO detail'!$B$2:$B$672,C199,'PO detail'!$G$2:$G$672,"&gt;="&amp;D199,'PO detail'!$G$2:$G$672,"&lt;"&amp;A199)</x:f>
        <x:v>0</x:v>
      </x:c>
      <x:c r="K199" s="8" t="n">
        <x:f>'Current inventory'!E73*Summary!$D$6*(A199-D199)/30.4375</x:f>
        <x:v>0</x:v>
      </x:c>
      <x:c r="L199" s="8" t="n">
        <x:f>MAX(0,E199+H199-K199)</x:f>
        <x:v>0</x:v>
      </x:c>
      <x:c r="M199" s="8" t="n">
        <x:f>MAX(0,F199+I199-MAX(0,K199-E199-H199))</x:f>
        <x:v>0</x:v>
      </x:c>
      <x:c r="N199" s="8" t="n">
        <x:f>MAX(0,G199+J199-K199)</x:f>
        <x:v>1050</x:v>
      </x:c>
      <x:c r="O199" s="8" t="n">
        <x:f>SUM(L199:N199)</x:f>
        <x:v>1050</x:v>
      </x:c>
      <x:c r="P199" s="14" t="n">
        <x:f>'Current inventory'!V73</x:f>
        <x:v>0.532</x:v>
      </x:c>
      <x:c r="Q199" s="14" t="str">
        <x:f>'Current inventory'!W73</x:f>
        <x:v>n.a.</x:v>
      </x:c>
      <x:c r="R199" s="10" t="n">
        <x:f>L199*P199</x:f>
        <x:v>0</x:v>
      </x:c>
      <x:c r="S199" s="10" t="n">
        <x:f>M199*P199</x:f>
        <x:v>0</x:v>
      </x:c>
      <x:c r="T199" s="10" t="n">
        <x:f>N199*P199</x:f>
        <x:v>558.6</x:v>
      </x:c>
      <x:c r="U199" s="10" t="n">
        <x:f>O199*P199</x:f>
        <x:v>558.6</x:v>
      </x:c>
      <x:c r="V199" s="10" t="str">
        <x:f>IF(ISNUMBER(Q199),O199*(Q199-P199),"n.a.")</x:f>
        <x:v>n.a.</x:v>
      </x:c>
      <x:c r="W199" s="10" t="n">
        <x:f>IF(ISNUMBER(Q199),U199,0)</x:f>
        <x:v>0</x:v>
      </x:c>
      <x:c r="X199" s="8" t="n">
        <x:f>MAX(0,K199-SUM(E199:J199))</x:f>
        <x:v>0</x:v>
      </x:c>
      <x:c r="Y199" s="1" t="str">
        <x:f>IF(AND(O199&gt;0,NOT(ISNUMBER(Q199))),"No proposed replacement standard",IF(X199&gt;0,"Demand exceeds available stock",""))</x:f>
        <x:v>No proposed replacement standard</x:v>
      </x:c>
      <x:c r="Z199" s="1" t="n">
        <x:f>IF(ISNUMBER(Q199),1,0)</x:f>
        <x:v>0</x:v>
      </x:c>
    </x:row>
    <x:row r="200" ht="21" customHeight="1">
      <x:c r="A200" s="17" t="n">
        <x:f>Summary!B16</x:f>
        <x:v>46357</x:v>
      </x:c>
      <x:c r="B200" s="1" t="str">
        <x:f>'Current inventory'!A74</x:f>
        <x:v>10</x:v>
      </x:c>
      <x:c r="C200" s="1" t="str">
        <x:f>'Current inventory'!B74</x:f>
        <x:v>800BREDASC</x:v>
      </x:c>
      <x:c r="D200" s="7" t="n">
        <x:f>A74</x:f>
        <x:v>46327</x:v>
      </x:c>
      <x:c r="E200" s="8" t="n">
        <x:f>L74</x:f>
        <x:v>0</x:v>
      </x:c>
      <x:c r="F200" s="8" t="n">
        <x:f>M74</x:f>
        <x:v>0</x:v>
      </x:c>
      <x:c r="G200" s="8" t="n">
        <x:f>N74</x:f>
        <x:v>0</x:v>
      </x:c>
      <x:c r="H200" s="8" t="n">
        <x:f>SUMIFS('PO detail'!$U$2:$U$672,'PO detail'!$A$2:$A$672,B200,'PO detail'!$B$2:$B$672,C200,'PO detail'!$G$2:$G$672,"&gt;="&amp;D200,'PO detail'!$G$2:$G$672,"&lt;"&amp;A200)</x:f>
        <x:v>0</x:v>
      </x:c>
      <x:c r="I200" s="8" t="n">
        <x:f>SUMIFS('PO detail'!$V$2:$V$672,'PO detail'!$A$2:$A$672,B200,'PO detail'!$B$2:$B$672,C200,'PO detail'!$G$2:$G$672,"&gt;="&amp;D200,'PO detail'!$G$2:$G$672,"&lt;"&amp;A200)</x:f>
        <x:v>0</x:v>
      </x:c>
      <x:c r="J200" s="8" t="n">
        <x:f>SUMIFS('PO detail'!$W$2:$W$672,'PO detail'!$A$2:$A$672,B200,'PO detail'!$B$2:$B$672,C200,'PO detail'!$G$2:$G$672,"&gt;="&amp;D200,'PO detail'!$G$2:$G$672,"&lt;"&amp;A200)</x:f>
        <x:v>0</x:v>
      </x:c>
      <x:c r="K200" s="8" t="n">
        <x:f>'Current inventory'!E74*Summary!$D$6*(A200-D200)/30.4375</x:f>
        <x:v>0</x:v>
      </x:c>
      <x:c r="L200" s="8" t="n">
        <x:f>MAX(0,E200+H200-K200)</x:f>
        <x:v>0</x:v>
      </x:c>
      <x:c r="M200" s="8" t="n">
        <x:f>MAX(0,F200+I200-MAX(0,K200-E200-H200))</x:f>
        <x:v>0</x:v>
      </x:c>
      <x:c r="N200" s="8" t="n">
        <x:f>MAX(0,G200+J200-K200)</x:f>
        <x:v>0</x:v>
      </x:c>
      <x:c r="O200" s="8" t="n">
        <x:f>SUM(L200:N200)</x:f>
        <x:v>0</x:v>
      </x:c>
      <x:c r="P200" s="14" t="n">
        <x:f>'Current inventory'!V74</x:f>
        <x:v>0.07919999999999999</x:v>
      </x:c>
      <x:c r="Q200" s="14" t="str">
        <x:f>'Current inventory'!W74</x:f>
        <x:v>n.a.</x:v>
      </x:c>
      <x:c r="R200" s="10" t="n">
        <x:f>L200*P200</x:f>
        <x:v>0</x:v>
      </x:c>
      <x:c r="S200" s="10" t="n">
        <x:f>M200*P200</x:f>
        <x:v>0</x:v>
      </x:c>
      <x:c r="T200" s="10" t="n">
        <x:f>N200*P200</x:f>
        <x:v>0</x:v>
      </x:c>
      <x:c r="U200" s="10" t="n">
        <x:f>O200*P200</x:f>
        <x:v>0</x:v>
      </x:c>
      <x:c r="V200" s="10" t="str">
        <x:f>IF(ISNUMBER(Q200),O200*(Q200-P200),"n.a.")</x:f>
        <x:v>n.a.</x:v>
      </x:c>
      <x:c r="W200" s="10" t="n">
        <x:f>IF(ISNUMBER(Q200),U200,0)</x:f>
        <x:v>0</x:v>
      </x:c>
      <x:c r="X200" s="8" t="n">
        <x:f>MAX(0,K200-SUM(E200:J200))</x:f>
        <x:v>0</x:v>
      </x:c>
      <x:c r="Y200" s="1" t="str">
        <x:f>IF(AND(O200&gt;0,NOT(ISNUMBER(Q200))),"No proposed replacement standard",IF(X200&gt;0,"Demand exceeds available stock",""))</x:f>
      </x:c>
      <x:c r="Z200" s="1" t="n">
        <x:f>IF(ISNUMBER(Q200),1,0)</x:f>
        <x:v>0</x:v>
      </x:c>
    </x:row>
    <x:row r="201" ht="21" customHeight="1">
      <x:c r="A201" s="17" t="n">
        <x:f>Summary!B16</x:f>
        <x:v>46357</x:v>
      </x:c>
      <x:c r="B201" s="1" t="str">
        <x:f>'Current inventory'!A75</x:f>
        <x:v>10</x:v>
      </x:c>
      <x:c r="C201" s="1" t="str">
        <x:f>'Current inventory'!B75</x:f>
        <x:v>800BREDBRC</x:v>
      </x:c>
      <x:c r="D201" s="7" t="n">
        <x:f>A75</x:f>
        <x:v>46327</x:v>
      </x:c>
      <x:c r="E201" s="8" t="n">
        <x:f>L75</x:f>
        <x:v>0</x:v>
      </x:c>
      <x:c r="F201" s="8" t="n">
        <x:f>M75</x:f>
        <x:v>0</x:v>
      </x:c>
      <x:c r="G201" s="8" t="n">
        <x:f>N75</x:f>
        <x:v>0</x:v>
      </x:c>
      <x:c r="H201" s="8" t="n">
        <x:f>SUMIFS('PO detail'!$U$2:$U$672,'PO detail'!$A$2:$A$672,B201,'PO detail'!$B$2:$B$672,C201,'PO detail'!$G$2:$G$672,"&gt;="&amp;D201,'PO detail'!$G$2:$G$672,"&lt;"&amp;A201)</x:f>
        <x:v>0</x:v>
      </x:c>
      <x:c r="I201" s="8" t="n">
        <x:f>SUMIFS('PO detail'!$V$2:$V$672,'PO detail'!$A$2:$A$672,B201,'PO detail'!$B$2:$B$672,C201,'PO detail'!$G$2:$G$672,"&gt;="&amp;D201,'PO detail'!$G$2:$G$672,"&lt;"&amp;A201)</x:f>
        <x:v>0</x:v>
      </x:c>
      <x:c r="J201" s="8" t="n">
        <x:f>SUMIFS('PO detail'!$W$2:$W$672,'PO detail'!$A$2:$A$672,B201,'PO detail'!$B$2:$B$672,C201,'PO detail'!$G$2:$G$672,"&gt;="&amp;D201,'PO detail'!$G$2:$G$672,"&lt;"&amp;A201)</x:f>
        <x:v>0</x:v>
      </x:c>
      <x:c r="K201" s="8" t="n">
        <x:f>'Current inventory'!E75*Summary!$D$6*(A201-D201)/30.4375</x:f>
        <x:v>0</x:v>
      </x:c>
      <x:c r="L201" s="8" t="n">
        <x:f>MAX(0,E201+H201-K201)</x:f>
        <x:v>0</x:v>
      </x:c>
      <x:c r="M201" s="8" t="n">
        <x:f>MAX(0,F201+I201-MAX(0,K201-E201-H201))</x:f>
        <x:v>0</x:v>
      </x:c>
      <x:c r="N201" s="8" t="n">
        <x:f>MAX(0,G201+J201-K201)</x:f>
        <x:v>0</x:v>
      </x:c>
      <x:c r="O201" s="8" t="n">
        <x:f>SUM(L201:N201)</x:f>
        <x:v>0</x:v>
      </x:c>
      <x:c r="P201" s="14" t="n">
        <x:f>'Current inventory'!V75</x:f>
        <x:v>0.0898</x:v>
      </x:c>
      <x:c r="Q201" s="14" t="str">
        <x:f>'Current inventory'!W75</x:f>
        <x:v>n.a.</x:v>
      </x:c>
      <x:c r="R201" s="10" t="n">
        <x:f>L201*P201</x:f>
        <x:v>0</x:v>
      </x:c>
      <x:c r="S201" s="10" t="n">
        <x:f>M201*P201</x:f>
        <x:v>0</x:v>
      </x:c>
      <x:c r="T201" s="10" t="n">
        <x:f>N201*P201</x:f>
        <x:v>0</x:v>
      </x:c>
      <x:c r="U201" s="10" t="n">
        <x:f>O201*P201</x:f>
        <x:v>0</x:v>
      </x:c>
      <x:c r="V201" s="10" t="str">
        <x:f>IF(ISNUMBER(Q201),O201*(Q201-P201),"n.a.")</x:f>
        <x:v>n.a.</x:v>
      </x:c>
      <x:c r="W201" s="10" t="n">
        <x:f>IF(ISNUMBER(Q201),U201,0)</x:f>
        <x:v>0</x:v>
      </x:c>
      <x:c r="X201" s="8" t="n">
        <x:f>MAX(0,K201-SUM(E201:J201))</x:f>
        <x:v>0</x:v>
      </x:c>
      <x:c r="Y201" s="1" t="str">
        <x:f>IF(AND(O201&gt;0,NOT(ISNUMBER(Q201))),"No proposed replacement standard",IF(X201&gt;0,"Demand exceeds available stock",""))</x:f>
      </x:c>
      <x:c r="Z201" s="1" t="n">
        <x:f>IF(ISNUMBER(Q201),1,0)</x:f>
        <x:v>0</x:v>
      </x:c>
    </x:row>
    <x:row r="202" ht="21" customHeight="1">
      <x:c r="A202" s="17" t="n">
        <x:f>Summary!B16</x:f>
        <x:v>46357</x:v>
      </x:c>
      <x:c r="B202" s="1" t="str">
        <x:f>'Current inventory'!A76</x:f>
        <x:v>10</x:v>
      </x:c>
      <x:c r="C202" s="1" t="str">
        <x:f>'Current inventory'!B76</x:f>
        <x:v>800WBLKBRC</x:v>
      </x:c>
      <x:c r="D202" s="7" t="n">
        <x:f>A76</x:f>
        <x:v>46327</x:v>
      </x:c>
      <x:c r="E202" s="8" t="n">
        <x:f>L76</x:f>
        <x:v>0</x:v>
      </x:c>
      <x:c r="F202" s="8" t="n">
        <x:f>M76</x:f>
        <x:v>0</x:v>
      </x:c>
      <x:c r="G202" s="8" t="n">
        <x:f>N76</x:f>
        <x:v>200</x:v>
      </x:c>
      <x:c r="H202" s="8" t="n">
        <x:f>SUMIFS('PO detail'!$U$2:$U$672,'PO detail'!$A$2:$A$672,B202,'PO detail'!$B$2:$B$672,C202,'PO detail'!$G$2:$G$672,"&gt;="&amp;D202,'PO detail'!$G$2:$G$672,"&lt;"&amp;A202)</x:f>
        <x:v>0</x:v>
      </x:c>
      <x:c r="I202" s="8" t="n">
        <x:f>SUMIFS('PO detail'!$V$2:$V$672,'PO detail'!$A$2:$A$672,B202,'PO detail'!$B$2:$B$672,C202,'PO detail'!$G$2:$G$672,"&gt;="&amp;D202,'PO detail'!$G$2:$G$672,"&lt;"&amp;A202)</x:f>
        <x:v>0</x:v>
      </x:c>
      <x:c r="J202" s="8" t="n">
        <x:f>SUMIFS('PO detail'!$W$2:$W$672,'PO detail'!$A$2:$A$672,B202,'PO detail'!$B$2:$B$672,C202,'PO detail'!$G$2:$G$672,"&gt;="&amp;D202,'PO detail'!$G$2:$G$672,"&lt;"&amp;A202)</x:f>
        <x:v>0</x:v>
      </x:c>
      <x:c r="K202" s="8" t="n">
        <x:f>'Current inventory'!E76*Summary!$D$6*(A202-D202)/30.4375</x:f>
        <x:v>0</x:v>
      </x:c>
      <x:c r="L202" s="8" t="n">
        <x:f>MAX(0,E202+H202-K202)</x:f>
        <x:v>0</x:v>
      </x:c>
      <x:c r="M202" s="8" t="n">
        <x:f>MAX(0,F202+I202-MAX(0,K202-E202-H202))</x:f>
        <x:v>0</x:v>
      </x:c>
      <x:c r="N202" s="8" t="n">
        <x:f>MAX(0,G202+J202-K202)</x:f>
        <x:v>200</x:v>
      </x:c>
      <x:c r="O202" s="8" t="n">
        <x:f>SUM(L202:N202)</x:f>
        <x:v>200</x:v>
      </x:c>
      <x:c r="P202" s="14" t="n">
        <x:f>'Current inventory'!V76</x:f>
        <x:v>0.14150000000000001</x:v>
      </x:c>
      <x:c r="Q202" s="14" t="str">
        <x:f>'Current inventory'!W76</x:f>
        <x:v>n.a.</x:v>
      </x:c>
      <x:c r="R202" s="10" t="n">
        <x:f>L202*P202</x:f>
        <x:v>0</x:v>
      </x:c>
      <x:c r="S202" s="10" t="n">
        <x:f>M202*P202</x:f>
        <x:v>0</x:v>
      </x:c>
      <x:c r="T202" s="10" t="n">
        <x:f>N202*P202</x:f>
        <x:v>28.300000000000004</x:v>
      </x:c>
      <x:c r="U202" s="10" t="n">
        <x:f>O202*P202</x:f>
        <x:v>28.300000000000004</x:v>
      </x:c>
      <x:c r="V202" s="10" t="str">
        <x:f>IF(ISNUMBER(Q202),O202*(Q202-P202),"n.a.")</x:f>
        <x:v>n.a.</x:v>
      </x:c>
      <x:c r="W202" s="10" t="n">
        <x:f>IF(ISNUMBER(Q202),U202,0)</x:f>
        <x:v>0</x:v>
      </x:c>
      <x:c r="X202" s="8" t="n">
        <x:f>MAX(0,K202-SUM(E202:J202))</x:f>
        <x:v>0</x:v>
      </x:c>
      <x:c r="Y202" s="1" t="str">
        <x:f>IF(AND(O202&gt;0,NOT(ISNUMBER(Q202))),"No proposed replacement standard",IF(X202&gt;0,"Demand exceeds available stock",""))</x:f>
        <x:v>No proposed replacement standard</x:v>
      </x:c>
      <x:c r="Z202" s="1" t="n">
        <x:f>IF(ISNUMBER(Q202),1,0)</x:f>
        <x:v>0</x:v>
      </x:c>
    </x:row>
    <x:row r="203" ht="21" customHeight="1">
      <x:c r="A203" s="17" t="n">
        <x:f>Summary!B16</x:f>
        <x:v>46357</x:v>
      </x:c>
      <x:c r="B203" s="1" t="str">
        <x:f>'Current inventory'!A77</x:f>
        <x:v>10</x:v>
      </x:c>
      <x:c r="C203" s="1" t="str">
        <x:f>'Current inventory'!B77</x:f>
        <x:v>800WFGASC</x:v>
      </x:c>
      <x:c r="D203" s="7" t="n">
        <x:f>A77</x:f>
        <x:v>46327</x:v>
      </x:c>
      <x:c r="E203" s="8" t="n">
        <x:f>L77</x:f>
        <x:v>0</x:v>
      </x:c>
      <x:c r="F203" s="8" t="n">
        <x:f>M77</x:f>
        <x:v>0</x:v>
      </x:c>
      <x:c r="G203" s="8" t="n">
        <x:f>N77</x:f>
        <x:v>0</x:v>
      </x:c>
      <x:c r="H203" s="8" t="n">
        <x:f>SUMIFS('PO detail'!$U$2:$U$672,'PO detail'!$A$2:$A$672,B203,'PO detail'!$B$2:$B$672,C203,'PO detail'!$G$2:$G$672,"&gt;="&amp;D203,'PO detail'!$G$2:$G$672,"&lt;"&amp;A203)</x:f>
        <x:v>0</x:v>
      </x:c>
      <x:c r="I203" s="8" t="n">
        <x:f>SUMIFS('PO detail'!$V$2:$V$672,'PO detail'!$A$2:$A$672,B203,'PO detail'!$B$2:$B$672,C203,'PO detail'!$G$2:$G$672,"&gt;="&amp;D203,'PO detail'!$G$2:$G$672,"&lt;"&amp;A203)</x:f>
        <x:v>0</x:v>
      </x:c>
      <x:c r="J203" s="8" t="n">
        <x:f>SUMIFS('PO detail'!$W$2:$W$672,'PO detail'!$A$2:$A$672,B203,'PO detail'!$B$2:$B$672,C203,'PO detail'!$G$2:$G$672,"&gt;="&amp;D203,'PO detail'!$G$2:$G$672,"&lt;"&amp;A203)</x:f>
        <x:v>0</x:v>
      </x:c>
      <x:c r="K203" s="8" t="n">
        <x:f>'Current inventory'!E77*Summary!$D$6*(A203-D203)/30.4375</x:f>
        <x:v>0</x:v>
      </x:c>
      <x:c r="L203" s="8" t="n">
        <x:f>MAX(0,E203+H203-K203)</x:f>
        <x:v>0</x:v>
      </x:c>
      <x:c r="M203" s="8" t="n">
        <x:f>MAX(0,F203+I203-MAX(0,K203-E203-H203))</x:f>
        <x:v>0</x:v>
      </x:c>
      <x:c r="N203" s="8" t="n">
        <x:f>MAX(0,G203+J203-K203)</x:f>
        <x:v>0</x:v>
      </x:c>
      <x:c r="O203" s="8" t="n">
        <x:f>SUM(L203:N203)</x:f>
        <x:v>0</x:v>
      </x:c>
      <x:c r="P203" s="14" t="n">
        <x:f>'Current inventory'!V77</x:f>
        <x:v>0.1456</x:v>
      </x:c>
      <x:c r="Q203" s="14" t="str">
        <x:f>'Current inventory'!W77</x:f>
        <x:v>n.a.</x:v>
      </x:c>
      <x:c r="R203" s="10" t="n">
        <x:f>L203*P203</x:f>
        <x:v>0</x:v>
      </x:c>
      <x:c r="S203" s="10" t="n">
        <x:f>M203*P203</x:f>
        <x:v>0</x:v>
      </x:c>
      <x:c r="T203" s="10" t="n">
        <x:f>N203*P203</x:f>
        <x:v>0</x:v>
      </x:c>
      <x:c r="U203" s="10" t="n">
        <x:f>O203*P203</x:f>
        <x:v>0</x:v>
      </x:c>
      <x:c r="V203" s="10" t="str">
        <x:f>IF(ISNUMBER(Q203),O203*(Q203-P203),"n.a.")</x:f>
        <x:v>n.a.</x:v>
      </x:c>
      <x:c r="W203" s="10" t="n">
        <x:f>IF(ISNUMBER(Q203),U203,0)</x:f>
        <x:v>0</x:v>
      </x:c>
      <x:c r="X203" s="8" t="n">
        <x:f>MAX(0,K203-SUM(E203:J203))</x:f>
        <x:v>0</x:v>
      </x:c>
      <x:c r="Y203" s="1" t="str">
        <x:f>IF(AND(O203&gt;0,NOT(ISNUMBER(Q203))),"No proposed replacement standard",IF(X203&gt;0,"Demand exceeds available stock",""))</x:f>
      </x:c>
      <x:c r="Z203" s="1" t="n">
        <x:f>IF(ISNUMBER(Q203),1,0)</x:f>
        <x:v>0</x:v>
      </x:c>
    </x:row>
    <x:row r="204" ht="21" customHeight="1">
      <x:c r="A204" s="17" t="n">
        <x:f>Summary!B16</x:f>
        <x:v>46357</x:v>
      </x:c>
      <x:c r="B204" s="1" t="str">
        <x:f>'Current inventory'!A78</x:f>
        <x:v>10</x:v>
      </x:c>
      <x:c r="C204" s="1" t="str">
        <x:f>'Current inventory'!B78</x:f>
        <x:v>800WFGBRC</x:v>
      </x:c>
      <x:c r="D204" s="7" t="n">
        <x:f>A78</x:f>
        <x:v>46327</x:v>
      </x:c>
      <x:c r="E204" s="8" t="n">
        <x:f>L78</x:f>
        <x:v>0</x:v>
      </x:c>
      <x:c r="F204" s="8" t="n">
        <x:f>M78</x:f>
        <x:v>0</x:v>
      </x:c>
      <x:c r="G204" s="8" t="n">
        <x:f>N78</x:f>
        <x:v>0</x:v>
      </x:c>
      <x:c r="H204" s="8" t="n">
        <x:f>SUMIFS('PO detail'!$U$2:$U$672,'PO detail'!$A$2:$A$672,B204,'PO detail'!$B$2:$B$672,C204,'PO detail'!$G$2:$G$672,"&gt;="&amp;D204,'PO detail'!$G$2:$G$672,"&lt;"&amp;A204)</x:f>
        <x:v>0</x:v>
      </x:c>
      <x:c r="I204" s="8" t="n">
        <x:f>SUMIFS('PO detail'!$V$2:$V$672,'PO detail'!$A$2:$A$672,B204,'PO detail'!$B$2:$B$672,C204,'PO detail'!$G$2:$G$672,"&gt;="&amp;D204,'PO detail'!$G$2:$G$672,"&lt;"&amp;A204)</x:f>
        <x:v>0</x:v>
      </x:c>
      <x:c r="J204" s="8" t="n">
        <x:f>SUMIFS('PO detail'!$W$2:$W$672,'PO detail'!$A$2:$A$672,B204,'PO detail'!$B$2:$B$672,C204,'PO detail'!$G$2:$G$672,"&gt;="&amp;D204,'PO detail'!$G$2:$G$672,"&lt;"&amp;A204)</x:f>
        <x:v>0</x:v>
      </x:c>
      <x:c r="K204" s="8" t="n">
        <x:f>'Current inventory'!E78*Summary!$D$6*(A204-D204)/30.4375</x:f>
        <x:v>0</x:v>
      </x:c>
      <x:c r="L204" s="8" t="n">
        <x:f>MAX(0,E204+H204-K204)</x:f>
        <x:v>0</x:v>
      </x:c>
      <x:c r="M204" s="8" t="n">
        <x:f>MAX(0,F204+I204-MAX(0,K204-E204-H204))</x:f>
        <x:v>0</x:v>
      </x:c>
      <x:c r="N204" s="8" t="n">
        <x:f>MAX(0,G204+J204-K204)</x:f>
        <x:v>0</x:v>
      </x:c>
      <x:c r="O204" s="8" t="n">
        <x:f>SUM(L204:N204)</x:f>
        <x:v>0</x:v>
      </x:c>
      <x:c r="P204" s="14" t="n">
        <x:f>'Current inventory'!V78</x:f>
        <x:v>0.18469999999999998</x:v>
      </x:c>
      <x:c r="Q204" s="14" t="str">
        <x:f>'Current inventory'!W78</x:f>
        <x:v>n.a.</x:v>
      </x:c>
      <x:c r="R204" s="10" t="n">
        <x:f>L204*P204</x:f>
        <x:v>0</x:v>
      </x:c>
      <x:c r="S204" s="10" t="n">
        <x:f>M204*P204</x:f>
        <x:v>0</x:v>
      </x:c>
      <x:c r="T204" s="10" t="n">
        <x:f>N204*P204</x:f>
        <x:v>0</x:v>
      </x:c>
      <x:c r="U204" s="10" t="n">
        <x:f>O204*P204</x:f>
        <x:v>0</x:v>
      </x:c>
      <x:c r="V204" s="10" t="str">
        <x:f>IF(ISNUMBER(Q204),O204*(Q204-P204),"n.a.")</x:f>
        <x:v>n.a.</x:v>
      </x:c>
      <x:c r="W204" s="10" t="n">
        <x:f>IF(ISNUMBER(Q204),U204,0)</x:f>
        <x:v>0</x:v>
      </x:c>
      <x:c r="X204" s="8" t="n">
        <x:f>MAX(0,K204-SUM(E204:J204))</x:f>
        <x:v>0</x:v>
      </x:c>
      <x:c r="Y204" s="1" t="str">
        <x:f>IF(AND(O204&gt;0,NOT(ISNUMBER(Q204))),"No proposed replacement standard",IF(X204&gt;0,"Demand exceeds available stock",""))</x:f>
      </x:c>
      <x:c r="Z204" s="1" t="n">
        <x:f>IF(ISNUMBER(Q204),1,0)</x:f>
        <x:v>0</x:v>
      </x:c>
    </x:row>
    <x:row r="205" ht="21" customHeight="1">
      <x:c r="A205" s="17" t="n">
        <x:f>Summary!B16</x:f>
        <x:v>46357</x:v>
      </x:c>
      <x:c r="B205" s="1" t="str">
        <x:f>'Current inventory'!A79</x:f>
        <x:v>10</x:v>
      </x:c>
      <x:c r="C205" s="1" t="str">
        <x:f>'Current inventory'!B79</x:f>
        <x:v>800WMARBRC</x:v>
      </x:c>
      <x:c r="D205" s="7" t="n">
        <x:f>A79</x:f>
        <x:v>46327</x:v>
      </x:c>
      <x:c r="E205" s="8" t="n">
        <x:f>L79</x:f>
        <x:v>0</x:v>
      </x:c>
      <x:c r="F205" s="8" t="n">
        <x:f>M79</x:f>
        <x:v>0</x:v>
      </x:c>
      <x:c r="G205" s="8" t="n">
        <x:f>N79</x:f>
        <x:v>900</x:v>
      </x:c>
      <x:c r="H205" s="8" t="n">
        <x:f>SUMIFS('PO detail'!$U$2:$U$672,'PO detail'!$A$2:$A$672,B205,'PO detail'!$B$2:$B$672,C205,'PO detail'!$G$2:$G$672,"&gt;="&amp;D205,'PO detail'!$G$2:$G$672,"&lt;"&amp;A205)</x:f>
        <x:v>0</x:v>
      </x:c>
      <x:c r="I205" s="8" t="n">
        <x:f>SUMIFS('PO detail'!$V$2:$V$672,'PO detail'!$A$2:$A$672,B205,'PO detail'!$B$2:$B$672,C205,'PO detail'!$G$2:$G$672,"&gt;="&amp;D205,'PO detail'!$G$2:$G$672,"&lt;"&amp;A205)</x:f>
        <x:v>0</x:v>
      </x:c>
      <x:c r="J205" s="8" t="n">
        <x:f>SUMIFS('PO detail'!$W$2:$W$672,'PO detail'!$A$2:$A$672,B205,'PO detail'!$B$2:$B$672,C205,'PO detail'!$G$2:$G$672,"&gt;="&amp;D205,'PO detail'!$G$2:$G$672,"&lt;"&amp;A205)</x:f>
        <x:v>0</x:v>
      </x:c>
      <x:c r="K205" s="8" t="n">
        <x:f>'Current inventory'!E79*Summary!$D$6*(A205-D205)/30.4375</x:f>
        <x:v>0</x:v>
      </x:c>
      <x:c r="L205" s="8" t="n">
        <x:f>MAX(0,E205+H205-K205)</x:f>
        <x:v>0</x:v>
      </x:c>
      <x:c r="M205" s="8" t="n">
        <x:f>MAX(0,F205+I205-MAX(0,K205-E205-H205))</x:f>
        <x:v>0</x:v>
      </x:c>
      <x:c r="N205" s="8" t="n">
        <x:f>MAX(0,G205+J205-K205)</x:f>
        <x:v>900</x:v>
      </x:c>
      <x:c r="O205" s="8" t="n">
        <x:f>SUM(L205:N205)</x:f>
        <x:v>900</x:v>
      </x:c>
      <x:c r="P205" s="14" t="n">
        <x:f>'Current inventory'!V79</x:f>
        <x:v>0.17350000000000002</x:v>
      </x:c>
      <x:c r="Q205" s="14" t="str">
        <x:f>'Current inventory'!W79</x:f>
        <x:v>n.a.</x:v>
      </x:c>
      <x:c r="R205" s="10" t="n">
        <x:f>L205*P205</x:f>
        <x:v>0</x:v>
      </x:c>
      <x:c r="S205" s="10" t="n">
        <x:f>M205*P205</x:f>
        <x:v>0</x:v>
      </x:c>
      <x:c r="T205" s="10" t="n">
        <x:f>N205*P205</x:f>
        <x:v>156.15</x:v>
      </x:c>
      <x:c r="U205" s="10" t="n">
        <x:f>O205*P205</x:f>
        <x:v>156.15</x:v>
      </x:c>
      <x:c r="V205" s="10" t="str">
        <x:f>IF(ISNUMBER(Q205),O205*(Q205-P205),"n.a.")</x:f>
        <x:v>n.a.</x:v>
      </x:c>
      <x:c r="W205" s="10" t="n">
        <x:f>IF(ISNUMBER(Q205),U205,0)</x:f>
        <x:v>0</x:v>
      </x:c>
      <x:c r="X205" s="8" t="n">
        <x:f>MAX(0,K205-SUM(E205:J205))</x:f>
        <x:v>0</x:v>
      </x:c>
      <x:c r="Y205" s="1" t="str">
        <x:f>IF(AND(O205&gt;0,NOT(ISNUMBER(Q205))),"No proposed replacement standard",IF(X205&gt;0,"Demand exceeds available stock",""))</x:f>
        <x:v>No proposed replacement standard</x:v>
      </x:c>
      <x:c r="Z205" s="1" t="n">
        <x:f>IF(ISNUMBER(Q205),1,0)</x:f>
        <x:v>0</x:v>
      </x:c>
    </x:row>
    <x:row r="206" ht="21" customHeight="1">
      <x:c r="A206" s="17" t="n">
        <x:f>Summary!B16</x:f>
        <x:v>46357</x:v>
      </x:c>
      <x:c r="B206" s="1" t="str">
        <x:f>'Current inventory'!A80</x:f>
        <x:v>10</x:v>
      </x:c>
      <x:c r="C206" s="1" t="str">
        <x:f>'Current inventory'!B80</x:f>
        <x:v>800WNAVBRC</x:v>
      </x:c>
      <x:c r="D206" s="7" t="n">
        <x:f>A80</x:f>
        <x:v>46327</x:v>
      </x:c>
      <x:c r="E206" s="8" t="n">
        <x:f>L80</x:f>
        <x:v>0</x:v>
      </x:c>
      <x:c r="F206" s="8" t="n">
        <x:f>M80</x:f>
        <x:v>0</x:v>
      </x:c>
      <x:c r="G206" s="8" t="n">
        <x:f>N80</x:f>
        <x:v>600</x:v>
      </x:c>
      <x:c r="H206" s="8" t="n">
        <x:f>SUMIFS('PO detail'!$U$2:$U$672,'PO detail'!$A$2:$A$672,B206,'PO detail'!$B$2:$B$672,C206,'PO detail'!$G$2:$G$672,"&gt;="&amp;D206,'PO detail'!$G$2:$G$672,"&lt;"&amp;A206)</x:f>
        <x:v>0</x:v>
      </x:c>
      <x:c r="I206" s="8" t="n">
        <x:f>SUMIFS('PO detail'!$V$2:$V$672,'PO detail'!$A$2:$A$672,B206,'PO detail'!$B$2:$B$672,C206,'PO detail'!$G$2:$G$672,"&gt;="&amp;D206,'PO detail'!$G$2:$G$672,"&lt;"&amp;A206)</x:f>
        <x:v>0</x:v>
      </x:c>
      <x:c r="J206" s="8" t="n">
        <x:f>SUMIFS('PO detail'!$W$2:$W$672,'PO detail'!$A$2:$A$672,B206,'PO detail'!$B$2:$B$672,C206,'PO detail'!$G$2:$G$672,"&gt;="&amp;D206,'PO detail'!$G$2:$G$672,"&lt;"&amp;A206)</x:f>
        <x:v>0</x:v>
      </x:c>
      <x:c r="K206" s="8" t="n">
        <x:f>'Current inventory'!E80*Summary!$D$6*(A206-D206)/30.4375</x:f>
        <x:v>0</x:v>
      </x:c>
      <x:c r="L206" s="8" t="n">
        <x:f>MAX(0,E206+H206-K206)</x:f>
        <x:v>0</x:v>
      </x:c>
      <x:c r="M206" s="8" t="n">
        <x:f>MAX(0,F206+I206-MAX(0,K206-E206-H206))</x:f>
        <x:v>0</x:v>
      </x:c>
      <x:c r="N206" s="8" t="n">
        <x:f>MAX(0,G206+J206-K206)</x:f>
        <x:v>600</x:v>
      </x:c>
      <x:c r="O206" s="8" t="n">
        <x:f>SUM(L206:N206)</x:f>
        <x:v>600</x:v>
      </x:c>
      <x:c r="P206" s="14" t="n">
        <x:f>'Current inventory'!V80</x:f>
        <x:v>0.17350000000000002</x:v>
      </x:c>
      <x:c r="Q206" s="14" t="str">
        <x:f>'Current inventory'!W80</x:f>
        <x:v>n.a.</x:v>
      </x:c>
      <x:c r="R206" s="10" t="n">
        <x:f>L206*P206</x:f>
        <x:v>0</x:v>
      </x:c>
      <x:c r="S206" s="10" t="n">
        <x:f>M206*P206</x:f>
        <x:v>0</x:v>
      </x:c>
      <x:c r="T206" s="10" t="n">
        <x:f>N206*P206</x:f>
        <x:v>104.10000000000001</x:v>
      </x:c>
      <x:c r="U206" s="10" t="n">
        <x:f>O206*P206</x:f>
        <x:v>104.10000000000001</x:v>
      </x:c>
      <x:c r="V206" s="10" t="str">
        <x:f>IF(ISNUMBER(Q206),O206*(Q206-P206),"n.a.")</x:f>
        <x:v>n.a.</x:v>
      </x:c>
      <x:c r="W206" s="10" t="n">
        <x:f>IF(ISNUMBER(Q206),U206,0)</x:f>
        <x:v>0</x:v>
      </x:c>
      <x:c r="X206" s="8" t="n">
        <x:f>MAX(0,K206-SUM(E206:J206))</x:f>
        <x:v>0</x:v>
      </x:c>
      <x:c r="Y206" s="1" t="str">
        <x:f>IF(AND(O206&gt;0,NOT(ISNUMBER(Q206))),"No proposed replacement standard",IF(X206&gt;0,"Demand exceeds available stock",""))</x:f>
        <x:v>No proposed replacement standard</x:v>
      </x:c>
      <x:c r="Z206" s="1" t="n">
        <x:f>IF(ISNUMBER(Q206),1,0)</x:f>
        <x:v>0</x:v>
      </x:c>
    </x:row>
    <x:row r="207" ht="21" customHeight="1">
      <x:c r="A207" s="17" t="n">
        <x:f>Summary!B16</x:f>
        <x:v>46357</x:v>
      </x:c>
      <x:c r="B207" s="1" t="str">
        <x:f>'Current inventory'!A81</x:f>
        <x:v>10</x:v>
      </x:c>
      <x:c r="C207" s="1" t="str">
        <x:f>'Current inventory'!B81</x:f>
        <x:v>800WREDASC</x:v>
      </x:c>
      <x:c r="D207" s="7" t="n">
        <x:f>A81</x:f>
        <x:v>46327</x:v>
      </x:c>
      <x:c r="E207" s="8" t="n">
        <x:f>L81</x:f>
        <x:v>0</x:v>
      </x:c>
      <x:c r="F207" s="8" t="n">
        <x:f>M81</x:f>
        <x:v>0</x:v>
      </x:c>
      <x:c r="G207" s="8" t="n">
        <x:f>N81</x:f>
        <x:v>0</x:v>
      </x:c>
      <x:c r="H207" s="8" t="n">
        <x:f>SUMIFS('PO detail'!$U$2:$U$672,'PO detail'!$A$2:$A$672,B207,'PO detail'!$B$2:$B$672,C207,'PO detail'!$G$2:$G$672,"&gt;="&amp;D207,'PO detail'!$G$2:$G$672,"&lt;"&amp;A207)</x:f>
        <x:v>0</x:v>
      </x:c>
      <x:c r="I207" s="8" t="n">
        <x:f>SUMIFS('PO detail'!$V$2:$V$672,'PO detail'!$A$2:$A$672,B207,'PO detail'!$B$2:$B$672,C207,'PO detail'!$G$2:$G$672,"&gt;="&amp;D207,'PO detail'!$G$2:$G$672,"&lt;"&amp;A207)</x:f>
        <x:v>0</x:v>
      </x:c>
      <x:c r="J207" s="8" t="n">
        <x:f>SUMIFS('PO detail'!$W$2:$W$672,'PO detail'!$A$2:$A$672,B207,'PO detail'!$B$2:$B$672,C207,'PO detail'!$G$2:$G$672,"&gt;="&amp;D207,'PO detail'!$G$2:$G$672,"&lt;"&amp;A207)</x:f>
        <x:v>0</x:v>
      </x:c>
      <x:c r="K207" s="8" t="n">
        <x:f>'Current inventory'!E81*Summary!$D$6*(A207-D207)/30.4375</x:f>
        <x:v>0</x:v>
      </x:c>
      <x:c r="L207" s="8" t="n">
        <x:f>MAX(0,E207+H207-K207)</x:f>
        <x:v>0</x:v>
      </x:c>
      <x:c r="M207" s="8" t="n">
        <x:f>MAX(0,F207+I207-MAX(0,K207-E207-H207))</x:f>
        <x:v>0</x:v>
      </x:c>
      <x:c r="N207" s="8" t="n">
        <x:f>MAX(0,G207+J207-K207)</x:f>
        <x:v>0</x:v>
      </x:c>
      <x:c r="O207" s="8" t="n">
        <x:f>SUM(L207:N207)</x:f>
        <x:v>0</x:v>
      </x:c>
      <x:c r="P207" s="14" t="n">
        <x:f>'Current inventory'!V81</x:f>
        <x:v>0.07919999999999999</x:v>
      </x:c>
      <x:c r="Q207" s="14" t="str">
        <x:f>'Current inventory'!W81</x:f>
        <x:v>n.a.</x:v>
      </x:c>
      <x:c r="R207" s="10" t="n">
        <x:f>L207*P207</x:f>
        <x:v>0</x:v>
      </x:c>
      <x:c r="S207" s="10" t="n">
        <x:f>M207*P207</x:f>
        <x:v>0</x:v>
      </x:c>
      <x:c r="T207" s="10" t="n">
        <x:f>N207*P207</x:f>
        <x:v>0</x:v>
      </x:c>
      <x:c r="U207" s="10" t="n">
        <x:f>O207*P207</x:f>
        <x:v>0</x:v>
      </x:c>
      <x:c r="V207" s="10" t="str">
        <x:f>IF(ISNUMBER(Q207),O207*(Q207-P207),"n.a.")</x:f>
        <x:v>n.a.</x:v>
      </x:c>
      <x:c r="W207" s="10" t="n">
        <x:f>IF(ISNUMBER(Q207),U207,0)</x:f>
        <x:v>0</x:v>
      </x:c>
      <x:c r="X207" s="8" t="n">
        <x:f>MAX(0,K207-SUM(E207:J207))</x:f>
        <x:v>0</x:v>
      </x:c>
      <x:c r="Y207" s="1" t="str">
        <x:f>IF(AND(O207&gt;0,NOT(ISNUMBER(Q207))),"No proposed replacement standard",IF(X207&gt;0,"Demand exceeds available stock",""))</x:f>
      </x:c>
      <x:c r="Z207" s="1" t="n">
        <x:f>IF(ISNUMBER(Q207),1,0)</x:f>
        <x:v>0</x:v>
      </x:c>
    </x:row>
    <x:row r="208" ht="21" customHeight="1">
      <x:c r="A208" s="17" t="n">
        <x:f>Summary!B16</x:f>
        <x:v>46357</x:v>
      </x:c>
      <x:c r="B208" s="1" t="str">
        <x:f>'Current inventory'!A82</x:f>
        <x:v>10</x:v>
      </x:c>
      <x:c r="C208" s="1" t="str">
        <x:f>'Current inventory'!B82</x:f>
        <x:v>800WREDBRC</x:v>
      </x:c>
      <x:c r="D208" s="7" t="n">
        <x:f>A82</x:f>
        <x:v>46327</x:v>
      </x:c>
      <x:c r="E208" s="8" t="n">
        <x:f>L82</x:f>
        <x:v>0</x:v>
      </x:c>
      <x:c r="F208" s="8" t="n">
        <x:f>M82</x:f>
        <x:v>0</x:v>
      </x:c>
      <x:c r="G208" s="8" t="n">
        <x:f>N82</x:f>
        <x:v>0</x:v>
      </x:c>
      <x:c r="H208" s="8" t="n">
        <x:f>SUMIFS('PO detail'!$U$2:$U$672,'PO detail'!$A$2:$A$672,B208,'PO detail'!$B$2:$B$672,C208,'PO detail'!$G$2:$G$672,"&gt;="&amp;D208,'PO detail'!$G$2:$G$672,"&lt;"&amp;A208)</x:f>
        <x:v>0</x:v>
      </x:c>
      <x:c r="I208" s="8" t="n">
        <x:f>SUMIFS('PO detail'!$V$2:$V$672,'PO detail'!$A$2:$A$672,B208,'PO detail'!$B$2:$B$672,C208,'PO detail'!$G$2:$G$672,"&gt;="&amp;D208,'PO detail'!$G$2:$G$672,"&lt;"&amp;A208)</x:f>
        <x:v>0</x:v>
      </x:c>
      <x:c r="J208" s="8" t="n">
        <x:f>SUMIFS('PO detail'!$W$2:$W$672,'PO detail'!$A$2:$A$672,B208,'PO detail'!$B$2:$B$672,C208,'PO detail'!$G$2:$G$672,"&gt;="&amp;D208,'PO detail'!$G$2:$G$672,"&lt;"&amp;A208)</x:f>
        <x:v>0</x:v>
      </x:c>
      <x:c r="K208" s="8" t="n">
        <x:f>'Current inventory'!E82*Summary!$D$6*(A208-D208)/30.4375</x:f>
        <x:v>0</x:v>
      </x:c>
      <x:c r="L208" s="8" t="n">
        <x:f>MAX(0,E208+H208-K208)</x:f>
        <x:v>0</x:v>
      </x:c>
      <x:c r="M208" s="8" t="n">
        <x:f>MAX(0,F208+I208-MAX(0,K208-E208-H208))</x:f>
        <x:v>0</x:v>
      </x:c>
      <x:c r="N208" s="8" t="n">
        <x:f>MAX(0,G208+J208-K208)</x:f>
        <x:v>0</x:v>
      </x:c>
      <x:c r="O208" s="8" t="n">
        <x:f>SUM(L208:N208)</x:f>
        <x:v>0</x:v>
      </x:c>
      <x:c r="P208" s="14" t="n">
        <x:f>'Current inventory'!V82</x:f>
        <x:v>0.0898</x:v>
      </x:c>
      <x:c r="Q208" s="14" t="str">
        <x:f>'Current inventory'!W82</x:f>
        <x:v>n.a.</x:v>
      </x:c>
      <x:c r="R208" s="10" t="n">
        <x:f>L208*P208</x:f>
        <x:v>0</x:v>
      </x:c>
      <x:c r="S208" s="10" t="n">
        <x:f>M208*P208</x:f>
        <x:v>0</x:v>
      </x:c>
      <x:c r="T208" s="10" t="n">
        <x:f>N208*P208</x:f>
        <x:v>0</x:v>
      </x:c>
      <x:c r="U208" s="10" t="n">
        <x:f>O208*P208</x:f>
        <x:v>0</x:v>
      </x:c>
      <x:c r="V208" s="10" t="str">
        <x:f>IF(ISNUMBER(Q208),O208*(Q208-P208),"n.a.")</x:f>
        <x:v>n.a.</x:v>
      </x:c>
      <x:c r="W208" s="10" t="n">
        <x:f>IF(ISNUMBER(Q208),U208,0)</x:f>
        <x:v>0</x:v>
      </x:c>
      <x:c r="X208" s="8" t="n">
        <x:f>MAX(0,K208-SUM(E208:J208))</x:f>
        <x:v>0</x:v>
      </x:c>
      <x:c r="Y208" s="1" t="str">
        <x:f>IF(AND(O208&gt;0,NOT(ISNUMBER(Q208))),"No proposed replacement standard",IF(X208&gt;0,"Demand exceeds available stock",""))</x:f>
      </x:c>
      <x:c r="Z208" s="1" t="n">
        <x:f>IF(ISNUMBER(Q208),1,0)</x:f>
        <x:v>0</x:v>
      </x:c>
    </x:row>
    <x:row r="209" ht="21" customHeight="1">
      <x:c r="A209" s="17" t="n">
        <x:f>Summary!B16</x:f>
        <x:v>46357</x:v>
      </x:c>
      <x:c r="B209" s="1" t="str">
        <x:f>'Current inventory'!A83</x:f>
        <x:v>10</x:v>
      </x:c>
      <x:c r="C209" s="1" t="str">
        <x:f>'Current inventory'!B83</x:f>
        <x:v>800WWHTASC</x:v>
      </x:c>
      <x:c r="D209" s="7" t="n">
        <x:f>A83</x:f>
        <x:v>46327</x:v>
      </x:c>
      <x:c r="E209" s="8" t="n">
        <x:f>L83</x:f>
        <x:v>0</x:v>
      </x:c>
      <x:c r="F209" s="8" t="n">
        <x:f>M83</x:f>
        <x:v>0</x:v>
      </x:c>
      <x:c r="G209" s="8" t="n">
        <x:f>N83</x:f>
        <x:v>0</x:v>
      </x:c>
      <x:c r="H209" s="8" t="n">
        <x:f>SUMIFS('PO detail'!$U$2:$U$672,'PO detail'!$A$2:$A$672,B209,'PO detail'!$B$2:$B$672,C209,'PO detail'!$G$2:$G$672,"&gt;="&amp;D209,'PO detail'!$G$2:$G$672,"&lt;"&amp;A209)</x:f>
        <x:v>0</x:v>
      </x:c>
      <x:c r="I209" s="8" t="n">
        <x:f>SUMIFS('PO detail'!$V$2:$V$672,'PO detail'!$A$2:$A$672,B209,'PO detail'!$B$2:$B$672,C209,'PO detail'!$G$2:$G$672,"&gt;="&amp;D209,'PO detail'!$G$2:$G$672,"&lt;"&amp;A209)</x:f>
        <x:v>0</x:v>
      </x:c>
      <x:c r="J209" s="8" t="n">
        <x:f>SUMIFS('PO detail'!$W$2:$W$672,'PO detail'!$A$2:$A$672,B209,'PO detail'!$B$2:$B$672,C209,'PO detail'!$G$2:$G$672,"&gt;="&amp;D209,'PO detail'!$G$2:$G$672,"&lt;"&amp;A209)</x:f>
        <x:v>0</x:v>
      </x:c>
      <x:c r="K209" s="8" t="n">
        <x:f>'Current inventory'!E83*Summary!$D$6*(A209-D209)/30.4375</x:f>
        <x:v>0</x:v>
      </x:c>
      <x:c r="L209" s="8" t="n">
        <x:f>MAX(0,E209+H209-K209)</x:f>
        <x:v>0</x:v>
      </x:c>
      <x:c r="M209" s="8" t="n">
        <x:f>MAX(0,F209+I209-MAX(0,K209-E209-H209))</x:f>
        <x:v>0</x:v>
      </x:c>
      <x:c r="N209" s="8" t="n">
        <x:f>MAX(0,G209+J209-K209)</x:f>
        <x:v>0</x:v>
      </x:c>
      <x:c r="O209" s="8" t="n">
        <x:f>SUM(L209:N209)</x:f>
        <x:v>0</x:v>
      </x:c>
      <x:c r="P209" s="14" t="n">
        <x:f>'Current inventory'!V83</x:f>
        <x:v>0.1456</x:v>
      </x:c>
      <x:c r="Q209" s="14" t="str">
        <x:f>'Current inventory'!W83</x:f>
        <x:v>n.a.</x:v>
      </x:c>
      <x:c r="R209" s="10" t="n">
        <x:f>L209*P209</x:f>
        <x:v>0</x:v>
      </x:c>
      <x:c r="S209" s="10" t="n">
        <x:f>M209*P209</x:f>
        <x:v>0</x:v>
      </x:c>
      <x:c r="T209" s="10" t="n">
        <x:f>N209*P209</x:f>
        <x:v>0</x:v>
      </x:c>
      <x:c r="U209" s="10" t="n">
        <x:f>O209*P209</x:f>
        <x:v>0</x:v>
      </x:c>
      <x:c r="V209" s="10" t="str">
        <x:f>IF(ISNUMBER(Q209),O209*(Q209-P209),"n.a.")</x:f>
        <x:v>n.a.</x:v>
      </x:c>
      <x:c r="W209" s="10" t="n">
        <x:f>IF(ISNUMBER(Q209),U209,0)</x:f>
        <x:v>0</x:v>
      </x:c>
      <x:c r="X209" s="8" t="n">
        <x:f>MAX(0,K209-SUM(E209:J209))</x:f>
        <x:v>0</x:v>
      </x:c>
      <x:c r="Y209" s="1" t="str">
        <x:f>IF(AND(O209&gt;0,NOT(ISNUMBER(Q209))),"No proposed replacement standard",IF(X209&gt;0,"Demand exceeds available stock",""))</x:f>
      </x:c>
      <x:c r="Z209" s="1" t="n">
        <x:f>IF(ISNUMBER(Q209),1,0)</x:f>
        <x:v>0</x:v>
      </x:c>
    </x:row>
    <x:row r="210" ht="21" customHeight="1">
      <x:c r="A210" s="17" t="n">
        <x:f>Summary!B16</x:f>
        <x:v>46357</x:v>
      </x:c>
      <x:c r="B210" s="1" t="str">
        <x:f>'Current inventory'!A84</x:f>
        <x:v>10</x:v>
      </x:c>
      <x:c r="C210" s="1" t="str">
        <x:f>'Current inventory'!B84</x:f>
        <x:v>800WWHTBRC</x:v>
      </x:c>
      <x:c r="D210" s="7" t="n">
        <x:f>A84</x:f>
        <x:v>46327</x:v>
      </x:c>
      <x:c r="E210" s="8" t="n">
        <x:f>L84</x:f>
        <x:v>0</x:v>
      </x:c>
      <x:c r="F210" s="8" t="n">
        <x:f>M84</x:f>
        <x:v>0</x:v>
      </x:c>
      <x:c r="G210" s="8" t="n">
        <x:f>N84</x:f>
        <x:v>0</x:v>
      </x:c>
      <x:c r="H210" s="8" t="n">
        <x:f>SUMIFS('PO detail'!$U$2:$U$672,'PO detail'!$A$2:$A$672,B210,'PO detail'!$B$2:$B$672,C210,'PO detail'!$G$2:$G$672,"&gt;="&amp;D210,'PO detail'!$G$2:$G$672,"&lt;"&amp;A210)</x:f>
        <x:v>0</x:v>
      </x:c>
      <x:c r="I210" s="8" t="n">
        <x:f>SUMIFS('PO detail'!$V$2:$V$672,'PO detail'!$A$2:$A$672,B210,'PO detail'!$B$2:$B$672,C210,'PO detail'!$G$2:$G$672,"&gt;="&amp;D210,'PO detail'!$G$2:$G$672,"&lt;"&amp;A210)</x:f>
        <x:v>0</x:v>
      </x:c>
      <x:c r="J210" s="8" t="n">
        <x:f>SUMIFS('PO detail'!$W$2:$W$672,'PO detail'!$A$2:$A$672,B210,'PO detail'!$B$2:$B$672,C210,'PO detail'!$G$2:$G$672,"&gt;="&amp;D210,'PO detail'!$G$2:$G$672,"&lt;"&amp;A210)</x:f>
        <x:v>0</x:v>
      </x:c>
      <x:c r="K210" s="8" t="n">
        <x:f>'Current inventory'!E84*Summary!$D$6*(A210-D210)/30.4375</x:f>
        <x:v>0</x:v>
      </x:c>
      <x:c r="L210" s="8" t="n">
        <x:f>MAX(0,E210+H210-K210)</x:f>
        <x:v>0</x:v>
      </x:c>
      <x:c r="M210" s="8" t="n">
        <x:f>MAX(0,F210+I210-MAX(0,K210-E210-H210))</x:f>
        <x:v>0</x:v>
      </x:c>
      <x:c r="N210" s="8" t="n">
        <x:f>MAX(0,G210+J210-K210)</x:f>
        <x:v>0</x:v>
      </x:c>
      <x:c r="O210" s="8" t="n">
        <x:f>SUM(L210:N210)</x:f>
        <x:v>0</x:v>
      </x:c>
      <x:c r="P210" s="14" t="n">
        <x:f>'Current inventory'!V84</x:f>
        <x:v>0.18469999999999998</x:v>
      </x:c>
      <x:c r="Q210" s="14" t="str">
        <x:f>'Current inventory'!W84</x:f>
        <x:v>n.a.</x:v>
      </x:c>
      <x:c r="R210" s="10" t="n">
        <x:f>L210*P210</x:f>
        <x:v>0</x:v>
      </x:c>
      <x:c r="S210" s="10" t="n">
        <x:f>M210*P210</x:f>
        <x:v>0</x:v>
      </x:c>
      <x:c r="T210" s="10" t="n">
        <x:f>N210*P210</x:f>
        <x:v>0</x:v>
      </x:c>
      <x:c r="U210" s="10" t="n">
        <x:f>O210*P210</x:f>
        <x:v>0</x:v>
      </x:c>
      <x:c r="V210" s="10" t="str">
        <x:f>IF(ISNUMBER(Q210),O210*(Q210-P210),"n.a.")</x:f>
        <x:v>n.a.</x:v>
      </x:c>
      <x:c r="W210" s="10" t="n">
        <x:f>IF(ISNUMBER(Q210),U210,0)</x:f>
        <x:v>0</x:v>
      </x:c>
      <x:c r="X210" s="8" t="n">
        <x:f>MAX(0,K210-SUM(E210:J210))</x:f>
        <x:v>0</x:v>
      </x:c>
      <x:c r="Y210" s="1" t="str">
        <x:f>IF(AND(O210&gt;0,NOT(ISNUMBER(Q210))),"No proposed replacement standard",IF(X210&gt;0,"Demand exceeds available stock",""))</x:f>
      </x:c>
      <x:c r="Z210" s="1" t="n">
        <x:f>IF(ISNUMBER(Q210),1,0)</x:f>
        <x:v>0</x:v>
      </x:c>
    </x:row>
    <x:row r="211" ht="21" customHeight="1">
      <x:c r="A211" s="17" t="n">
        <x:f>Summary!B16</x:f>
        <x:v>46357</x:v>
      </x:c>
      <x:c r="B211" s="1" t="str">
        <x:f>'Current inventory'!A85</x:f>
        <x:v>30</x:v>
      </x:c>
      <x:c r="C211" s="1" t="str">
        <x:f>'Current inventory'!B85</x:f>
        <x:v>800BFGASC</x:v>
      </x:c>
      <x:c r="D211" s="7" t="n">
        <x:f>A85</x:f>
        <x:v>46327</x:v>
      </x:c>
      <x:c r="E211" s="8" t="n">
        <x:f>L85</x:f>
        <x:v>0</x:v>
      </x:c>
      <x:c r="F211" s="8" t="n">
        <x:f>M85</x:f>
        <x:v>0</x:v>
      </x:c>
      <x:c r="G211" s="8" t="n">
        <x:f>N85</x:f>
        <x:v>0</x:v>
      </x:c>
      <x:c r="H211" s="8" t="n">
        <x:f>SUMIFS('PO detail'!$U$2:$U$672,'PO detail'!$A$2:$A$672,B211,'PO detail'!$B$2:$B$672,C211,'PO detail'!$G$2:$G$672,"&gt;="&amp;D211,'PO detail'!$G$2:$G$672,"&lt;"&amp;A211)</x:f>
        <x:v>0</x:v>
      </x:c>
      <x:c r="I211" s="8" t="n">
        <x:f>SUMIFS('PO detail'!$V$2:$V$672,'PO detail'!$A$2:$A$672,B211,'PO detail'!$B$2:$B$672,C211,'PO detail'!$G$2:$G$672,"&gt;="&amp;D211,'PO detail'!$G$2:$G$672,"&lt;"&amp;A211)</x:f>
        <x:v>0</x:v>
      </x:c>
      <x:c r="J211" s="8" t="n">
        <x:f>SUMIFS('PO detail'!$W$2:$W$672,'PO detail'!$A$2:$A$672,B211,'PO detail'!$B$2:$B$672,C211,'PO detail'!$G$2:$G$672,"&gt;="&amp;D211,'PO detail'!$G$2:$G$672,"&lt;"&amp;A211)</x:f>
        <x:v>0</x:v>
      </x:c>
      <x:c r="K211" s="8" t="n">
        <x:f>'Current inventory'!E85*Summary!$D$6*(A211-D211)/30.4375</x:f>
        <x:v>0</x:v>
      </x:c>
      <x:c r="L211" s="8" t="n">
        <x:f>MAX(0,E211+H211-K211)</x:f>
        <x:v>0</x:v>
      </x:c>
      <x:c r="M211" s="8" t="n">
        <x:f>MAX(0,F211+I211-MAX(0,K211-E211-H211))</x:f>
        <x:v>0</x:v>
      </x:c>
      <x:c r="N211" s="8" t="n">
        <x:f>MAX(0,G211+J211-K211)</x:f>
        <x:v>0</x:v>
      </x:c>
      <x:c r="O211" s="8" t="n">
        <x:f>SUM(L211:N211)</x:f>
        <x:v>0</x:v>
      </x:c>
      <x:c r="P211" s="14" t="n">
        <x:f>'Current inventory'!V85</x:f>
        <x:v>0.1456</x:v>
      </x:c>
      <x:c r="Q211" s="14" t="str">
        <x:f>'Current inventory'!W85</x:f>
        <x:v>n.a.</x:v>
      </x:c>
      <x:c r="R211" s="10" t="n">
        <x:f>L211*P211</x:f>
        <x:v>0</x:v>
      </x:c>
      <x:c r="S211" s="10" t="n">
        <x:f>M211*P211</x:f>
        <x:v>0</x:v>
      </x:c>
      <x:c r="T211" s="10" t="n">
        <x:f>N211*P211</x:f>
        <x:v>0</x:v>
      </x:c>
      <x:c r="U211" s="10" t="n">
        <x:f>O211*P211</x:f>
        <x:v>0</x:v>
      </x:c>
      <x:c r="V211" s="10" t="str">
        <x:f>IF(ISNUMBER(Q211),O211*(Q211-P211),"n.a.")</x:f>
        <x:v>n.a.</x:v>
      </x:c>
      <x:c r="W211" s="10" t="n">
        <x:f>IF(ISNUMBER(Q211),U211,0)</x:f>
        <x:v>0</x:v>
      </x:c>
      <x:c r="X211" s="8" t="n">
        <x:f>MAX(0,K211-SUM(E211:J211))</x:f>
        <x:v>0</x:v>
      </x:c>
      <x:c r="Y211" s="1" t="str">
        <x:f>IF(AND(O211&gt;0,NOT(ISNUMBER(Q211))),"No proposed replacement standard",IF(X211&gt;0,"Demand exceeds available stock",""))</x:f>
      </x:c>
      <x:c r="Z211" s="1" t="n">
        <x:f>IF(ISNUMBER(Q211),1,0)</x:f>
        <x:v>0</x:v>
      </x:c>
    </x:row>
    <x:row r="212" ht="21" customHeight="1">
      <x:c r="A212" s="17" t="n">
        <x:f>Summary!B16</x:f>
        <x:v>46357</x:v>
      </x:c>
      <x:c r="B212" s="1" t="str">
        <x:f>'Current inventory'!A86</x:f>
        <x:v>30</x:v>
      </x:c>
      <x:c r="C212" s="1" t="str">
        <x:f>'Current inventory'!B86</x:f>
        <x:v>800BFGBRC</x:v>
      </x:c>
      <x:c r="D212" s="7" t="n">
        <x:f>A86</x:f>
        <x:v>46327</x:v>
      </x:c>
      <x:c r="E212" s="8" t="n">
        <x:f>L86</x:f>
        <x:v>0</x:v>
      </x:c>
      <x:c r="F212" s="8" t="n">
        <x:f>M86</x:f>
        <x:v>0</x:v>
      </x:c>
      <x:c r="G212" s="8" t="n">
        <x:f>N86</x:f>
        <x:v>0</x:v>
      </x:c>
      <x:c r="H212" s="8" t="n">
        <x:f>SUMIFS('PO detail'!$U$2:$U$672,'PO detail'!$A$2:$A$672,B212,'PO detail'!$B$2:$B$672,C212,'PO detail'!$G$2:$G$672,"&gt;="&amp;D212,'PO detail'!$G$2:$G$672,"&lt;"&amp;A212)</x:f>
        <x:v>0</x:v>
      </x:c>
      <x:c r="I212" s="8" t="n">
        <x:f>SUMIFS('PO detail'!$V$2:$V$672,'PO detail'!$A$2:$A$672,B212,'PO detail'!$B$2:$B$672,C212,'PO detail'!$G$2:$G$672,"&gt;="&amp;D212,'PO detail'!$G$2:$G$672,"&lt;"&amp;A212)</x:f>
        <x:v>0</x:v>
      </x:c>
      <x:c r="J212" s="8" t="n">
        <x:f>SUMIFS('PO detail'!$W$2:$W$672,'PO detail'!$A$2:$A$672,B212,'PO detail'!$B$2:$B$672,C212,'PO detail'!$G$2:$G$672,"&gt;="&amp;D212,'PO detail'!$G$2:$G$672,"&lt;"&amp;A212)</x:f>
        <x:v>0</x:v>
      </x:c>
      <x:c r="K212" s="8" t="n">
        <x:f>'Current inventory'!E86*Summary!$D$6*(A212-D212)/30.4375</x:f>
        <x:v>0</x:v>
      </x:c>
      <x:c r="L212" s="8" t="n">
        <x:f>MAX(0,E212+H212-K212)</x:f>
        <x:v>0</x:v>
      </x:c>
      <x:c r="M212" s="8" t="n">
        <x:f>MAX(0,F212+I212-MAX(0,K212-E212-H212))</x:f>
        <x:v>0</x:v>
      </x:c>
      <x:c r="N212" s="8" t="n">
        <x:f>MAX(0,G212+J212-K212)</x:f>
        <x:v>0</x:v>
      </x:c>
      <x:c r="O212" s="8" t="n">
        <x:f>SUM(L212:N212)</x:f>
        <x:v>0</x:v>
      </x:c>
      <x:c r="P212" s="14" t="n">
        <x:f>'Current inventory'!V86</x:f>
        <x:v>0.18469999999999998</x:v>
      </x:c>
      <x:c r="Q212" s="14" t="str">
        <x:f>'Current inventory'!W86</x:f>
        <x:v>n.a.</x:v>
      </x:c>
      <x:c r="R212" s="10" t="n">
        <x:f>L212*P212</x:f>
        <x:v>0</x:v>
      </x:c>
      <x:c r="S212" s="10" t="n">
        <x:f>M212*P212</x:f>
        <x:v>0</x:v>
      </x:c>
      <x:c r="T212" s="10" t="n">
        <x:f>N212*P212</x:f>
        <x:v>0</x:v>
      </x:c>
      <x:c r="U212" s="10" t="n">
        <x:f>O212*P212</x:f>
        <x:v>0</x:v>
      </x:c>
      <x:c r="V212" s="10" t="str">
        <x:f>IF(ISNUMBER(Q212),O212*(Q212-P212),"n.a.")</x:f>
        <x:v>n.a.</x:v>
      </x:c>
      <x:c r="W212" s="10" t="n">
        <x:f>IF(ISNUMBER(Q212),U212,0)</x:f>
        <x:v>0</x:v>
      </x:c>
      <x:c r="X212" s="8" t="n">
        <x:f>MAX(0,K212-SUM(E212:J212))</x:f>
        <x:v>0</x:v>
      </x:c>
      <x:c r="Y212" s="1" t="str">
        <x:f>IF(AND(O212&gt;0,NOT(ISNUMBER(Q212))),"No proposed replacement standard",IF(X212&gt;0,"Demand exceeds available stock",""))</x:f>
      </x:c>
      <x:c r="Z212" s="1" t="n">
        <x:f>IF(ISNUMBER(Q212),1,0)</x:f>
        <x:v>0</x:v>
      </x:c>
    </x:row>
    <x:row r="213" ht="21" customHeight="1">
      <x:c r="A213" s="17" t="n">
        <x:f>Summary!B16</x:f>
        <x:v>46357</x:v>
      </x:c>
      <x:c r="B213" s="1" t="str">
        <x:f>'Current inventory'!A87</x:f>
        <x:v>30</x:v>
      </x:c>
      <x:c r="C213" s="1" t="str">
        <x:f>'Current inventory'!B87</x:f>
        <x:v>800BFGCSC</x:v>
      </x:c>
      <x:c r="D213" s="7" t="n">
        <x:f>A87</x:f>
        <x:v>46327</x:v>
      </x:c>
      <x:c r="E213" s="8" t="n">
        <x:f>L87</x:f>
        <x:v>0</x:v>
      </x:c>
      <x:c r="F213" s="8" t="n">
        <x:f>M87</x:f>
        <x:v>0</x:v>
      </x:c>
      <x:c r="G213" s="8" t="n">
        <x:f>N87</x:f>
        <x:v>0</x:v>
      </x:c>
      <x:c r="H213" s="8" t="n">
        <x:f>SUMIFS('PO detail'!$U$2:$U$672,'PO detail'!$A$2:$A$672,B213,'PO detail'!$B$2:$B$672,C213,'PO detail'!$G$2:$G$672,"&gt;="&amp;D213,'PO detail'!$G$2:$G$672,"&lt;"&amp;A213)</x:f>
        <x:v>0</x:v>
      </x:c>
      <x:c r="I213" s="8" t="n">
        <x:f>SUMIFS('PO detail'!$V$2:$V$672,'PO detail'!$A$2:$A$672,B213,'PO detail'!$B$2:$B$672,C213,'PO detail'!$G$2:$G$672,"&gt;="&amp;D213,'PO detail'!$G$2:$G$672,"&lt;"&amp;A213)</x:f>
        <x:v>0</x:v>
      </x:c>
      <x:c r="J213" s="8" t="n">
        <x:f>SUMIFS('PO detail'!$W$2:$W$672,'PO detail'!$A$2:$A$672,B213,'PO detail'!$B$2:$B$672,C213,'PO detail'!$G$2:$G$672,"&gt;="&amp;D213,'PO detail'!$G$2:$G$672,"&lt;"&amp;A213)</x:f>
        <x:v>0</x:v>
      </x:c>
      <x:c r="K213" s="8" t="n">
        <x:f>'Current inventory'!E87*Summary!$D$6*(A213-D213)/30.4375</x:f>
        <x:v>0</x:v>
      </x:c>
      <x:c r="L213" s="8" t="n">
        <x:f>MAX(0,E213+H213-K213)</x:f>
        <x:v>0</x:v>
      </x:c>
      <x:c r="M213" s="8" t="n">
        <x:f>MAX(0,F213+I213-MAX(0,K213-E213-H213))</x:f>
        <x:v>0</x:v>
      </x:c>
      <x:c r="N213" s="8" t="n">
        <x:f>MAX(0,G213+J213-K213)</x:f>
        <x:v>0</x:v>
      </x:c>
      <x:c r="O213" s="8" t="n">
        <x:f>SUM(L213:N213)</x:f>
        <x:v>0</x:v>
      </x:c>
      <x:c r="P213" s="14" t="n">
        <x:f>'Current inventory'!V87</x:f>
        <x:v>0.21559999999999999</x:v>
      </x:c>
      <x:c r="Q213" s="14" t="str">
        <x:f>'Current inventory'!W87</x:f>
        <x:v>n.a.</x:v>
      </x:c>
      <x:c r="R213" s="10" t="n">
        <x:f>L213*P213</x:f>
        <x:v>0</x:v>
      </x:c>
      <x:c r="S213" s="10" t="n">
        <x:f>M213*P213</x:f>
        <x:v>0</x:v>
      </x:c>
      <x:c r="T213" s="10" t="n">
        <x:f>N213*P213</x:f>
        <x:v>0</x:v>
      </x:c>
      <x:c r="U213" s="10" t="n">
        <x:f>O213*P213</x:f>
        <x:v>0</x:v>
      </x:c>
      <x:c r="V213" s="10" t="str">
        <x:f>IF(ISNUMBER(Q213),O213*(Q213-P213),"n.a.")</x:f>
        <x:v>n.a.</x:v>
      </x:c>
      <x:c r="W213" s="10" t="n">
        <x:f>IF(ISNUMBER(Q213),U213,0)</x:f>
        <x:v>0</x:v>
      </x:c>
      <x:c r="X213" s="8" t="n">
        <x:f>MAX(0,K213-SUM(E213:J213))</x:f>
        <x:v>0</x:v>
      </x:c>
      <x:c r="Y213" s="1" t="str">
        <x:f>IF(AND(O213&gt;0,NOT(ISNUMBER(Q213))),"No proposed replacement standard",IF(X213&gt;0,"Demand exceeds available stock",""))</x:f>
      </x:c>
      <x:c r="Z213" s="1" t="n">
        <x:f>IF(ISNUMBER(Q213),1,0)</x:f>
        <x:v>0</x:v>
      </x:c>
    </x:row>
    <x:row r="214" ht="21" customHeight="1">
      <x:c r="A214" s="17" t="n">
        <x:f>Summary!B16</x:f>
        <x:v>46357</x:v>
      </x:c>
      <x:c r="B214" s="1" t="str">
        <x:f>'Current inventory'!A88</x:f>
        <x:v>30</x:v>
      </x:c>
      <x:c r="C214" s="1" t="str">
        <x:f>'Current inventory'!B88</x:f>
        <x:v>800BFGDSC</x:v>
      </x:c>
      <x:c r="D214" s="7" t="n">
        <x:f>A88</x:f>
        <x:v>46327</x:v>
      </x:c>
      <x:c r="E214" s="8" t="n">
        <x:f>L88</x:f>
        <x:v>0</x:v>
      </x:c>
      <x:c r="F214" s="8" t="n">
        <x:f>M88</x:f>
        <x:v>0</x:v>
      </x:c>
      <x:c r="G214" s="8" t="n">
        <x:f>N88</x:f>
        <x:v>0</x:v>
      </x:c>
      <x:c r="H214" s="8" t="n">
        <x:f>SUMIFS('PO detail'!$U$2:$U$672,'PO detail'!$A$2:$A$672,B214,'PO detail'!$B$2:$B$672,C214,'PO detail'!$G$2:$G$672,"&gt;="&amp;D214,'PO detail'!$G$2:$G$672,"&lt;"&amp;A214)</x:f>
        <x:v>0</x:v>
      </x:c>
      <x:c r="I214" s="8" t="n">
        <x:f>SUMIFS('PO detail'!$V$2:$V$672,'PO detail'!$A$2:$A$672,B214,'PO detail'!$B$2:$B$672,C214,'PO detail'!$G$2:$G$672,"&gt;="&amp;D214,'PO detail'!$G$2:$G$672,"&lt;"&amp;A214)</x:f>
        <x:v>0</x:v>
      </x:c>
      <x:c r="J214" s="8" t="n">
        <x:f>SUMIFS('PO detail'!$W$2:$W$672,'PO detail'!$A$2:$A$672,B214,'PO detail'!$B$2:$B$672,C214,'PO detail'!$G$2:$G$672,"&gt;="&amp;D214,'PO detail'!$G$2:$G$672,"&lt;"&amp;A214)</x:f>
        <x:v>0</x:v>
      </x:c>
      <x:c r="K214" s="8" t="n">
        <x:f>'Current inventory'!E88*Summary!$D$6*(A214-D214)/30.4375</x:f>
        <x:v>0</x:v>
      </x:c>
      <x:c r="L214" s="8" t="n">
        <x:f>MAX(0,E214+H214-K214)</x:f>
        <x:v>0</x:v>
      </x:c>
      <x:c r="M214" s="8" t="n">
        <x:f>MAX(0,F214+I214-MAX(0,K214-E214-H214))</x:f>
        <x:v>0</x:v>
      </x:c>
      <x:c r="N214" s="8" t="n">
        <x:f>MAX(0,G214+J214-K214)</x:f>
        <x:v>0</x:v>
      </x:c>
      <x:c r="O214" s="8" t="n">
        <x:f>SUM(L214:N214)</x:f>
        <x:v>0</x:v>
      </x:c>
      <x:c r="P214" s="14" t="n">
        <x:f>'Current inventory'!V88</x:f>
        <x:v>0.38</x:v>
      </x:c>
      <x:c r="Q214" s="14" t="str">
        <x:f>'Current inventory'!W88</x:f>
        <x:v>n.a.</x:v>
      </x:c>
      <x:c r="R214" s="10" t="n">
        <x:f>L214*P214</x:f>
        <x:v>0</x:v>
      </x:c>
      <x:c r="S214" s="10" t="n">
        <x:f>M214*P214</x:f>
        <x:v>0</x:v>
      </x:c>
      <x:c r="T214" s="10" t="n">
        <x:f>N214*P214</x:f>
        <x:v>0</x:v>
      </x:c>
      <x:c r="U214" s="10" t="n">
        <x:f>O214*P214</x:f>
        <x:v>0</x:v>
      </x:c>
      <x:c r="V214" s="10" t="str">
        <x:f>IF(ISNUMBER(Q214),O214*(Q214-P214),"n.a.")</x:f>
        <x:v>n.a.</x:v>
      </x:c>
      <x:c r="W214" s="10" t="n">
        <x:f>IF(ISNUMBER(Q214),U214,0)</x:f>
        <x:v>0</x:v>
      </x:c>
      <x:c r="X214" s="8" t="n">
        <x:f>MAX(0,K214-SUM(E214:J214))</x:f>
        <x:v>0</x:v>
      </x:c>
      <x:c r="Y214" s="1" t="str">
        <x:f>IF(AND(O214&gt;0,NOT(ISNUMBER(Q214))),"No proposed replacement standard",IF(X214&gt;0,"Demand exceeds available stock",""))</x:f>
      </x:c>
      <x:c r="Z214" s="1" t="n">
        <x:f>IF(ISNUMBER(Q214),1,0)</x:f>
        <x:v>0</x:v>
      </x:c>
    </x:row>
    <x:row r="215" ht="21" customHeight="1">
      <x:c r="A215" s="17" t="n">
        <x:f>Summary!B16</x:f>
        <x:v>46357</x:v>
      </x:c>
      <x:c r="B215" s="1" t="str">
        <x:f>'Current inventory'!A89</x:f>
        <x:v>30</x:v>
      </x:c>
      <x:c r="C215" s="1" t="str">
        <x:f>'Current inventory'!B89</x:f>
        <x:v>800BFGISC</x:v>
      </x:c>
      <x:c r="D215" s="7" t="n">
        <x:f>A89</x:f>
        <x:v>46327</x:v>
      </x:c>
      <x:c r="E215" s="8" t="n">
        <x:f>L89</x:f>
        <x:v>0</x:v>
      </x:c>
      <x:c r="F215" s="8" t="n">
        <x:f>M89</x:f>
        <x:v>0</x:v>
      </x:c>
      <x:c r="G215" s="8" t="n">
        <x:f>N89</x:f>
        <x:v>0</x:v>
      </x:c>
      <x:c r="H215" s="8" t="n">
        <x:f>SUMIFS('PO detail'!$U$2:$U$672,'PO detail'!$A$2:$A$672,B215,'PO detail'!$B$2:$B$672,C215,'PO detail'!$G$2:$G$672,"&gt;="&amp;D215,'PO detail'!$G$2:$G$672,"&lt;"&amp;A215)</x:f>
        <x:v>0</x:v>
      </x:c>
      <x:c r="I215" s="8" t="n">
        <x:f>SUMIFS('PO detail'!$V$2:$V$672,'PO detail'!$A$2:$A$672,B215,'PO detail'!$B$2:$B$672,C215,'PO detail'!$G$2:$G$672,"&gt;="&amp;D215,'PO detail'!$G$2:$G$672,"&lt;"&amp;A215)</x:f>
        <x:v>0</x:v>
      </x:c>
      <x:c r="J215" s="8" t="n">
        <x:f>SUMIFS('PO detail'!$W$2:$W$672,'PO detail'!$A$2:$A$672,B215,'PO detail'!$B$2:$B$672,C215,'PO detail'!$G$2:$G$672,"&gt;="&amp;D215,'PO detail'!$G$2:$G$672,"&lt;"&amp;A215)</x:f>
        <x:v>0</x:v>
      </x:c>
      <x:c r="K215" s="8" t="n">
        <x:f>'Current inventory'!E89*Summary!$D$6*(A215-D215)/30.4375</x:f>
        <x:v>0</x:v>
      </x:c>
      <x:c r="L215" s="8" t="n">
        <x:f>MAX(0,E215+H215-K215)</x:f>
        <x:v>0</x:v>
      </x:c>
      <x:c r="M215" s="8" t="n">
        <x:f>MAX(0,F215+I215-MAX(0,K215-E215-H215))</x:f>
        <x:v>0</x:v>
      </x:c>
      <x:c r="N215" s="8" t="n">
        <x:f>MAX(0,G215+J215-K215)</x:f>
        <x:v>0</x:v>
      </x:c>
      <x:c r="O215" s="8" t="n">
        <x:f>SUM(L215:N215)</x:f>
        <x:v>0</x:v>
      </x:c>
      <x:c r="P215" s="14" t="n">
        <x:f>'Current inventory'!V89</x:f>
        <x:v>0.1797</x:v>
      </x:c>
      <x:c r="Q215" s="14" t="str">
        <x:f>'Current inventory'!W89</x:f>
        <x:v>n.a.</x:v>
      </x:c>
      <x:c r="R215" s="10" t="n">
        <x:f>L215*P215</x:f>
        <x:v>0</x:v>
      </x:c>
      <x:c r="S215" s="10" t="n">
        <x:f>M215*P215</x:f>
        <x:v>0</x:v>
      </x:c>
      <x:c r="T215" s="10" t="n">
        <x:f>N215*P215</x:f>
        <x:v>0</x:v>
      </x:c>
      <x:c r="U215" s="10" t="n">
        <x:f>O215*P215</x:f>
        <x:v>0</x:v>
      </x:c>
      <x:c r="V215" s="10" t="str">
        <x:f>IF(ISNUMBER(Q215),O215*(Q215-P215),"n.a.")</x:f>
        <x:v>n.a.</x:v>
      </x:c>
      <x:c r="W215" s="10" t="n">
        <x:f>IF(ISNUMBER(Q215),U215,0)</x:f>
        <x:v>0</x:v>
      </x:c>
      <x:c r="X215" s="8" t="n">
        <x:f>MAX(0,K215-SUM(E215:J215))</x:f>
        <x:v>0</x:v>
      </x:c>
      <x:c r="Y215" s="1" t="str">
        <x:f>IF(AND(O215&gt;0,NOT(ISNUMBER(Q215))),"No proposed replacement standard",IF(X215&gt;0,"Demand exceeds available stock",""))</x:f>
      </x:c>
      <x:c r="Z215" s="1" t="n">
        <x:f>IF(ISNUMBER(Q215),1,0)</x:f>
        <x:v>0</x:v>
      </x:c>
    </x:row>
    <x:row r="216" ht="21" customHeight="1">
      <x:c r="A216" s="17" t="n">
        <x:f>Summary!B16</x:f>
        <x:v>46357</x:v>
      </x:c>
      <x:c r="B216" s="1" t="str">
        <x:f>'Current inventory'!A90</x:f>
        <x:v>30</x:v>
      </x:c>
      <x:c r="C216" s="1" t="str">
        <x:f>'Current inventory'!B90</x:f>
        <x:v>800BWHTASC</x:v>
      </x:c>
      <x:c r="D216" s="7" t="n">
        <x:f>A90</x:f>
        <x:v>46327</x:v>
      </x:c>
      <x:c r="E216" s="8" t="n">
        <x:f>L90</x:f>
        <x:v>0</x:v>
      </x:c>
      <x:c r="F216" s="8" t="n">
        <x:f>M90</x:f>
        <x:v>0</x:v>
      </x:c>
      <x:c r="G216" s="8" t="n">
        <x:f>N90</x:f>
        <x:v>0</x:v>
      </x:c>
      <x:c r="H216" s="8" t="n">
        <x:f>SUMIFS('PO detail'!$U$2:$U$672,'PO detail'!$A$2:$A$672,B216,'PO detail'!$B$2:$B$672,C216,'PO detail'!$G$2:$G$672,"&gt;="&amp;D216,'PO detail'!$G$2:$G$672,"&lt;"&amp;A216)</x:f>
        <x:v>0</x:v>
      </x:c>
      <x:c r="I216" s="8" t="n">
        <x:f>SUMIFS('PO detail'!$V$2:$V$672,'PO detail'!$A$2:$A$672,B216,'PO detail'!$B$2:$B$672,C216,'PO detail'!$G$2:$G$672,"&gt;="&amp;D216,'PO detail'!$G$2:$G$672,"&lt;"&amp;A216)</x:f>
        <x:v>0</x:v>
      </x:c>
      <x:c r="J216" s="8" t="n">
        <x:f>SUMIFS('PO detail'!$W$2:$W$672,'PO detail'!$A$2:$A$672,B216,'PO detail'!$B$2:$B$672,C216,'PO detail'!$G$2:$G$672,"&gt;="&amp;D216,'PO detail'!$G$2:$G$672,"&lt;"&amp;A216)</x:f>
        <x:v>0</x:v>
      </x:c>
      <x:c r="K216" s="8" t="n">
        <x:f>'Current inventory'!E90*Summary!$D$6*(A216-D216)/30.4375</x:f>
        <x:v>0</x:v>
      </x:c>
      <x:c r="L216" s="8" t="n">
        <x:f>MAX(0,E216+H216-K216)</x:f>
        <x:v>0</x:v>
      </x:c>
      <x:c r="M216" s="8" t="n">
        <x:f>MAX(0,F216+I216-MAX(0,K216-E216-H216))</x:f>
        <x:v>0</x:v>
      </x:c>
      <x:c r="N216" s="8" t="n">
        <x:f>MAX(0,G216+J216-K216)</x:f>
        <x:v>0</x:v>
      </x:c>
      <x:c r="O216" s="8" t="n">
        <x:f>SUM(L216:N216)</x:f>
        <x:v>0</x:v>
      </x:c>
      <x:c r="P216" s="14" t="n">
        <x:f>'Current inventory'!V90</x:f>
        <x:v>0.1456</x:v>
      </x:c>
      <x:c r="Q216" s="14" t="str">
        <x:f>'Current inventory'!W90</x:f>
        <x:v>n.a.</x:v>
      </x:c>
      <x:c r="R216" s="10" t="n">
        <x:f>L216*P216</x:f>
        <x:v>0</x:v>
      </x:c>
      <x:c r="S216" s="10" t="n">
        <x:f>M216*P216</x:f>
        <x:v>0</x:v>
      </x:c>
      <x:c r="T216" s="10" t="n">
        <x:f>N216*P216</x:f>
        <x:v>0</x:v>
      </x:c>
      <x:c r="U216" s="10" t="n">
        <x:f>O216*P216</x:f>
        <x:v>0</x:v>
      </x:c>
      <x:c r="V216" s="10" t="str">
        <x:f>IF(ISNUMBER(Q216),O216*(Q216-P216),"n.a.")</x:f>
        <x:v>n.a.</x:v>
      </x:c>
      <x:c r="W216" s="10" t="n">
        <x:f>IF(ISNUMBER(Q216),U216,0)</x:f>
        <x:v>0</x:v>
      </x:c>
      <x:c r="X216" s="8" t="n">
        <x:f>MAX(0,K216-SUM(E216:J216))</x:f>
        <x:v>0</x:v>
      </x:c>
      <x:c r="Y216" s="1" t="str">
        <x:f>IF(AND(O216&gt;0,NOT(ISNUMBER(Q216))),"No proposed replacement standard",IF(X216&gt;0,"Demand exceeds available stock",""))</x:f>
      </x:c>
      <x:c r="Z216" s="1" t="n">
        <x:f>IF(ISNUMBER(Q216),1,0)</x:f>
        <x:v>0</x:v>
      </x:c>
    </x:row>
    <x:row r="217" ht="21" customHeight="1">
      <x:c r="A217" s="17" t="n">
        <x:f>Summary!B16</x:f>
        <x:v>46357</x:v>
      </x:c>
      <x:c r="B217" s="1" t="str">
        <x:f>'Current inventory'!A91</x:f>
        <x:v>30</x:v>
      </x:c>
      <x:c r="C217" s="1" t="str">
        <x:f>'Current inventory'!B91</x:f>
        <x:v>800BWHTBRC</x:v>
      </x:c>
      <x:c r="D217" s="7" t="n">
        <x:f>A91</x:f>
        <x:v>46327</x:v>
      </x:c>
      <x:c r="E217" s="8" t="n">
        <x:f>L91</x:f>
        <x:v>0</x:v>
      </x:c>
      <x:c r="F217" s="8" t="n">
        <x:f>M91</x:f>
        <x:v>0</x:v>
      </x:c>
      <x:c r="G217" s="8" t="n">
        <x:f>N91</x:f>
        <x:v>0</x:v>
      </x:c>
      <x:c r="H217" s="8" t="n">
        <x:f>SUMIFS('PO detail'!$U$2:$U$672,'PO detail'!$A$2:$A$672,B217,'PO detail'!$B$2:$B$672,C217,'PO detail'!$G$2:$G$672,"&gt;="&amp;D217,'PO detail'!$G$2:$G$672,"&lt;"&amp;A217)</x:f>
        <x:v>0</x:v>
      </x:c>
      <x:c r="I217" s="8" t="n">
        <x:f>SUMIFS('PO detail'!$V$2:$V$672,'PO detail'!$A$2:$A$672,B217,'PO detail'!$B$2:$B$672,C217,'PO detail'!$G$2:$G$672,"&gt;="&amp;D217,'PO detail'!$G$2:$G$672,"&lt;"&amp;A217)</x:f>
        <x:v>0</x:v>
      </x:c>
      <x:c r="J217" s="8" t="n">
        <x:f>SUMIFS('PO detail'!$W$2:$W$672,'PO detail'!$A$2:$A$672,B217,'PO detail'!$B$2:$B$672,C217,'PO detail'!$G$2:$G$672,"&gt;="&amp;D217,'PO detail'!$G$2:$G$672,"&lt;"&amp;A217)</x:f>
        <x:v>0</x:v>
      </x:c>
      <x:c r="K217" s="8" t="n">
        <x:f>'Current inventory'!E91*Summary!$D$6*(A217-D217)/30.4375</x:f>
        <x:v>0</x:v>
      </x:c>
      <x:c r="L217" s="8" t="n">
        <x:f>MAX(0,E217+H217-K217)</x:f>
        <x:v>0</x:v>
      </x:c>
      <x:c r="M217" s="8" t="n">
        <x:f>MAX(0,F217+I217-MAX(0,K217-E217-H217))</x:f>
        <x:v>0</x:v>
      </x:c>
      <x:c r="N217" s="8" t="n">
        <x:f>MAX(0,G217+J217-K217)</x:f>
        <x:v>0</x:v>
      </x:c>
      <x:c r="O217" s="8" t="n">
        <x:f>SUM(L217:N217)</x:f>
        <x:v>0</x:v>
      </x:c>
      <x:c r="P217" s="14" t="n">
        <x:f>'Current inventory'!V91</x:f>
        <x:v>0.18469999999999998</x:v>
      </x:c>
      <x:c r="Q217" s="14" t="str">
        <x:f>'Current inventory'!W91</x:f>
        <x:v>n.a.</x:v>
      </x:c>
      <x:c r="R217" s="10" t="n">
        <x:f>L217*P217</x:f>
        <x:v>0</x:v>
      </x:c>
      <x:c r="S217" s="10" t="n">
        <x:f>M217*P217</x:f>
        <x:v>0</x:v>
      </x:c>
      <x:c r="T217" s="10" t="n">
        <x:f>N217*P217</x:f>
        <x:v>0</x:v>
      </x:c>
      <x:c r="U217" s="10" t="n">
        <x:f>O217*P217</x:f>
        <x:v>0</x:v>
      </x:c>
      <x:c r="V217" s="10" t="str">
        <x:f>IF(ISNUMBER(Q217),O217*(Q217-P217),"n.a.")</x:f>
        <x:v>n.a.</x:v>
      </x:c>
      <x:c r="W217" s="10" t="n">
        <x:f>IF(ISNUMBER(Q217),U217,0)</x:f>
        <x:v>0</x:v>
      </x:c>
      <x:c r="X217" s="8" t="n">
        <x:f>MAX(0,K217-SUM(E217:J217))</x:f>
        <x:v>0</x:v>
      </x:c>
      <x:c r="Y217" s="1" t="str">
        <x:f>IF(AND(O217&gt;0,NOT(ISNUMBER(Q217))),"No proposed replacement standard",IF(X217&gt;0,"Demand exceeds available stock",""))</x:f>
      </x:c>
      <x:c r="Z217" s="1" t="n">
        <x:f>IF(ISNUMBER(Q217),1,0)</x:f>
        <x:v>0</x:v>
      </x:c>
    </x:row>
    <x:row r="218" ht="21" customHeight="1">
      <x:c r="A218" s="17" t="n">
        <x:f>Summary!B16</x:f>
        <x:v>46357</x:v>
      </x:c>
      <x:c r="B218" s="1" t="str">
        <x:f>'Current inventory'!A92</x:f>
        <x:v>30</x:v>
      </x:c>
      <x:c r="C218" s="1" t="str">
        <x:f>'Current inventory'!B92</x:f>
        <x:v>800BWHTCSC</x:v>
      </x:c>
      <x:c r="D218" s="7" t="n">
        <x:f>A92</x:f>
        <x:v>46327</x:v>
      </x:c>
      <x:c r="E218" s="8" t="n">
        <x:f>L92</x:f>
        <x:v>0</x:v>
      </x:c>
      <x:c r="F218" s="8" t="n">
        <x:f>M92</x:f>
        <x:v>0</x:v>
      </x:c>
      <x:c r="G218" s="8" t="n">
        <x:f>N92</x:f>
        <x:v>0</x:v>
      </x:c>
      <x:c r="H218" s="8" t="n">
        <x:f>SUMIFS('PO detail'!$U$2:$U$672,'PO detail'!$A$2:$A$672,B218,'PO detail'!$B$2:$B$672,C218,'PO detail'!$G$2:$G$672,"&gt;="&amp;D218,'PO detail'!$G$2:$G$672,"&lt;"&amp;A218)</x:f>
        <x:v>0</x:v>
      </x:c>
      <x:c r="I218" s="8" t="n">
        <x:f>SUMIFS('PO detail'!$V$2:$V$672,'PO detail'!$A$2:$A$672,B218,'PO detail'!$B$2:$B$672,C218,'PO detail'!$G$2:$G$672,"&gt;="&amp;D218,'PO detail'!$G$2:$G$672,"&lt;"&amp;A218)</x:f>
        <x:v>0</x:v>
      </x:c>
      <x:c r="J218" s="8" t="n">
        <x:f>SUMIFS('PO detail'!$W$2:$W$672,'PO detail'!$A$2:$A$672,B218,'PO detail'!$B$2:$B$672,C218,'PO detail'!$G$2:$G$672,"&gt;="&amp;D218,'PO detail'!$G$2:$G$672,"&lt;"&amp;A218)</x:f>
        <x:v>0</x:v>
      </x:c>
      <x:c r="K218" s="8" t="n">
        <x:f>'Current inventory'!E92*Summary!$D$6*(A218-D218)/30.4375</x:f>
        <x:v>0</x:v>
      </x:c>
      <x:c r="L218" s="8" t="n">
        <x:f>MAX(0,E218+H218-K218)</x:f>
        <x:v>0</x:v>
      </x:c>
      <x:c r="M218" s="8" t="n">
        <x:f>MAX(0,F218+I218-MAX(0,K218-E218-H218))</x:f>
        <x:v>0</x:v>
      </x:c>
      <x:c r="N218" s="8" t="n">
        <x:f>MAX(0,G218+J218-K218)</x:f>
        <x:v>0</x:v>
      </x:c>
      <x:c r="O218" s="8" t="n">
        <x:f>SUM(L218:N218)</x:f>
        <x:v>0</x:v>
      </x:c>
      <x:c r="P218" s="14" t="n">
        <x:f>'Current inventory'!V92</x:f>
        <x:v>0.21559999999999999</x:v>
      </x:c>
      <x:c r="Q218" s="14" t="str">
        <x:f>'Current inventory'!W92</x:f>
        <x:v>n.a.</x:v>
      </x:c>
      <x:c r="R218" s="10" t="n">
        <x:f>L218*P218</x:f>
        <x:v>0</x:v>
      </x:c>
      <x:c r="S218" s="10" t="n">
        <x:f>M218*P218</x:f>
        <x:v>0</x:v>
      </x:c>
      <x:c r="T218" s="10" t="n">
        <x:f>N218*P218</x:f>
        <x:v>0</x:v>
      </x:c>
      <x:c r="U218" s="10" t="n">
        <x:f>O218*P218</x:f>
        <x:v>0</x:v>
      </x:c>
      <x:c r="V218" s="10" t="str">
        <x:f>IF(ISNUMBER(Q218),O218*(Q218-P218),"n.a.")</x:f>
        <x:v>n.a.</x:v>
      </x:c>
      <x:c r="W218" s="10" t="n">
        <x:f>IF(ISNUMBER(Q218),U218,0)</x:f>
        <x:v>0</x:v>
      </x:c>
      <x:c r="X218" s="8" t="n">
        <x:f>MAX(0,K218-SUM(E218:J218))</x:f>
        <x:v>0</x:v>
      </x:c>
      <x:c r="Y218" s="1" t="str">
        <x:f>IF(AND(O218&gt;0,NOT(ISNUMBER(Q218))),"No proposed replacement standard",IF(X218&gt;0,"Demand exceeds available stock",""))</x:f>
      </x:c>
      <x:c r="Z218" s="1" t="n">
        <x:f>IF(ISNUMBER(Q218),1,0)</x:f>
        <x:v>0</x:v>
      </x:c>
    </x:row>
    <x:row r="219" ht="21" customHeight="1">
      <x:c r="A219" s="17" t="n">
        <x:f>Summary!B16</x:f>
        <x:v>46357</x:v>
      </x:c>
      <x:c r="B219" s="1" t="str">
        <x:f>'Current inventory'!A93</x:f>
        <x:v>30</x:v>
      </x:c>
      <x:c r="C219" s="1" t="str">
        <x:f>'Current inventory'!B93</x:f>
        <x:v>800BWHTDSC</x:v>
      </x:c>
      <x:c r="D219" s="7" t="n">
        <x:f>A93</x:f>
        <x:v>46327</x:v>
      </x:c>
      <x:c r="E219" s="8" t="n">
        <x:f>L93</x:f>
        <x:v>0</x:v>
      </x:c>
      <x:c r="F219" s="8" t="n">
        <x:f>M93</x:f>
        <x:v>0</x:v>
      </x:c>
      <x:c r="G219" s="8" t="n">
        <x:f>N93</x:f>
        <x:v>0</x:v>
      </x:c>
      <x:c r="H219" s="8" t="n">
        <x:f>SUMIFS('PO detail'!$U$2:$U$672,'PO detail'!$A$2:$A$672,B219,'PO detail'!$B$2:$B$672,C219,'PO detail'!$G$2:$G$672,"&gt;="&amp;D219,'PO detail'!$G$2:$G$672,"&lt;"&amp;A219)</x:f>
        <x:v>0</x:v>
      </x:c>
      <x:c r="I219" s="8" t="n">
        <x:f>SUMIFS('PO detail'!$V$2:$V$672,'PO detail'!$A$2:$A$672,B219,'PO detail'!$B$2:$B$672,C219,'PO detail'!$G$2:$G$672,"&gt;="&amp;D219,'PO detail'!$G$2:$G$672,"&lt;"&amp;A219)</x:f>
        <x:v>0</x:v>
      </x:c>
      <x:c r="J219" s="8" t="n">
        <x:f>SUMIFS('PO detail'!$W$2:$W$672,'PO detail'!$A$2:$A$672,B219,'PO detail'!$B$2:$B$672,C219,'PO detail'!$G$2:$G$672,"&gt;="&amp;D219,'PO detail'!$G$2:$G$672,"&lt;"&amp;A219)</x:f>
        <x:v>0</x:v>
      </x:c>
      <x:c r="K219" s="8" t="n">
        <x:f>'Current inventory'!E93*Summary!$D$6*(A219-D219)/30.4375</x:f>
        <x:v>0</x:v>
      </x:c>
      <x:c r="L219" s="8" t="n">
        <x:f>MAX(0,E219+H219-K219)</x:f>
        <x:v>0</x:v>
      </x:c>
      <x:c r="M219" s="8" t="n">
        <x:f>MAX(0,F219+I219-MAX(0,K219-E219-H219))</x:f>
        <x:v>0</x:v>
      </x:c>
      <x:c r="N219" s="8" t="n">
        <x:f>MAX(0,G219+J219-K219)</x:f>
        <x:v>0</x:v>
      </x:c>
      <x:c r="O219" s="8" t="n">
        <x:f>SUM(L219:N219)</x:f>
        <x:v>0</x:v>
      </x:c>
      <x:c r="P219" s="14" t="n">
        <x:f>'Current inventory'!V93</x:f>
        <x:v>0.38</x:v>
      </x:c>
      <x:c r="Q219" s="14" t="str">
        <x:f>'Current inventory'!W93</x:f>
        <x:v>n.a.</x:v>
      </x:c>
      <x:c r="R219" s="10" t="n">
        <x:f>L219*P219</x:f>
        <x:v>0</x:v>
      </x:c>
      <x:c r="S219" s="10" t="n">
        <x:f>M219*P219</x:f>
        <x:v>0</x:v>
      </x:c>
      <x:c r="T219" s="10" t="n">
        <x:f>N219*P219</x:f>
        <x:v>0</x:v>
      </x:c>
      <x:c r="U219" s="10" t="n">
        <x:f>O219*P219</x:f>
        <x:v>0</x:v>
      </x:c>
      <x:c r="V219" s="10" t="str">
        <x:f>IF(ISNUMBER(Q219),O219*(Q219-P219),"n.a.")</x:f>
        <x:v>n.a.</x:v>
      </x:c>
      <x:c r="W219" s="10" t="n">
        <x:f>IF(ISNUMBER(Q219),U219,0)</x:f>
        <x:v>0</x:v>
      </x:c>
      <x:c r="X219" s="8" t="n">
        <x:f>MAX(0,K219-SUM(E219:J219))</x:f>
        <x:v>0</x:v>
      </x:c>
      <x:c r="Y219" s="1" t="str">
        <x:f>IF(AND(O219&gt;0,NOT(ISNUMBER(Q219))),"No proposed replacement standard",IF(X219&gt;0,"Demand exceeds available stock",""))</x:f>
      </x:c>
      <x:c r="Z219" s="1" t="n">
        <x:f>IF(ISNUMBER(Q219),1,0)</x:f>
        <x:v>0</x:v>
      </x:c>
    </x:row>
    <x:row r="220" ht="21" customHeight="1">
      <x:c r="A220" s="17" t="n">
        <x:f>Summary!B16</x:f>
        <x:v>46357</x:v>
      </x:c>
      <x:c r="B220" s="1" t="str">
        <x:f>'Current inventory'!A94</x:f>
        <x:v>30</x:v>
      </x:c>
      <x:c r="C220" s="1" t="str">
        <x:f>'Current inventory'!B94</x:f>
        <x:v>800BWHTISC</x:v>
      </x:c>
      <x:c r="D220" s="7" t="n">
        <x:f>A94</x:f>
        <x:v>46327</x:v>
      </x:c>
      <x:c r="E220" s="8" t="n">
        <x:f>L94</x:f>
        <x:v>0</x:v>
      </x:c>
      <x:c r="F220" s="8" t="n">
        <x:f>M94</x:f>
        <x:v>0</x:v>
      </x:c>
      <x:c r="G220" s="8" t="n">
        <x:f>N94</x:f>
        <x:v>0</x:v>
      </x:c>
      <x:c r="H220" s="8" t="n">
        <x:f>SUMIFS('PO detail'!$U$2:$U$672,'PO detail'!$A$2:$A$672,B220,'PO detail'!$B$2:$B$672,C220,'PO detail'!$G$2:$G$672,"&gt;="&amp;D220,'PO detail'!$G$2:$G$672,"&lt;"&amp;A220)</x:f>
        <x:v>0</x:v>
      </x:c>
      <x:c r="I220" s="8" t="n">
        <x:f>SUMIFS('PO detail'!$V$2:$V$672,'PO detail'!$A$2:$A$672,B220,'PO detail'!$B$2:$B$672,C220,'PO detail'!$G$2:$G$672,"&gt;="&amp;D220,'PO detail'!$G$2:$G$672,"&lt;"&amp;A220)</x:f>
        <x:v>0</x:v>
      </x:c>
      <x:c r="J220" s="8" t="n">
        <x:f>SUMIFS('PO detail'!$W$2:$W$672,'PO detail'!$A$2:$A$672,B220,'PO detail'!$B$2:$B$672,C220,'PO detail'!$G$2:$G$672,"&gt;="&amp;D220,'PO detail'!$G$2:$G$672,"&lt;"&amp;A220)</x:f>
        <x:v>0</x:v>
      </x:c>
      <x:c r="K220" s="8" t="n">
        <x:f>'Current inventory'!E94*Summary!$D$6*(A220-D220)/30.4375</x:f>
        <x:v>0</x:v>
      </x:c>
      <x:c r="L220" s="8" t="n">
        <x:f>MAX(0,E220+H220-K220)</x:f>
        <x:v>0</x:v>
      </x:c>
      <x:c r="M220" s="8" t="n">
        <x:f>MAX(0,F220+I220-MAX(0,K220-E220-H220))</x:f>
        <x:v>0</x:v>
      </x:c>
      <x:c r="N220" s="8" t="n">
        <x:f>MAX(0,G220+J220-K220)</x:f>
        <x:v>0</x:v>
      </x:c>
      <x:c r="O220" s="8" t="n">
        <x:f>SUM(L220:N220)</x:f>
        <x:v>0</x:v>
      </x:c>
      <x:c r="P220" s="14" t="n">
        <x:f>'Current inventory'!V94</x:f>
        <x:v>0.1797</x:v>
      </x:c>
      <x:c r="Q220" s="14" t="str">
        <x:f>'Current inventory'!W94</x:f>
        <x:v>n.a.</x:v>
      </x:c>
      <x:c r="R220" s="10" t="n">
        <x:f>L220*P220</x:f>
        <x:v>0</x:v>
      </x:c>
      <x:c r="S220" s="10" t="n">
        <x:f>M220*P220</x:f>
        <x:v>0</x:v>
      </x:c>
      <x:c r="T220" s="10" t="n">
        <x:f>N220*P220</x:f>
        <x:v>0</x:v>
      </x:c>
      <x:c r="U220" s="10" t="n">
        <x:f>O220*P220</x:f>
        <x:v>0</x:v>
      </x:c>
      <x:c r="V220" s="10" t="str">
        <x:f>IF(ISNUMBER(Q220),O220*(Q220-P220),"n.a.")</x:f>
        <x:v>n.a.</x:v>
      </x:c>
      <x:c r="W220" s="10" t="n">
        <x:f>IF(ISNUMBER(Q220),U220,0)</x:f>
        <x:v>0</x:v>
      </x:c>
      <x:c r="X220" s="8" t="n">
        <x:f>MAX(0,K220-SUM(E220:J220))</x:f>
        <x:v>0</x:v>
      </x:c>
      <x:c r="Y220" s="1" t="str">
        <x:f>IF(AND(O220&gt;0,NOT(ISNUMBER(Q220))),"No proposed replacement standard",IF(X220&gt;0,"Demand exceeds available stock",""))</x:f>
      </x:c>
      <x:c r="Z220" s="1" t="n">
        <x:f>IF(ISNUMBER(Q220),1,0)</x:f>
        <x:v>0</x:v>
      </x:c>
    </x:row>
    <x:row r="221" ht="21" customHeight="1">
      <x:c r="A221" s="17" t="n">
        <x:f>Summary!B16</x:f>
        <x:v>46357</x:v>
      </x:c>
      <x:c r="B221" s="1" t="str">
        <x:f>'Current inventory'!A95</x:f>
        <x:v>30</x:v>
      </x:c>
      <x:c r="C221" s="1" t="str">
        <x:f>'Current inventory'!B95</x:f>
        <x:v>800BREDASC</x:v>
      </x:c>
      <x:c r="D221" s="7" t="n">
        <x:f>A95</x:f>
        <x:v>46327</x:v>
      </x:c>
      <x:c r="E221" s="8" t="n">
        <x:f>L95</x:f>
        <x:v>0</x:v>
      </x:c>
      <x:c r="F221" s="8" t="n">
        <x:f>M95</x:f>
        <x:v>0</x:v>
      </x:c>
      <x:c r="G221" s="8" t="n">
        <x:f>N95</x:f>
        <x:v>0</x:v>
      </x:c>
      <x:c r="H221" s="8" t="n">
        <x:f>SUMIFS('PO detail'!$U$2:$U$672,'PO detail'!$A$2:$A$672,B221,'PO detail'!$B$2:$B$672,C221,'PO detail'!$G$2:$G$672,"&gt;="&amp;D221,'PO detail'!$G$2:$G$672,"&lt;"&amp;A221)</x:f>
        <x:v>0</x:v>
      </x:c>
      <x:c r="I221" s="8" t="n">
        <x:f>SUMIFS('PO detail'!$V$2:$V$672,'PO detail'!$A$2:$A$672,B221,'PO detail'!$B$2:$B$672,C221,'PO detail'!$G$2:$G$672,"&gt;="&amp;D221,'PO detail'!$G$2:$G$672,"&lt;"&amp;A221)</x:f>
        <x:v>0</x:v>
      </x:c>
      <x:c r="J221" s="8" t="n">
        <x:f>SUMIFS('PO detail'!$W$2:$W$672,'PO detail'!$A$2:$A$672,B221,'PO detail'!$B$2:$B$672,C221,'PO detail'!$G$2:$G$672,"&gt;="&amp;D221,'PO detail'!$G$2:$G$672,"&lt;"&amp;A221)</x:f>
        <x:v>0</x:v>
      </x:c>
      <x:c r="K221" s="8" t="n">
        <x:f>'Current inventory'!E95*Summary!$D$6*(A221-D221)/30.4375</x:f>
        <x:v>0</x:v>
      </x:c>
      <x:c r="L221" s="8" t="n">
        <x:f>MAX(0,E221+H221-K221)</x:f>
        <x:v>0</x:v>
      </x:c>
      <x:c r="M221" s="8" t="n">
        <x:f>MAX(0,F221+I221-MAX(0,K221-E221-H221))</x:f>
        <x:v>0</x:v>
      </x:c>
      <x:c r="N221" s="8" t="n">
        <x:f>MAX(0,G221+J221-K221)</x:f>
        <x:v>0</x:v>
      </x:c>
      <x:c r="O221" s="8" t="n">
        <x:f>SUM(L221:N221)</x:f>
        <x:v>0</x:v>
      </x:c>
      <x:c r="P221" s="14" t="n">
        <x:f>'Current inventory'!V95</x:f>
        <x:v>0.07919999999999999</x:v>
      </x:c>
      <x:c r="Q221" s="14" t="str">
        <x:f>'Current inventory'!W95</x:f>
        <x:v>n.a.</x:v>
      </x:c>
      <x:c r="R221" s="10" t="n">
        <x:f>L221*P221</x:f>
        <x:v>0</x:v>
      </x:c>
      <x:c r="S221" s="10" t="n">
        <x:f>M221*P221</x:f>
        <x:v>0</x:v>
      </x:c>
      <x:c r="T221" s="10" t="n">
        <x:f>N221*P221</x:f>
        <x:v>0</x:v>
      </x:c>
      <x:c r="U221" s="10" t="n">
        <x:f>O221*P221</x:f>
        <x:v>0</x:v>
      </x:c>
      <x:c r="V221" s="10" t="str">
        <x:f>IF(ISNUMBER(Q221),O221*(Q221-P221),"n.a.")</x:f>
        <x:v>n.a.</x:v>
      </x:c>
      <x:c r="W221" s="10" t="n">
        <x:f>IF(ISNUMBER(Q221),U221,0)</x:f>
        <x:v>0</x:v>
      </x:c>
      <x:c r="X221" s="8" t="n">
        <x:f>MAX(0,K221-SUM(E221:J221))</x:f>
        <x:v>0</x:v>
      </x:c>
      <x:c r="Y221" s="1" t="str">
        <x:f>IF(AND(O221&gt;0,NOT(ISNUMBER(Q221))),"No proposed replacement standard",IF(X221&gt;0,"Demand exceeds available stock",""))</x:f>
      </x:c>
      <x:c r="Z221" s="1" t="n">
        <x:f>IF(ISNUMBER(Q221),1,0)</x:f>
        <x:v>0</x:v>
      </x:c>
    </x:row>
    <x:row r="222" ht="21" customHeight="1">
      <x:c r="A222" s="17" t="n">
        <x:f>Summary!B16</x:f>
        <x:v>46357</x:v>
      </x:c>
      <x:c r="B222" s="1" t="str">
        <x:f>'Current inventory'!A96</x:f>
        <x:v>30</x:v>
      </x:c>
      <x:c r="C222" s="1" t="str">
        <x:f>'Current inventory'!B96</x:f>
        <x:v>800BREDBRC</x:v>
      </x:c>
      <x:c r="D222" s="7" t="n">
        <x:f>A96</x:f>
        <x:v>46327</x:v>
      </x:c>
      <x:c r="E222" s="8" t="n">
        <x:f>L96</x:f>
        <x:v>0</x:v>
      </x:c>
      <x:c r="F222" s="8" t="n">
        <x:f>M96</x:f>
        <x:v>0</x:v>
      </x:c>
      <x:c r="G222" s="8" t="n">
        <x:f>N96</x:f>
        <x:v>0</x:v>
      </x:c>
      <x:c r="H222" s="8" t="n">
        <x:f>SUMIFS('PO detail'!$U$2:$U$672,'PO detail'!$A$2:$A$672,B222,'PO detail'!$B$2:$B$672,C222,'PO detail'!$G$2:$G$672,"&gt;="&amp;D222,'PO detail'!$G$2:$G$672,"&lt;"&amp;A222)</x:f>
        <x:v>0</x:v>
      </x:c>
      <x:c r="I222" s="8" t="n">
        <x:f>SUMIFS('PO detail'!$V$2:$V$672,'PO detail'!$A$2:$A$672,B222,'PO detail'!$B$2:$B$672,C222,'PO detail'!$G$2:$G$672,"&gt;="&amp;D222,'PO detail'!$G$2:$G$672,"&lt;"&amp;A222)</x:f>
        <x:v>0</x:v>
      </x:c>
      <x:c r="J222" s="8" t="n">
        <x:f>SUMIFS('PO detail'!$W$2:$W$672,'PO detail'!$A$2:$A$672,B222,'PO detail'!$B$2:$B$672,C222,'PO detail'!$G$2:$G$672,"&gt;="&amp;D222,'PO detail'!$G$2:$G$672,"&lt;"&amp;A222)</x:f>
        <x:v>0</x:v>
      </x:c>
      <x:c r="K222" s="8" t="n">
        <x:f>'Current inventory'!E96*Summary!$D$6*(A222-D222)/30.4375</x:f>
        <x:v>0</x:v>
      </x:c>
      <x:c r="L222" s="8" t="n">
        <x:f>MAX(0,E222+H222-K222)</x:f>
        <x:v>0</x:v>
      </x:c>
      <x:c r="M222" s="8" t="n">
        <x:f>MAX(0,F222+I222-MAX(0,K222-E222-H222))</x:f>
        <x:v>0</x:v>
      </x:c>
      <x:c r="N222" s="8" t="n">
        <x:f>MAX(0,G222+J222-K222)</x:f>
        <x:v>0</x:v>
      </x:c>
      <x:c r="O222" s="8" t="n">
        <x:f>SUM(L222:N222)</x:f>
        <x:v>0</x:v>
      </x:c>
      <x:c r="P222" s="14" t="n">
        <x:f>'Current inventory'!V96</x:f>
        <x:v>0.0898</x:v>
      </x:c>
      <x:c r="Q222" s="14" t="str">
        <x:f>'Current inventory'!W96</x:f>
        <x:v>n.a.</x:v>
      </x:c>
      <x:c r="R222" s="10" t="n">
        <x:f>L222*P222</x:f>
        <x:v>0</x:v>
      </x:c>
      <x:c r="S222" s="10" t="n">
        <x:f>M222*P222</x:f>
        <x:v>0</x:v>
      </x:c>
      <x:c r="T222" s="10" t="n">
        <x:f>N222*P222</x:f>
        <x:v>0</x:v>
      </x:c>
      <x:c r="U222" s="10" t="n">
        <x:f>O222*P222</x:f>
        <x:v>0</x:v>
      </x:c>
      <x:c r="V222" s="10" t="str">
        <x:f>IF(ISNUMBER(Q222),O222*(Q222-P222),"n.a.")</x:f>
        <x:v>n.a.</x:v>
      </x:c>
      <x:c r="W222" s="10" t="n">
        <x:f>IF(ISNUMBER(Q222),U222,0)</x:f>
        <x:v>0</x:v>
      </x:c>
      <x:c r="X222" s="8" t="n">
        <x:f>MAX(0,K222-SUM(E222:J222))</x:f>
        <x:v>0</x:v>
      </x:c>
      <x:c r="Y222" s="1" t="str">
        <x:f>IF(AND(O222&gt;0,NOT(ISNUMBER(Q222))),"No proposed replacement standard",IF(X222&gt;0,"Demand exceeds available stock",""))</x:f>
      </x:c>
      <x:c r="Z222" s="1" t="n">
        <x:f>IF(ISNUMBER(Q222),1,0)</x:f>
        <x:v>0</x:v>
      </x:c>
    </x:row>
    <x:row r="223" ht="21" customHeight="1">
      <x:c r="A223" s="17" t="n">
        <x:f>Summary!B16</x:f>
        <x:v>46357</x:v>
      </x:c>
      <x:c r="B223" s="1" t="str">
        <x:f>'Current inventory'!A97</x:f>
        <x:v>30</x:v>
      </x:c>
      <x:c r="C223" s="1" t="str">
        <x:f>'Current inventory'!B97</x:f>
        <x:v>800WBLKASC</x:v>
      </x:c>
      <x:c r="D223" s="7" t="n">
        <x:f>A97</x:f>
        <x:v>46327</x:v>
      </x:c>
      <x:c r="E223" s="8" t="n">
        <x:f>L97</x:f>
        <x:v>0</x:v>
      </x:c>
      <x:c r="F223" s="8" t="n">
        <x:f>M97</x:f>
        <x:v>0</x:v>
      </x:c>
      <x:c r="G223" s="8" t="n">
        <x:f>N97</x:f>
        <x:v>0</x:v>
      </x:c>
      <x:c r="H223" s="8" t="n">
        <x:f>SUMIFS('PO detail'!$U$2:$U$672,'PO detail'!$A$2:$A$672,B223,'PO detail'!$B$2:$B$672,C223,'PO detail'!$G$2:$G$672,"&gt;="&amp;D223,'PO detail'!$G$2:$G$672,"&lt;"&amp;A223)</x:f>
        <x:v>0</x:v>
      </x:c>
      <x:c r="I223" s="8" t="n">
        <x:f>SUMIFS('PO detail'!$V$2:$V$672,'PO detail'!$A$2:$A$672,B223,'PO detail'!$B$2:$B$672,C223,'PO detail'!$G$2:$G$672,"&gt;="&amp;D223,'PO detail'!$G$2:$G$672,"&lt;"&amp;A223)</x:f>
        <x:v>0</x:v>
      </x:c>
      <x:c r="J223" s="8" t="n">
        <x:f>SUMIFS('PO detail'!$W$2:$W$672,'PO detail'!$A$2:$A$672,B223,'PO detail'!$B$2:$B$672,C223,'PO detail'!$G$2:$G$672,"&gt;="&amp;D223,'PO detail'!$G$2:$G$672,"&lt;"&amp;A223)</x:f>
        <x:v>0</x:v>
      </x:c>
      <x:c r="K223" s="8" t="n">
        <x:f>'Current inventory'!E97*Summary!$D$6*(A223-D223)/30.4375</x:f>
        <x:v>0</x:v>
      </x:c>
      <x:c r="L223" s="8" t="n">
        <x:f>MAX(0,E223+H223-K223)</x:f>
        <x:v>0</x:v>
      </x:c>
      <x:c r="M223" s="8" t="n">
        <x:f>MAX(0,F223+I223-MAX(0,K223-E223-H223))</x:f>
        <x:v>0</x:v>
      </x:c>
      <x:c r="N223" s="8" t="n">
        <x:f>MAX(0,G223+J223-K223)</x:f>
        <x:v>0</x:v>
      </x:c>
      <x:c r="O223" s="8" t="n">
        <x:f>SUM(L223:N223)</x:f>
        <x:v>0</x:v>
      </x:c>
      <x:c r="P223" s="14" t="n">
        <x:f>'Current inventory'!V97</x:f>
        <x:v>0.111</x:v>
      </x:c>
      <x:c r="Q223" s="14" t="str">
        <x:f>'Current inventory'!W97</x:f>
        <x:v>n.a.</x:v>
      </x:c>
      <x:c r="R223" s="10" t="n">
        <x:f>L223*P223</x:f>
        <x:v>0</x:v>
      </x:c>
      <x:c r="S223" s="10" t="n">
        <x:f>M223*P223</x:f>
        <x:v>0</x:v>
      </x:c>
      <x:c r="T223" s="10" t="n">
        <x:f>N223*P223</x:f>
        <x:v>0</x:v>
      </x:c>
      <x:c r="U223" s="10" t="n">
        <x:f>O223*P223</x:f>
        <x:v>0</x:v>
      </x:c>
      <x:c r="V223" s="10" t="str">
        <x:f>IF(ISNUMBER(Q223),O223*(Q223-P223),"n.a.")</x:f>
        <x:v>n.a.</x:v>
      </x:c>
      <x:c r="W223" s="10" t="n">
        <x:f>IF(ISNUMBER(Q223),U223,0)</x:f>
        <x:v>0</x:v>
      </x:c>
      <x:c r="X223" s="8" t="n">
        <x:f>MAX(0,K223-SUM(E223:J223))</x:f>
        <x:v>0</x:v>
      </x:c>
      <x:c r="Y223" s="1" t="str">
        <x:f>IF(AND(O223&gt;0,NOT(ISNUMBER(Q223))),"No proposed replacement standard",IF(X223&gt;0,"Demand exceeds available stock",""))</x:f>
      </x:c>
      <x:c r="Z223" s="1" t="n">
        <x:f>IF(ISNUMBER(Q223),1,0)</x:f>
        <x:v>0</x:v>
      </x:c>
    </x:row>
    <x:row r="224" ht="21" customHeight="1">
      <x:c r="A224" s="17" t="n">
        <x:f>Summary!B16</x:f>
        <x:v>46357</x:v>
      </x:c>
      <x:c r="B224" s="1" t="str">
        <x:f>'Current inventory'!A98</x:f>
        <x:v>30</x:v>
      </x:c>
      <x:c r="C224" s="1" t="str">
        <x:f>'Current inventory'!B98</x:f>
        <x:v>800WNAVASC</x:v>
      </x:c>
      <x:c r="D224" s="7" t="n">
        <x:f>A98</x:f>
        <x:v>46327</x:v>
      </x:c>
      <x:c r="E224" s="8" t="n">
        <x:f>L98</x:f>
        <x:v>0</x:v>
      </x:c>
      <x:c r="F224" s="8" t="n">
        <x:f>M98</x:f>
        <x:v>0</x:v>
      </x:c>
      <x:c r="G224" s="8" t="n">
        <x:f>N98</x:f>
        <x:v>0</x:v>
      </x:c>
      <x:c r="H224" s="8" t="n">
        <x:f>SUMIFS('PO detail'!$U$2:$U$672,'PO detail'!$A$2:$A$672,B224,'PO detail'!$B$2:$B$672,C224,'PO detail'!$G$2:$G$672,"&gt;="&amp;D224,'PO detail'!$G$2:$G$672,"&lt;"&amp;A224)</x:f>
        <x:v>0</x:v>
      </x:c>
      <x:c r="I224" s="8" t="n">
        <x:f>SUMIFS('PO detail'!$V$2:$V$672,'PO detail'!$A$2:$A$672,B224,'PO detail'!$B$2:$B$672,C224,'PO detail'!$G$2:$G$672,"&gt;="&amp;D224,'PO detail'!$G$2:$G$672,"&lt;"&amp;A224)</x:f>
        <x:v>0</x:v>
      </x:c>
      <x:c r="J224" s="8" t="n">
        <x:f>SUMIFS('PO detail'!$W$2:$W$672,'PO detail'!$A$2:$A$672,B224,'PO detail'!$B$2:$B$672,C224,'PO detail'!$G$2:$G$672,"&gt;="&amp;D224,'PO detail'!$G$2:$G$672,"&lt;"&amp;A224)</x:f>
        <x:v>0</x:v>
      </x:c>
      <x:c r="K224" s="8" t="n">
        <x:f>'Current inventory'!E98*Summary!$D$6*(A224-D224)/30.4375</x:f>
        <x:v>0</x:v>
      </x:c>
      <x:c r="L224" s="8" t="n">
        <x:f>MAX(0,E224+H224-K224)</x:f>
        <x:v>0</x:v>
      </x:c>
      <x:c r="M224" s="8" t="n">
        <x:f>MAX(0,F224+I224-MAX(0,K224-E224-H224))</x:f>
        <x:v>0</x:v>
      </x:c>
      <x:c r="N224" s="8" t="n">
        <x:f>MAX(0,G224+J224-K224)</x:f>
        <x:v>0</x:v>
      </x:c>
      <x:c r="O224" s="8" t="n">
        <x:f>SUM(L224:N224)</x:f>
        <x:v>0</x:v>
      </x:c>
      <x:c r="P224" s="14" t="n">
        <x:f>'Current inventory'!V98</x:f>
        <x:v>0.13570000000000002</x:v>
      </x:c>
      <x:c r="Q224" s="14" t="str">
        <x:f>'Current inventory'!W98</x:f>
        <x:v>n.a.</x:v>
      </x:c>
      <x:c r="R224" s="10" t="n">
        <x:f>L224*P224</x:f>
        <x:v>0</x:v>
      </x:c>
      <x:c r="S224" s="10" t="n">
        <x:f>M224*P224</x:f>
        <x:v>0</x:v>
      </x:c>
      <x:c r="T224" s="10" t="n">
        <x:f>N224*P224</x:f>
        <x:v>0</x:v>
      </x:c>
      <x:c r="U224" s="10" t="n">
        <x:f>O224*P224</x:f>
        <x:v>0</x:v>
      </x:c>
      <x:c r="V224" s="10" t="str">
        <x:f>IF(ISNUMBER(Q224),O224*(Q224-P224),"n.a.")</x:f>
        <x:v>n.a.</x:v>
      </x:c>
      <x:c r="W224" s="10" t="n">
        <x:f>IF(ISNUMBER(Q224),U224,0)</x:f>
        <x:v>0</x:v>
      </x:c>
      <x:c r="X224" s="8" t="n">
        <x:f>MAX(0,K224-SUM(E224:J224))</x:f>
        <x:v>0</x:v>
      </x:c>
      <x:c r="Y224" s="1" t="str">
        <x:f>IF(AND(O224&gt;0,NOT(ISNUMBER(Q224))),"No proposed replacement standard",IF(X224&gt;0,"Demand exceeds available stock",""))</x:f>
      </x:c>
      <x:c r="Z224" s="1" t="n">
        <x:f>IF(ISNUMBER(Q224),1,0)</x:f>
        <x:v>0</x:v>
      </x:c>
    </x:row>
    <x:row r="225" ht="21" customHeight="1">
      <x:c r="A225" s="17" t="n">
        <x:f>Summary!B16</x:f>
        <x:v>46357</x:v>
      </x:c>
      <x:c r="B225" s="1" t="str">
        <x:f>'Current inventory'!A99</x:f>
        <x:v>30</x:v>
      </x:c>
      <x:c r="C225" s="1" t="str">
        <x:f>'Current inventory'!B99</x:f>
        <x:v>800WNAVBRC</x:v>
      </x:c>
      <x:c r="D225" s="7" t="n">
        <x:f>A99</x:f>
        <x:v>46327</x:v>
      </x:c>
      <x:c r="E225" s="8" t="n">
        <x:f>L99</x:f>
        <x:v>0</x:v>
      </x:c>
      <x:c r="F225" s="8" t="n">
        <x:f>M99</x:f>
        <x:v>0</x:v>
      </x:c>
      <x:c r="G225" s="8" t="n">
        <x:f>N99</x:f>
        <x:v>0</x:v>
      </x:c>
      <x:c r="H225" s="8" t="n">
        <x:f>SUMIFS('PO detail'!$U$2:$U$672,'PO detail'!$A$2:$A$672,B225,'PO detail'!$B$2:$B$672,C225,'PO detail'!$G$2:$G$672,"&gt;="&amp;D225,'PO detail'!$G$2:$G$672,"&lt;"&amp;A225)</x:f>
        <x:v>0</x:v>
      </x:c>
      <x:c r="I225" s="8" t="n">
        <x:f>SUMIFS('PO detail'!$V$2:$V$672,'PO detail'!$A$2:$A$672,B225,'PO detail'!$B$2:$B$672,C225,'PO detail'!$G$2:$G$672,"&gt;="&amp;D225,'PO detail'!$G$2:$G$672,"&lt;"&amp;A225)</x:f>
        <x:v>0</x:v>
      </x:c>
      <x:c r="J225" s="8" t="n">
        <x:f>SUMIFS('PO detail'!$W$2:$W$672,'PO detail'!$A$2:$A$672,B225,'PO detail'!$B$2:$B$672,C225,'PO detail'!$G$2:$G$672,"&gt;="&amp;D225,'PO detail'!$G$2:$G$672,"&lt;"&amp;A225)</x:f>
        <x:v>0</x:v>
      </x:c>
      <x:c r="K225" s="8" t="n">
        <x:f>'Current inventory'!E99*Summary!$D$6*(A225-D225)/30.4375</x:f>
        <x:v>0</x:v>
      </x:c>
      <x:c r="L225" s="8" t="n">
        <x:f>MAX(0,E225+H225-K225)</x:f>
        <x:v>0</x:v>
      </x:c>
      <x:c r="M225" s="8" t="n">
        <x:f>MAX(0,F225+I225-MAX(0,K225-E225-H225))</x:f>
        <x:v>0</x:v>
      </x:c>
      <x:c r="N225" s="8" t="n">
        <x:f>MAX(0,G225+J225-K225)</x:f>
        <x:v>0</x:v>
      </x:c>
      <x:c r="O225" s="8" t="n">
        <x:f>SUM(L225:N225)</x:f>
        <x:v>0</x:v>
      </x:c>
      <x:c r="P225" s="14" t="n">
        <x:f>'Current inventory'!V99</x:f>
        <x:v>0.17350000000000002</x:v>
      </x:c>
      <x:c r="Q225" s="14" t="str">
        <x:f>'Current inventory'!W99</x:f>
        <x:v>n.a.</x:v>
      </x:c>
      <x:c r="R225" s="10" t="n">
        <x:f>L225*P225</x:f>
        <x:v>0</x:v>
      </x:c>
      <x:c r="S225" s="10" t="n">
        <x:f>M225*P225</x:f>
        <x:v>0</x:v>
      </x:c>
      <x:c r="T225" s="10" t="n">
        <x:f>N225*P225</x:f>
        <x:v>0</x:v>
      </x:c>
      <x:c r="U225" s="10" t="n">
        <x:f>O225*P225</x:f>
        <x:v>0</x:v>
      </x:c>
      <x:c r="V225" s="10" t="str">
        <x:f>IF(ISNUMBER(Q225),O225*(Q225-P225),"n.a.")</x:f>
        <x:v>n.a.</x:v>
      </x:c>
      <x:c r="W225" s="10" t="n">
        <x:f>IF(ISNUMBER(Q225),U225,0)</x:f>
        <x:v>0</x:v>
      </x:c>
      <x:c r="X225" s="8" t="n">
        <x:f>MAX(0,K225-SUM(E225:J225))</x:f>
        <x:v>0</x:v>
      </x:c>
      <x:c r="Y225" s="1" t="str">
        <x:f>IF(AND(O225&gt;0,NOT(ISNUMBER(Q225))),"No proposed replacement standard",IF(X225&gt;0,"Demand exceeds available stock",""))</x:f>
      </x:c>
      <x:c r="Z225" s="1" t="n">
        <x:f>IF(ISNUMBER(Q225),1,0)</x:f>
        <x:v>0</x:v>
      </x:c>
    </x:row>
    <x:row r="226" ht="21" customHeight="1">
      <x:c r="A226" s="17" t="n">
        <x:f>Summary!B16</x:f>
        <x:v>46357</x:v>
      </x:c>
      <x:c r="B226" s="1" t="str">
        <x:f>'Current inventory'!A100</x:f>
        <x:v>60</x:v>
      </x:c>
      <x:c r="C226" s="1" t="str">
        <x:f>'Current inventory'!B100</x:f>
        <x:v>800BFGASC</x:v>
      </x:c>
      <x:c r="D226" s="7" t="n">
        <x:f>A100</x:f>
        <x:v>46327</x:v>
      </x:c>
      <x:c r="E226" s="8" t="n">
        <x:f>L100</x:f>
        <x:v>0</x:v>
      </x:c>
      <x:c r="F226" s="8" t="n">
        <x:f>M100</x:f>
        <x:v>0</x:v>
      </x:c>
      <x:c r="G226" s="8" t="n">
        <x:f>N100</x:f>
        <x:v>0</x:v>
      </x:c>
      <x:c r="H226" s="8" t="n">
        <x:f>SUMIFS('PO detail'!$U$2:$U$672,'PO detail'!$A$2:$A$672,B226,'PO detail'!$B$2:$B$672,C226,'PO detail'!$G$2:$G$672,"&gt;="&amp;D226,'PO detail'!$G$2:$G$672,"&lt;"&amp;A226)</x:f>
        <x:v>0</x:v>
      </x:c>
      <x:c r="I226" s="8" t="n">
        <x:f>SUMIFS('PO detail'!$V$2:$V$672,'PO detail'!$A$2:$A$672,B226,'PO detail'!$B$2:$B$672,C226,'PO detail'!$G$2:$G$672,"&gt;="&amp;D226,'PO detail'!$G$2:$G$672,"&lt;"&amp;A226)</x:f>
        <x:v>0</x:v>
      </x:c>
      <x:c r="J226" s="8" t="n">
        <x:f>SUMIFS('PO detail'!$W$2:$W$672,'PO detail'!$A$2:$A$672,B226,'PO detail'!$B$2:$B$672,C226,'PO detail'!$G$2:$G$672,"&gt;="&amp;D226,'PO detail'!$G$2:$G$672,"&lt;"&amp;A226)</x:f>
        <x:v>0</x:v>
      </x:c>
      <x:c r="K226" s="8" t="n">
        <x:f>'Current inventory'!E100*Summary!$D$6*(A226-D226)/30.4375</x:f>
        <x:v>0</x:v>
      </x:c>
      <x:c r="L226" s="8" t="n">
        <x:f>MAX(0,E226+H226-K226)</x:f>
        <x:v>0</x:v>
      </x:c>
      <x:c r="M226" s="8" t="n">
        <x:f>MAX(0,F226+I226-MAX(0,K226-E226-H226))</x:f>
        <x:v>0</x:v>
      </x:c>
      <x:c r="N226" s="8" t="n">
        <x:f>MAX(0,G226+J226-K226)</x:f>
        <x:v>0</x:v>
      </x:c>
      <x:c r="O226" s="8" t="n">
        <x:f>SUM(L226:N226)</x:f>
        <x:v>0</x:v>
      </x:c>
      <x:c r="P226" s="14" t="n">
        <x:f>'Current inventory'!V100</x:f>
        <x:v>0.1456</x:v>
      </x:c>
      <x:c r="Q226" s="14" t="str">
        <x:f>'Current inventory'!W100</x:f>
        <x:v>n.a.</x:v>
      </x:c>
      <x:c r="R226" s="10" t="n">
        <x:f>L226*P226</x:f>
        <x:v>0</x:v>
      </x:c>
      <x:c r="S226" s="10" t="n">
        <x:f>M226*P226</x:f>
        <x:v>0</x:v>
      </x:c>
      <x:c r="T226" s="10" t="n">
        <x:f>N226*P226</x:f>
        <x:v>0</x:v>
      </x:c>
      <x:c r="U226" s="10" t="n">
        <x:f>O226*P226</x:f>
        <x:v>0</x:v>
      </x:c>
      <x:c r="V226" s="10" t="str">
        <x:f>IF(ISNUMBER(Q226),O226*(Q226-P226),"n.a.")</x:f>
        <x:v>n.a.</x:v>
      </x:c>
      <x:c r="W226" s="10" t="n">
        <x:f>IF(ISNUMBER(Q226),U226,0)</x:f>
        <x:v>0</x:v>
      </x:c>
      <x:c r="X226" s="8" t="n">
        <x:f>MAX(0,K226-SUM(E226:J226))</x:f>
        <x:v>0</x:v>
      </x:c>
      <x:c r="Y226" s="1" t="str">
        <x:f>IF(AND(O226&gt;0,NOT(ISNUMBER(Q226))),"No proposed replacement standard",IF(X226&gt;0,"Demand exceeds available stock",""))</x:f>
      </x:c>
      <x:c r="Z226" s="1" t="n">
        <x:f>IF(ISNUMBER(Q226),1,0)</x:f>
        <x:v>0</x:v>
      </x:c>
    </x:row>
    <x:row r="227" ht="21" customHeight="1">
      <x:c r="A227" s="17" t="n">
        <x:f>Summary!B16</x:f>
        <x:v>46357</x:v>
      </x:c>
      <x:c r="B227" s="1" t="str">
        <x:f>'Current inventory'!A101</x:f>
        <x:v>60</x:v>
      </x:c>
      <x:c r="C227" s="1" t="str">
        <x:f>'Current inventory'!B101</x:f>
        <x:v>800BFGBRC</x:v>
      </x:c>
      <x:c r="D227" s="7" t="n">
        <x:f>A101</x:f>
        <x:v>46327</x:v>
      </x:c>
      <x:c r="E227" s="8" t="n">
        <x:f>L101</x:f>
        <x:v>0</x:v>
      </x:c>
      <x:c r="F227" s="8" t="n">
        <x:f>M101</x:f>
        <x:v>0</x:v>
      </x:c>
      <x:c r="G227" s="8" t="n">
        <x:f>N101</x:f>
        <x:v>0</x:v>
      </x:c>
      <x:c r="H227" s="8" t="n">
        <x:f>SUMIFS('PO detail'!$U$2:$U$672,'PO detail'!$A$2:$A$672,B227,'PO detail'!$B$2:$B$672,C227,'PO detail'!$G$2:$G$672,"&gt;="&amp;D227,'PO detail'!$G$2:$G$672,"&lt;"&amp;A227)</x:f>
        <x:v>0</x:v>
      </x:c>
      <x:c r="I227" s="8" t="n">
        <x:f>SUMIFS('PO detail'!$V$2:$V$672,'PO detail'!$A$2:$A$672,B227,'PO detail'!$B$2:$B$672,C227,'PO detail'!$G$2:$G$672,"&gt;="&amp;D227,'PO detail'!$G$2:$G$672,"&lt;"&amp;A227)</x:f>
        <x:v>0</x:v>
      </x:c>
      <x:c r="J227" s="8" t="n">
        <x:f>SUMIFS('PO detail'!$W$2:$W$672,'PO detail'!$A$2:$A$672,B227,'PO detail'!$B$2:$B$672,C227,'PO detail'!$G$2:$G$672,"&gt;="&amp;D227,'PO detail'!$G$2:$G$672,"&lt;"&amp;A227)</x:f>
        <x:v>0</x:v>
      </x:c>
      <x:c r="K227" s="8" t="n">
        <x:f>'Current inventory'!E101*Summary!$D$6*(A227-D227)/30.4375</x:f>
        <x:v>0</x:v>
      </x:c>
      <x:c r="L227" s="8" t="n">
        <x:f>MAX(0,E227+H227-K227)</x:f>
        <x:v>0</x:v>
      </x:c>
      <x:c r="M227" s="8" t="n">
        <x:f>MAX(0,F227+I227-MAX(0,K227-E227-H227))</x:f>
        <x:v>0</x:v>
      </x:c>
      <x:c r="N227" s="8" t="n">
        <x:f>MAX(0,G227+J227-K227)</x:f>
        <x:v>0</x:v>
      </x:c>
      <x:c r="O227" s="8" t="n">
        <x:f>SUM(L227:N227)</x:f>
        <x:v>0</x:v>
      </x:c>
      <x:c r="P227" s="14" t="n">
        <x:f>'Current inventory'!V101</x:f>
        <x:v>0.18469999999999998</x:v>
      </x:c>
      <x:c r="Q227" s="14" t="str">
        <x:f>'Current inventory'!W101</x:f>
        <x:v>n.a.</x:v>
      </x:c>
      <x:c r="R227" s="10" t="n">
        <x:f>L227*P227</x:f>
        <x:v>0</x:v>
      </x:c>
      <x:c r="S227" s="10" t="n">
        <x:f>M227*P227</x:f>
        <x:v>0</x:v>
      </x:c>
      <x:c r="T227" s="10" t="n">
        <x:f>N227*P227</x:f>
        <x:v>0</x:v>
      </x:c>
      <x:c r="U227" s="10" t="n">
        <x:f>O227*P227</x:f>
        <x:v>0</x:v>
      </x:c>
      <x:c r="V227" s="10" t="str">
        <x:f>IF(ISNUMBER(Q227),O227*(Q227-P227),"n.a.")</x:f>
        <x:v>n.a.</x:v>
      </x:c>
      <x:c r="W227" s="10" t="n">
        <x:f>IF(ISNUMBER(Q227),U227,0)</x:f>
        <x:v>0</x:v>
      </x:c>
      <x:c r="X227" s="8" t="n">
        <x:f>MAX(0,K227-SUM(E227:J227))</x:f>
        <x:v>0</x:v>
      </x:c>
      <x:c r="Y227" s="1" t="str">
        <x:f>IF(AND(O227&gt;0,NOT(ISNUMBER(Q227))),"No proposed replacement standard",IF(X227&gt;0,"Demand exceeds available stock",""))</x:f>
      </x:c>
      <x:c r="Z227" s="1" t="n">
        <x:f>IF(ISNUMBER(Q227),1,0)</x:f>
        <x:v>0</x:v>
      </x:c>
    </x:row>
    <x:row r="228" ht="21" customHeight="1">
      <x:c r="A228" s="17" t="n">
        <x:f>Summary!B16</x:f>
        <x:v>46357</x:v>
      </x:c>
      <x:c r="B228" s="1" t="str">
        <x:f>'Current inventory'!A102</x:f>
        <x:v>60</x:v>
      </x:c>
      <x:c r="C228" s="1" t="str">
        <x:f>'Current inventory'!B102</x:f>
        <x:v>800BFGCSC</x:v>
      </x:c>
      <x:c r="D228" s="7" t="n">
        <x:f>A102</x:f>
        <x:v>46327</x:v>
      </x:c>
      <x:c r="E228" s="8" t="n">
        <x:f>L102</x:f>
        <x:v>0</x:v>
      </x:c>
      <x:c r="F228" s="8" t="n">
        <x:f>M102</x:f>
        <x:v>0</x:v>
      </x:c>
      <x:c r="G228" s="8" t="n">
        <x:f>N102</x:f>
        <x:v>0</x:v>
      </x:c>
      <x:c r="H228" s="8" t="n">
        <x:f>SUMIFS('PO detail'!$U$2:$U$672,'PO detail'!$A$2:$A$672,B228,'PO detail'!$B$2:$B$672,C228,'PO detail'!$G$2:$G$672,"&gt;="&amp;D228,'PO detail'!$G$2:$G$672,"&lt;"&amp;A228)</x:f>
        <x:v>0</x:v>
      </x:c>
      <x:c r="I228" s="8" t="n">
        <x:f>SUMIFS('PO detail'!$V$2:$V$672,'PO detail'!$A$2:$A$672,B228,'PO detail'!$B$2:$B$672,C228,'PO detail'!$G$2:$G$672,"&gt;="&amp;D228,'PO detail'!$G$2:$G$672,"&lt;"&amp;A228)</x:f>
        <x:v>0</x:v>
      </x:c>
      <x:c r="J228" s="8" t="n">
        <x:f>SUMIFS('PO detail'!$W$2:$W$672,'PO detail'!$A$2:$A$672,B228,'PO detail'!$B$2:$B$672,C228,'PO detail'!$G$2:$G$672,"&gt;="&amp;D228,'PO detail'!$G$2:$G$672,"&lt;"&amp;A228)</x:f>
        <x:v>0</x:v>
      </x:c>
      <x:c r="K228" s="8" t="n">
        <x:f>'Current inventory'!E102*Summary!$D$6*(A228-D228)/30.4375</x:f>
        <x:v>0</x:v>
      </x:c>
      <x:c r="L228" s="8" t="n">
        <x:f>MAX(0,E228+H228-K228)</x:f>
        <x:v>0</x:v>
      </x:c>
      <x:c r="M228" s="8" t="n">
        <x:f>MAX(0,F228+I228-MAX(0,K228-E228-H228))</x:f>
        <x:v>0</x:v>
      </x:c>
      <x:c r="N228" s="8" t="n">
        <x:f>MAX(0,G228+J228-K228)</x:f>
        <x:v>0</x:v>
      </x:c>
      <x:c r="O228" s="8" t="n">
        <x:f>SUM(L228:N228)</x:f>
        <x:v>0</x:v>
      </x:c>
      <x:c r="P228" s="14" t="n">
        <x:f>'Current inventory'!V102</x:f>
        <x:v>0.21559999999999999</x:v>
      </x:c>
      <x:c r="Q228" s="14" t="str">
        <x:f>'Current inventory'!W102</x:f>
        <x:v>n.a.</x:v>
      </x:c>
      <x:c r="R228" s="10" t="n">
        <x:f>L228*P228</x:f>
        <x:v>0</x:v>
      </x:c>
      <x:c r="S228" s="10" t="n">
        <x:f>M228*P228</x:f>
        <x:v>0</x:v>
      </x:c>
      <x:c r="T228" s="10" t="n">
        <x:f>N228*P228</x:f>
        <x:v>0</x:v>
      </x:c>
      <x:c r="U228" s="10" t="n">
        <x:f>O228*P228</x:f>
        <x:v>0</x:v>
      </x:c>
      <x:c r="V228" s="10" t="str">
        <x:f>IF(ISNUMBER(Q228),O228*(Q228-P228),"n.a.")</x:f>
        <x:v>n.a.</x:v>
      </x:c>
      <x:c r="W228" s="10" t="n">
        <x:f>IF(ISNUMBER(Q228),U228,0)</x:f>
        <x:v>0</x:v>
      </x:c>
      <x:c r="X228" s="8" t="n">
        <x:f>MAX(0,K228-SUM(E228:J228))</x:f>
        <x:v>0</x:v>
      </x:c>
      <x:c r="Y228" s="1" t="str">
        <x:f>IF(AND(O228&gt;0,NOT(ISNUMBER(Q228))),"No proposed replacement standard",IF(X228&gt;0,"Demand exceeds available stock",""))</x:f>
      </x:c>
      <x:c r="Z228" s="1" t="n">
        <x:f>IF(ISNUMBER(Q228),1,0)</x:f>
        <x:v>0</x:v>
      </x:c>
    </x:row>
    <x:row r="229" ht="21" customHeight="1">
      <x:c r="A229" s="17" t="n">
        <x:f>Summary!B16</x:f>
        <x:v>46357</x:v>
      </x:c>
      <x:c r="B229" s="1" t="str">
        <x:f>'Current inventory'!A103</x:f>
        <x:v>60</x:v>
      </x:c>
      <x:c r="C229" s="1" t="str">
        <x:f>'Current inventory'!B103</x:f>
        <x:v>800BFGDSC</x:v>
      </x:c>
      <x:c r="D229" s="7" t="n">
        <x:f>A103</x:f>
        <x:v>46327</x:v>
      </x:c>
      <x:c r="E229" s="8" t="n">
        <x:f>L103</x:f>
        <x:v>0</x:v>
      </x:c>
      <x:c r="F229" s="8" t="n">
        <x:f>M103</x:f>
        <x:v>0</x:v>
      </x:c>
      <x:c r="G229" s="8" t="n">
        <x:f>N103</x:f>
        <x:v>0</x:v>
      </x:c>
      <x:c r="H229" s="8" t="n">
        <x:f>SUMIFS('PO detail'!$U$2:$U$672,'PO detail'!$A$2:$A$672,B229,'PO detail'!$B$2:$B$672,C229,'PO detail'!$G$2:$G$672,"&gt;="&amp;D229,'PO detail'!$G$2:$G$672,"&lt;"&amp;A229)</x:f>
        <x:v>0</x:v>
      </x:c>
      <x:c r="I229" s="8" t="n">
        <x:f>SUMIFS('PO detail'!$V$2:$V$672,'PO detail'!$A$2:$A$672,B229,'PO detail'!$B$2:$B$672,C229,'PO detail'!$G$2:$G$672,"&gt;="&amp;D229,'PO detail'!$G$2:$G$672,"&lt;"&amp;A229)</x:f>
        <x:v>0</x:v>
      </x:c>
      <x:c r="J229" s="8" t="n">
        <x:f>SUMIFS('PO detail'!$W$2:$W$672,'PO detail'!$A$2:$A$672,B229,'PO detail'!$B$2:$B$672,C229,'PO detail'!$G$2:$G$672,"&gt;="&amp;D229,'PO detail'!$G$2:$G$672,"&lt;"&amp;A229)</x:f>
        <x:v>0</x:v>
      </x:c>
      <x:c r="K229" s="8" t="n">
        <x:f>'Current inventory'!E103*Summary!$D$6*(A229-D229)/30.4375</x:f>
        <x:v>0</x:v>
      </x:c>
      <x:c r="L229" s="8" t="n">
        <x:f>MAX(0,E229+H229-K229)</x:f>
        <x:v>0</x:v>
      </x:c>
      <x:c r="M229" s="8" t="n">
        <x:f>MAX(0,F229+I229-MAX(0,K229-E229-H229))</x:f>
        <x:v>0</x:v>
      </x:c>
      <x:c r="N229" s="8" t="n">
        <x:f>MAX(0,G229+J229-K229)</x:f>
        <x:v>0</x:v>
      </x:c>
      <x:c r="O229" s="8" t="n">
        <x:f>SUM(L229:N229)</x:f>
        <x:v>0</x:v>
      </x:c>
      <x:c r="P229" s="14" t="n">
        <x:f>'Current inventory'!V103</x:f>
        <x:v>0.38</x:v>
      </x:c>
      <x:c r="Q229" s="14" t="str">
        <x:f>'Current inventory'!W103</x:f>
        <x:v>n.a.</x:v>
      </x:c>
      <x:c r="R229" s="10" t="n">
        <x:f>L229*P229</x:f>
        <x:v>0</x:v>
      </x:c>
      <x:c r="S229" s="10" t="n">
        <x:f>M229*P229</x:f>
        <x:v>0</x:v>
      </x:c>
      <x:c r="T229" s="10" t="n">
        <x:f>N229*P229</x:f>
        <x:v>0</x:v>
      </x:c>
      <x:c r="U229" s="10" t="n">
        <x:f>O229*P229</x:f>
        <x:v>0</x:v>
      </x:c>
      <x:c r="V229" s="10" t="str">
        <x:f>IF(ISNUMBER(Q229),O229*(Q229-P229),"n.a.")</x:f>
        <x:v>n.a.</x:v>
      </x:c>
      <x:c r="W229" s="10" t="n">
        <x:f>IF(ISNUMBER(Q229),U229,0)</x:f>
        <x:v>0</x:v>
      </x:c>
      <x:c r="X229" s="8" t="n">
        <x:f>MAX(0,K229-SUM(E229:J229))</x:f>
        <x:v>0</x:v>
      </x:c>
      <x:c r="Y229" s="1" t="str">
        <x:f>IF(AND(O229&gt;0,NOT(ISNUMBER(Q229))),"No proposed replacement standard",IF(X229&gt;0,"Demand exceeds available stock",""))</x:f>
      </x:c>
      <x:c r="Z229" s="1" t="n">
        <x:f>IF(ISNUMBER(Q229),1,0)</x:f>
        <x:v>0</x:v>
      </x:c>
    </x:row>
    <x:row r="230" ht="21" customHeight="1">
      <x:c r="A230" s="17" t="n">
        <x:f>Summary!B16</x:f>
        <x:v>46357</x:v>
      </x:c>
      <x:c r="B230" s="1" t="str">
        <x:f>'Current inventory'!A104</x:f>
        <x:v>60</x:v>
      </x:c>
      <x:c r="C230" s="1" t="str">
        <x:f>'Current inventory'!B104</x:f>
        <x:v>800BFGISC</x:v>
      </x:c>
      <x:c r="D230" s="7" t="n">
        <x:f>A104</x:f>
        <x:v>46327</x:v>
      </x:c>
      <x:c r="E230" s="8" t="n">
        <x:f>L104</x:f>
        <x:v>0</x:v>
      </x:c>
      <x:c r="F230" s="8" t="n">
        <x:f>M104</x:f>
        <x:v>0</x:v>
      </x:c>
      <x:c r="G230" s="8" t="n">
        <x:f>N104</x:f>
        <x:v>0</x:v>
      </x:c>
      <x:c r="H230" s="8" t="n">
        <x:f>SUMIFS('PO detail'!$U$2:$U$672,'PO detail'!$A$2:$A$672,B230,'PO detail'!$B$2:$B$672,C230,'PO detail'!$G$2:$G$672,"&gt;="&amp;D230,'PO detail'!$G$2:$G$672,"&lt;"&amp;A230)</x:f>
        <x:v>0</x:v>
      </x:c>
      <x:c r="I230" s="8" t="n">
        <x:f>SUMIFS('PO detail'!$V$2:$V$672,'PO detail'!$A$2:$A$672,B230,'PO detail'!$B$2:$B$672,C230,'PO detail'!$G$2:$G$672,"&gt;="&amp;D230,'PO detail'!$G$2:$G$672,"&lt;"&amp;A230)</x:f>
        <x:v>0</x:v>
      </x:c>
      <x:c r="J230" s="8" t="n">
        <x:f>SUMIFS('PO detail'!$W$2:$W$672,'PO detail'!$A$2:$A$672,B230,'PO detail'!$B$2:$B$672,C230,'PO detail'!$G$2:$G$672,"&gt;="&amp;D230,'PO detail'!$G$2:$G$672,"&lt;"&amp;A230)</x:f>
        <x:v>0</x:v>
      </x:c>
      <x:c r="K230" s="8" t="n">
        <x:f>'Current inventory'!E104*Summary!$D$6*(A230-D230)/30.4375</x:f>
        <x:v>0</x:v>
      </x:c>
      <x:c r="L230" s="8" t="n">
        <x:f>MAX(0,E230+H230-K230)</x:f>
        <x:v>0</x:v>
      </x:c>
      <x:c r="M230" s="8" t="n">
        <x:f>MAX(0,F230+I230-MAX(0,K230-E230-H230))</x:f>
        <x:v>0</x:v>
      </x:c>
      <x:c r="N230" s="8" t="n">
        <x:f>MAX(0,G230+J230-K230)</x:f>
        <x:v>0</x:v>
      </x:c>
      <x:c r="O230" s="8" t="n">
        <x:f>SUM(L230:N230)</x:f>
        <x:v>0</x:v>
      </x:c>
      <x:c r="P230" s="14" t="n">
        <x:f>'Current inventory'!V104</x:f>
        <x:v>0.1797</x:v>
      </x:c>
      <x:c r="Q230" s="14" t="str">
        <x:f>'Current inventory'!W104</x:f>
        <x:v>n.a.</x:v>
      </x:c>
      <x:c r="R230" s="10" t="n">
        <x:f>L230*P230</x:f>
        <x:v>0</x:v>
      </x:c>
      <x:c r="S230" s="10" t="n">
        <x:f>M230*P230</x:f>
        <x:v>0</x:v>
      </x:c>
      <x:c r="T230" s="10" t="n">
        <x:f>N230*P230</x:f>
        <x:v>0</x:v>
      </x:c>
      <x:c r="U230" s="10" t="n">
        <x:f>O230*P230</x:f>
        <x:v>0</x:v>
      </x:c>
      <x:c r="V230" s="10" t="str">
        <x:f>IF(ISNUMBER(Q230),O230*(Q230-P230),"n.a.")</x:f>
        <x:v>n.a.</x:v>
      </x:c>
      <x:c r="W230" s="10" t="n">
        <x:f>IF(ISNUMBER(Q230),U230,0)</x:f>
        <x:v>0</x:v>
      </x:c>
      <x:c r="X230" s="8" t="n">
        <x:f>MAX(0,K230-SUM(E230:J230))</x:f>
        <x:v>0</x:v>
      </x:c>
      <x:c r="Y230" s="1" t="str">
        <x:f>IF(AND(O230&gt;0,NOT(ISNUMBER(Q230))),"No proposed replacement standard",IF(X230&gt;0,"Demand exceeds available stock",""))</x:f>
      </x:c>
      <x:c r="Z230" s="1" t="n">
        <x:f>IF(ISNUMBER(Q230),1,0)</x:f>
        <x:v>0</x:v>
      </x:c>
    </x:row>
    <x:row r="231" ht="21" customHeight="1">
      <x:c r="A231" s="17" t="n">
        <x:f>Summary!B16</x:f>
        <x:v>46357</x:v>
      </x:c>
      <x:c r="B231" s="1" t="str">
        <x:f>'Current inventory'!A105</x:f>
        <x:v>60</x:v>
      </x:c>
      <x:c r="C231" s="1" t="str">
        <x:f>'Current inventory'!B105</x:f>
        <x:v>800BLKF</x:v>
      </x:c>
      <x:c r="D231" s="7" t="n">
        <x:f>A105</x:f>
        <x:v>46327</x:v>
      </x:c>
      <x:c r="E231" s="8" t="n">
        <x:f>L105</x:f>
        <x:v>0</x:v>
      </x:c>
      <x:c r="F231" s="8" t="n">
        <x:f>M105</x:f>
        <x:v>0</x:v>
      </x:c>
      <x:c r="G231" s="8" t="n">
        <x:f>N105</x:f>
        <x:v>0</x:v>
      </x:c>
      <x:c r="H231" s="8" t="n">
        <x:f>SUMIFS('PO detail'!$U$2:$U$672,'PO detail'!$A$2:$A$672,B231,'PO detail'!$B$2:$B$672,C231,'PO detail'!$G$2:$G$672,"&gt;="&amp;D231,'PO detail'!$G$2:$G$672,"&lt;"&amp;A231)</x:f>
        <x:v>0</x:v>
      </x:c>
      <x:c r="I231" s="8" t="n">
        <x:f>SUMIFS('PO detail'!$V$2:$V$672,'PO detail'!$A$2:$A$672,B231,'PO detail'!$B$2:$B$672,C231,'PO detail'!$G$2:$G$672,"&gt;="&amp;D231,'PO detail'!$G$2:$G$672,"&lt;"&amp;A231)</x:f>
        <x:v>0</x:v>
      </x:c>
      <x:c r="J231" s="8" t="n">
        <x:f>SUMIFS('PO detail'!$W$2:$W$672,'PO detail'!$A$2:$A$672,B231,'PO detail'!$B$2:$B$672,C231,'PO detail'!$G$2:$G$672,"&gt;="&amp;D231,'PO detail'!$G$2:$G$672,"&lt;"&amp;A231)</x:f>
        <x:v>0</x:v>
      </x:c>
      <x:c r="K231" s="8" t="n">
        <x:f>'Current inventory'!E105*Summary!$D$6*(A231-D231)/30.4375</x:f>
        <x:v>0</x:v>
      </x:c>
      <x:c r="L231" s="8" t="n">
        <x:f>MAX(0,E231+H231-K231)</x:f>
        <x:v>0</x:v>
      </x:c>
      <x:c r="M231" s="8" t="n">
        <x:f>MAX(0,F231+I231-MAX(0,K231-E231-H231))</x:f>
        <x:v>0</x:v>
      </x:c>
      <x:c r="N231" s="8" t="n">
        <x:f>MAX(0,G231+J231-K231)</x:f>
        <x:v>0</x:v>
      </x:c>
      <x:c r="O231" s="8" t="n">
        <x:f>SUM(L231:N231)</x:f>
        <x:v>0</x:v>
      </x:c>
      <x:c r="P231" s="14" t="n">
        <x:f>'Current inventory'!V105</x:f>
        <x:v>7.03</x:v>
      </x:c>
      <x:c r="Q231" s="14" t="str">
        <x:f>'Current inventory'!W105</x:f>
        <x:v>n.a.</x:v>
      </x:c>
      <x:c r="R231" s="10" t="n">
        <x:f>L231*P231</x:f>
        <x:v>0</x:v>
      </x:c>
      <x:c r="S231" s="10" t="n">
        <x:f>M231*P231</x:f>
        <x:v>0</x:v>
      </x:c>
      <x:c r="T231" s="10" t="n">
        <x:f>N231*P231</x:f>
        <x:v>0</x:v>
      </x:c>
      <x:c r="U231" s="10" t="n">
        <x:f>O231*P231</x:f>
        <x:v>0</x:v>
      </x:c>
      <x:c r="V231" s="10" t="str">
        <x:f>IF(ISNUMBER(Q231),O231*(Q231-P231),"n.a.")</x:f>
        <x:v>n.a.</x:v>
      </x:c>
      <x:c r="W231" s="10" t="n">
        <x:f>IF(ISNUMBER(Q231),U231,0)</x:f>
        <x:v>0</x:v>
      </x:c>
      <x:c r="X231" s="8" t="n">
        <x:f>MAX(0,K231-SUM(E231:J231))</x:f>
        <x:v>0</x:v>
      </x:c>
      <x:c r="Y231" s="1" t="str">
        <x:f>IF(AND(O231&gt;0,NOT(ISNUMBER(Q231))),"No proposed replacement standard",IF(X231&gt;0,"Demand exceeds available stock",""))</x:f>
      </x:c>
      <x:c r="Z231" s="1" t="n">
        <x:f>IF(ISNUMBER(Q231),1,0)</x:f>
        <x:v>0</x:v>
      </x:c>
    </x:row>
    <x:row r="232" ht="21" customHeight="1">
      <x:c r="A232" s="17" t="n">
        <x:f>Summary!B16</x:f>
        <x:v>46357</x:v>
      </x:c>
      <x:c r="B232" s="1" t="str">
        <x:f>'Current inventory'!A106</x:f>
        <x:v>60</x:v>
      </x:c>
      <x:c r="C232" s="1" t="str">
        <x:f>'Current inventory'!B106</x:f>
        <x:v>800BWHTASC</x:v>
      </x:c>
      <x:c r="D232" s="7" t="n">
        <x:f>A106</x:f>
        <x:v>46327</x:v>
      </x:c>
      <x:c r="E232" s="8" t="n">
        <x:f>L106</x:f>
        <x:v>0</x:v>
      </x:c>
      <x:c r="F232" s="8" t="n">
        <x:f>M106</x:f>
        <x:v>0</x:v>
      </x:c>
      <x:c r="G232" s="8" t="n">
        <x:f>N106</x:f>
        <x:v>0</x:v>
      </x:c>
      <x:c r="H232" s="8" t="n">
        <x:f>SUMIFS('PO detail'!$U$2:$U$672,'PO detail'!$A$2:$A$672,B232,'PO detail'!$B$2:$B$672,C232,'PO detail'!$G$2:$G$672,"&gt;="&amp;D232,'PO detail'!$G$2:$G$672,"&lt;"&amp;A232)</x:f>
        <x:v>0</x:v>
      </x:c>
      <x:c r="I232" s="8" t="n">
        <x:f>SUMIFS('PO detail'!$V$2:$V$672,'PO detail'!$A$2:$A$672,B232,'PO detail'!$B$2:$B$672,C232,'PO detail'!$G$2:$G$672,"&gt;="&amp;D232,'PO detail'!$G$2:$G$672,"&lt;"&amp;A232)</x:f>
        <x:v>0</x:v>
      </x:c>
      <x:c r="J232" s="8" t="n">
        <x:f>SUMIFS('PO detail'!$W$2:$W$672,'PO detail'!$A$2:$A$672,B232,'PO detail'!$B$2:$B$672,C232,'PO detail'!$G$2:$G$672,"&gt;="&amp;D232,'PO detail'!$G$2:$G$672,"&lt;"&amp;A232)</x:f>
        <x:v>0</x:v>
      </x:c>
      <x:c r="K232" s="8" t="n">
        <x:f>'Current inventory'!E106*Summary!$D$6*(A232-D232)/30.4375</x:f>
        <x:v>0</x:v>
      </x:c>
      <x:c r="L232" s="8" t="n">
        <x:f>MAX(0,E232+H232-K232)</x:f>
        <x:v>0</x:v>
      </x:c>
      <x:c r="M232" s="8" t="n">
        <x:f>MAX(0,F232+I232-MAX(0,K232-E232-H232))</x:f>
        <x:v>0</x:v>
      </x:c>
      <x:c r="N232" s="8" t="n">
        <x:f>MAX(0,G232+J232-K232)</x:f>
        <x:v>0</x:v>
      </x:c>
      <x:c r="O232" s="8" t="n">
        <x:f>SUM(L232:N232)</x:f>
        <x:v>0</x:v>
      </x:c>
      <x:c r="P232" s="14" t="n">
        <x:f>'Current inventory'!V106</x:f>
        <x:v>0.1456</x:v>
      </x:c>
      <x:c r="Q232" s="14" t="str">
        <x:f>'Current inventory'!W106</x:f>
        <x:v>n.a.</x:v>
      </x:c>
      <x:c r="R232" s="10" t="n">
        <x:f>L232*P232</x:f>
        <x:v>0</x:v>
      </x:c>
      <x:c r="S232" s="10" t="n">
        <x:f>M232*P232</x:f>
        <x:v>0</x:v>
      </x:c>
      <x:c r="T232" s="10" t="n">
        <x:f>N232*P232</x:f>
        <x:v>0</x:v>
      </x:c>
      <x:c r="U232" s="10" t="n">
        <x:f>O232*P232</x:f>
        <x:v>0</x:v>
      </x:c>
      <x:c r="V232" s="10" t="str">
        <x:f>IF(ISNUMBER(Q232),O232*(Q232-P232),"n.a.")</x:f>
        <x:v>n.a.</x:v>
      </x:c>
      <x:c r="W232" s="10" t="n">
        <x:f>IF(ISNUMBER(Q232),U232,0)</x:f>
        <x:v>0</x:v>
      </x:c>
      <x:c r="X232" s="8" t="n">
        <x:f>MAX(0,K232-SUM(E232:J232))</x:f>
        <x:v>0</x:v>
      </x:c>
      <x:c r="Y232" s="1" t="str">
        <x:f>IF(AND(O232&gt;0,NOT(ISNUMBER(Q232))),"No proposed replacement standard",IF(X232&gt;0,"Demand exceeds available stock",""))</x:f>
      </x:c>
      <x:c r="Z232" s="1" t="n">
        <x:f>IF(ISNUMBER(Q232),1,0)</x:f>
        <x:v>0</x:v>
      </x:c>
    </x:row>
    <x:row r="233" ht="21" customHeight="1">
      <x:c r="A233" s="17" t="n">
        <x:f>Summary!B16</x:f>
        <x:v>46357</x:v>
      </x:c>
      <x:c r="B233" s="1" t="str">
        <x:f>'Current inventory'!A107</x:f>
        <x:v>60</x:v>
      </x:c>
      <x:c r="C233" s="1" t="str">
        <x:f>'Current inventory'!B107</x:f>
        <x:v>800BWHTBRC</x:v>
      </x:c>
      <x:c r="D233" s="7" t="n">
        <x:f>A107</x:f>
        <x:v>46327</x:v>
      </x:c>
      <x:c r="E233" s="8" t="n">
        <x:f>L107</x:f>
        <x:v>0</x:v>
      </x:c>
      <x:c r="F233" s="8" t="n">
        <x:f>M107</x:f>
        <x:v>0</x:v>
      </x:c>
      <x:c r="G233" s="8" t="n">
        <x:f>N107</x:f>
        <x:v>0</x:v>
      </x:c>
      <x:c r="H233" s="8" t="n">
        <x:f>SUMIFS('PO detail'!$U$2:$U$672,'PO detail'!$A$2:$A$672,B233,'PO detail'!$B$2:$B$672,C233,'PO detail'!$G$2:$G$672,"&gt;="&amp;D233,'PO detail'!$G$2:$G$672,"&lt;"&amp;A233)</x:f>
        <x:v>0</x:v>
      </x:c>
      <x:c r="I233" s="8" t="n">
        <x:f>SUMIFS('PO detail'!$V$2:$V$672,'PO detail'!$A$2:$A$672,B233,'PO detail'!$B$2:$B$672,C233,'PO detail'!$G$2:$G$672,"&gt;="&amp;D233,'PO detail'!$G$2:$G$672,"&lt;"&amp;A233)</x:f>
        <x:v>0</x:v>
      </x:c>
      <x:c r="J233" s="8" t="n">
        <x:f>SUMIFS('PO detail'!$W$2:$W$672,'PO detail'!$A$2:$A$672,B233,'PO detail'!$B$2:$B$672,C233,'PO detail'!$G$2:$G$672,"&gt;="&amp;D233,'PO detail'!$G$2:$G$672,"&lt;"&amp;A233)</x:f>
        <x:v>0</x:v>
      </x:c>
      <x:c r="K233" s="8" t="n">
        <x:f>'Current inventory'!E107*Summary!$D$6*(A233-D233)/30.4375</x:f>
        <x:v>0</x:v>
      </x:c>
      <x:c r="L233" s="8" t="n">
        <x:f>MAX(0,E233+H233-K233)</x:f>
        <x:v>0</x:v>
      </x:c>
      <x:c r="M233" s="8" t="n">
        <x:f>MAX(0,F233+I233-MAX(0,K233-E233-H233))</x:f>
        <x:v>0</x:v>
      </x:c>
      <x:c r="N233" s="8" t="n">
        <x:f>MAX(0,G233+J233-K233)</x:f>
        <x:v>0</x:v>
      </x:c>
      <x:c r="O233" s="8" t="n">
        <x:f>SUM(L233:N233)</x:f>
        <x:v>0</x:v>
      </x:c>
      <x:c r="P233" s="14" t="n">
        <x:f>'Current inventory'!V107</x:f>
        <x:v>0.18469999999999998</x:v>
      </x:c>
      <x:c r="Q233" s="14" t="str">
        <x:f>'Current inventory'!W107</x:f>
        <x:v>n.a.</x:v>
      </x:c>
      <x:c r="R233" s="10" t="n">
        <x:f>L233*P233</x:f>
        <x:v>0</x:v>
      </x:c>
      <x:c r="S233" s="10" t="n">
        <x:f>M233*P233</x:f>
        <x:v>0</x:v>
      </x:c>
      <x:c r="T233" s="10" t="n">
        <x:f>N233*P233</x:f>
        <x:v>0</x:v>
      </x:c>
      <x:c r="U233" s="10" t="n">
        <x:f>O233*P233</x:f>
        <x:v>0</x:v>
      </x:c>
      <x:c r="V233" s="10" t="str">
        <x:f>IF(ISNUMBER(Q233),O233*(Q233-P233),"n.a.")</x:f>
        <x:v>n.a.</x:v>
      </x:c>
      <x:c r="W233" s="10" t="n">
        <x:f>IF(ISNUMBER(Q233),U233,0)</x:f>
        <x:v>0</x:v>
      </x:c>
      <x:c r="X233" s="8" t="n">
        <x:f>MAX(0,K233-SUM(E233:J233))</x:f>
        <x:v>0</x:v>
      </x:c>
      <x:c r="Y233" s="1" t="str">
        <x:f>IF(AND(O233&gt;0,NOT(ISNUMBER(Q233))),"No proposed replacement standard",IF(X233&gt;0,"Demand exceeds available stock",""))</x:f>
      </x:c>
      <x:c r="Z233" s="1" t="n">
        <x:f>IF(ISNUMBER(Q233),1,0)</x:f>
        <x:v>0</x:v>
      </x:c>
    </x:row>
    <x:row r="234" ht="21" customHeight="1">
      <x:c r="A234" s="17" t="n">
        <x:f>Summary!B16</x:f>
        <x:v>46357</x:v>
      </x:c>
      <x:c r="B234" s="1" t="str">
        <x:f>'Current inventory'!A108</x:f>
        <x:v>60</x:v>
      </x:c>
      <x:c r="C234" s="1" t="str">
        <x:f>'Current inventory'!B108</x:f>
        <x:v>800BWHTCSC</x:v>
      </x:c>
      <x:c r="D234" s="7" t="n">
        <x:f>A108</x:f>
        <x:v>46327</x:v>
      </x:c>
      <x:c r="E234" s="8" t="n">
        <x:f>L108</x:f>
        <x:v>0</x:v>
      </x:c>
      <x:c r="F234" s="8" t="n">
        <x:f>M108</x:f>
        <x:v>0</x:v>
      </x:c>
      <x:c r="G234" s="8" t="n">
        <x:f>N108</x:f>
        <x:v>0</x:v>
      </x:c>
      <x:c r="H234" s="8" t="n">
        <x:f>SUMIFS('PO detail'!$U$2:$U$672,'PO detail'!$A$2:$A$672,B234,'PO detail'!$B$2:$B$672,C234,'PO detail'!$G$2:$G$672,"&gt;="&amp;D234,'PO detail'!$G$2:$G$672,"&lt;"&amp;A234)</x:f>
        <x:v>0</x:v>
      </x:c>
      <x:c r="I234" s="8" t="n">
        <x:f>SUMIFS('PO detail'!$V$2:$V$672,'PO detail'!$A$2:$A$672,B234,'PO detail'!$B$2:$B$672,C234,'PO detail'!$G$2:$G$672,"&gt;="&amp;D234,'PO detail'!$G$2:$G$672,"&lt;"&amp;A234)</x:f>
        <x:v>0</x:v>
      </x:c>
      <x:c r="J234" s="8" t="n">
        <x:f>SUMIFS('PO detail'!$W$2:$W$672,'PO detail'!$A$2:$A$672,B234,'PO detail'!$B$2:$B$672,C234,'PO detail'!$G$2:$G$672,"&gt;="&amp;D234,'PO detail'!$G$2:$G$672,"&lt;"&amp;A234)</x:f>
        <x:v>0</x:v>
      </x:c>
      <x:c r="K234" s="8" t="n">
        <x:f>'Current inventory'!E108*Summary!$D$6*(A234-D234)/30.4375</x:f>
        <x:v>0</x:v>
      </x:c>
      <x:c r="L234" s="8" t="n">
        <x:f>MAX(0,E234+H234-K234)</x:f>
        <x:v>0</x:v>
      </x:c>
      <x:c r="M234" s="8" t="n">
        <x:f>MAX(0,F234+I234-MAX(0,K234-E234-H234))</x:f>
        <x:v>0</x:v>
      </x:c>
      <x:c r="N234" s="8" t="n">
        <x:f>MAX(0,G234+J234-K234)</x:f>
        <x:v>0</x:v>
      </x:c>
      <x:c r="O234" s="8" t="n">
        <x:f>SUM(L234:N234)</x:f>
        <x:v>0</x:v>
      </x:c>
      <x:c r="P234" s="14" t="n">
        <x:f>'Current inventory'!V108</x:f>
        <x:v>0.21559999999999999</x:v>
      </x:c>
      <x:c r="Q234" s="14" t="str">
        <x:f>'Current inventory'!W108</x:f>
        <x:v>n.a.</x:v>
      </x:c>
      <x:c r="R234" s="10" t="n">
        <x:f>L234*P234</x:f>
        <x:v>0</x:v>
      </x:c>
      <x:c r="S234" s="10" t="n">
        <x:f>M234*P234</x:f>
        <x:v>0</x:v>
      </x:c>
      <x:c r="T234" s="10" t="n">
        <x:f>N234*P234</x:f>
        <x:v>0</x:v>
      </x:c>
      <x:c r="U234" s="10" t="n">
        <x:f>O234*P234</x:f>
        <x:v>0</x:v>
      </x:c>
      <x:c r="V234" s="10" t="str">
        <x:f>IF(ISNUMBER(Q234),O234*(Q234-P234),"n.a.")</x:f>
        <x:v>n.a.</x:v>
      </x:c>
      <x:c r="W234" s="10" t="n">
        <x:f>IF(ISNUMBER(Q234),U234,0)</x:f>
        <x:v>0</x:v>
      </x:c>
      <x:c r="X234" s="8" t="n">
        <x:f>MAX(0,K234-SUM(E234:J234))</x:f>
        <x:v>0</x:v>
      </x:c>
      <x:c r="Y234" s="1" t="str">
        <x:f>IF(AND(O234&gt;0,NOT(ISNUMBER(Q234))),"No proposed replacement standard",IF(X234&gt;0,"Demand exceeds available stock",""))</x:f>
      </x:c>
      <x:c r="Z234" s="1" t="n">
        <x:f>IF(ISNUMBER(Q234),1,0)</x:f>
        <x:v>0</x:v>
      </x:c>
    </x:row>
    <x:row r="235" ht="21" customHeight="1">
      <x:c r="A235" s="17" t="n">
        <x:f>Summary!B16</x:f>
        <x:v>46357</x:v>
      </x:c>
      <x:c r="B235" s="1" t="str">
        <x:f>'Current inventory'!A109</x:f>
        <x:v>60</x:v>
      </x:c>
      <x:c r="C235" s="1" t="str">
        <x:f>'Current inventory'!B109</x:f>
        <x:v>800BWHTDSC</x:v>
      </x:c>
      <x:c r="D235" s="7" t="n">
        <x:f>A109</x:f>
        <x:v>46327</x:v>
      </x:c>
      <x:c r="E235" s="8" t="n">
        <x:f>L109</x:f>
        <x:v>0</x:v>
      </x:c>
      <x:c r="F235" s="8" t="n">
        <x:f>M109</x:f>
        <x:v>0</x:v>
      </x:c>
      <x:c r="G235" s="8" t="n">
        <x:f>N109</x:f>
        <x:v>0</x:v>
      </x:c>
      <x:c r="H235" s="8" t="n">
        <x:f>SUMIFS('PO detail'!$U$2:$U$672,'PO detail'!$A$2:$A$672,B235,'PO detail'!$B$2:$B$672,C235,'PO detail'!$G$2:$G$672,"&gt;="&amp;D235,'PO detail'!$G$2:$G$672,"&lt;"&amp;A235)</x:f>
        <x:v>0</x:v>
      </x:c>
      <x:c r="I235" s="8" t="n">
        <x:f>SUMIFS('PO detail'!$V$2:$V$672,'PO detail'!$A$2:$A$672,B235,'PO detail'!$B$2:$B$672,C235,'PO detail'!$G$2:$G$672,"&gt;="&amp;D235,'PO detail'!$G$2:$G$672,"&lt;"&amp;A235)</x:f>
        <x:v>0</x:v>
      </x:c>
      <x:c r="J235" s="8" t="n">
        <x:f>SUMIFS('PO detail'!$W$2:$W$672,'PO detail'!$A$2:$A$672,B235,'PO detail'!$B$2:$B$672,C235,'PO detail'!$G$2:$G$672,"&gt;="&amp;D235,'PO detail'!$G$2:$G$672,"&lt;"&amp;A235)</x:f>
        <x:v>0</x:v>
      </x:c>
      <x:c r="K235" s="8" t="n">
        <x:f>'Current inventory'!E109*Summary!$D$6*(A235-D235)/30.4375</x:f>
        <x:v>0</x:v>
      </x:c>
      <x:c r="L235" s="8" t="n">
        <x:f>MAX(0,E235+H235-K235)</x:f>
        <x:v>0</x:v>
      </x:c>
      <x:c r="M235" s="8" t="n">
        <x:f>MAX(0,F235+I235-MAX(0,K235-E235-H235))</x:f>
        <x:v>0</x:v>
      </x:c>
      <x:c r="N235" s="8" t="n">
        <x:f>MAX(0,G235+J235-K235)</x:f>
        <x:v>0</x:v>
      </x:c>
      <x:c r="O235" s="8" t="n">
        <x:f>SUM(L235:N235)</x:f>
        <x:v>0</x:v>
      </x:c>
      <x:c r="P235" s="14" t="n">
        <x:f>'Current inventory'!V109</x:f>
        <x:v>0.38</x:v>
      </x:c>
      <x:c r="Q235" s="14" t="str">
        <x:f>'Current inventory'!W109</x:f>
        <x:v>n.a.</x:v>
      </x:c>
      <x:c r="R235" s="10" t="n">
        <x:f>L235*P235</x:f>
        <x:v>0</x:v>
      </x:c>
      <x:c r="S235" s="10" t="n">
        <x:f>M235*P235</x:f>
        <x:v>0</x:v>
      </x:c>
      <x:c r="T235" s="10" t="n">
        <x:f>N235*P235</x:f>
        <x:v>0</x:v>
      </x:c>
      <x:c r="U235" s="10" t="n">
        <x:f>O235*P235</x:f>
        <x:v>0</x:v>
      </x:c>
      <x:c r="V235" s="10" t="str">
        <x:f>IF(ISNUMBER(Q235),O235*(Q235-P235),"n.a.")</x:f>
        <x:v>n.a.</x:v>
      </x:c>
      <x:c r="W235" s="10" t="n">
        <x:f>IF(ISNUMBER(Q235),U235,0)</x:f>
        <x:v>0</x:v>
      </x:c>
      <x:c r="X235" s="8" t="n">
        <x:f>MAX(0,K235-SUM(E235:J235))</x:f>
        <x:v>0</x:v>
      </x:c>
      <x:c r="Y235" s="1" t="str">
        <x:f>IF(AND(O235&gt;0,NOT(ISNUMBER(Q235))),"No proposed replacement standard",IF(X235&gt;0,"Demand exceeds available stock",""))</x:f>
      </x:c>
      <x:c r="Z235" s="1" t="n">
        <x:f>IF(ISNUMBER(Q235),1,0)</x:f>
        <x:v>0</x:v>
      </x:c>
    </x:row>
    <x:row r="236" ht="21" customHeight="1">
      <x:c r="A236" s="17" t="n">
        <x:f>Summary!B16</x:f>
        <x:v>46357</x:v>
      </x:c>
      <x:c r="B236" s="1" t="str">
        <x:f>'Current inventory'!A110</x:f>
        <x:v>60</x:v>
      </x:c>
      <x:c r="C236" s="1" t="str">
        <x:f>'Current inventory'!B110</x:f>
        <x:v>800BWHTISC</x:v>
      </x:c>
      <x:c r="D236" s="7" t="n">
        <x:f>A110</x:f>
        <x:v>46327</x:v>
      </x:c>
      <x:c r="E236" s="8" t="n">
        <x:f>L110</x:f>
        <x:v>0</x:v>
      </x:c>
      <x:c r="F236" s="8" t="n">
        <x:f>M110</x:f>
        <x:v>0</x:v>
      </x:c>
      <x:c r="G236" s="8" t="n">
        <x:f>N110</x:f>
        <x:v>0</x:v>
      </x:c>
      <x:c r="H236" s="8" t="n">
        <x:f>SUMIFS('PO detail'!$U$2:$U$672,'PO detail'!$A$2:$A$672,B236,'PO detail'!$B$2:$B$672,C236,'PO detail'!$G$2:$G$672,"&gt;="&amp;D236,'PO detail'!$G$2:$G$672,"&lt;"&amp;A236)</x:f>
        <x:v>0</x:v>
      </x:c>
      <x:c r="I236" s="8" t="n">
        <x:f>SUMIFS('PO detail'!$V$2:$V$672,'PO detail'!$A$2:$A$672,B236,'PO detail'!$B$2:$B$672,C236,'PO detail'!$G$2:$G$672,"&gt;="&amp;D236,'PO detail'!$G$2:$G$672,"&lt;"&amp;A236)</x:f>
        <x:v>0</x:v>
      </x:c>
      <x:c r="J236" s="8" t="n">
        <x:f>SUMIFS('PO detail'!$W$2:$W$672,'PO detail'!$A$2:$A$672,B236,'PO detail'!$B$2:$B$672,C236,'PO detail'!$G$2:$G$672,"&gt;="&amp;D236,'PO detail'!$G$2:$G$672,"&lt;"&amp;A236)</x:f>
        <x:v>0</x:v>
      </x:c>
      <x:c r="K236" s="8" t="n">
        <x:f>'Current inventory'!E110*Summary!$D$6*(A236-D236)/30.4375</x:f>
        <x:v>0</x:v>
      </x:c>
      <x:c r="L236" s="8" t="n">
        <x:f>MAX(0,E236+H236-K236)</x:f>
        <x:v>0</x:v>
      </x:c>
      <x:c r="M236" s="8" t="n">
        <x:f>MAX(0,F236+I236-MAX(0,K236-E236-H236))</x:f>
        <x:v>0</x:v>
      </x:c>
      <x:c r="N236" s="8" t="n">
        <x:f>MAX(0,G236+J236-K236)</x:f>
        <x:v>0</x:v>
      </x:c>
      <x:c r="O236" s="8" t="n">
        <x:f>SUM(L236:N236)</x:f>
        <x:v>0</x:v>
      </x:c>
      <x:c r="P236" s="14" t="n">
        <x:f>'Current inventory'!V110</x:f>
        <x:v>0.1797</x:v>
      </x:c>
      <x:c r="Q236" s="14" t="str">
        <x:f>'Current inventory'!W110</x:f>
        <x:v>n.a.</x:v>
      </x:c>
      <x:c r="R236" s="10" t="n">
        <x:f>L236*P236</x:f>
        <x:v>0</x:v>
      </x:c>
      <x:c r="S236" s="10" t="n">
        <x:f>M236*P236</x:f>
        <x:v>0</x:v>
      </x:c>
      <x:c r="T236" s="10" t="n">
        <x:f>N236*P236</x:f>
        <x:v>0</x:v>
      </x:c>
      <x:c r="U236" s="10" t="n">
        <x:f>O236*P236</x:f>
        <x:v>0</x:v>
      </x:c>
      <x:c r="V236" s="10" t="str">
        <x:f>IF(ISNUMBER(Q236),O236*(Q236-P236),"n.a.")</x:f>
        <x:v>n.a.</x:v>
      </x:c>
      <x:c r="W236" s="10" t="n">
        <x:f>IF(ISNUMBER(Q236),U236,0)</x:f>
        <x:v>0</x:v>
      </x:c>
      <x:c r="X236" s="8" t="n">
        <x:f>MAX(0,K236-SUM(E236:J236))</x:f>
        <x:v>0</x:v>
      </x:c>
      <x:c r="Y236" s="1" t="str">
        <x:f>IF(AND(O236&gt;0,NOT(ISNUMBER(Q236))),"No proposed replacement standard",IF(X236&gt;0,"Demand exceeds available stock",""))</x:f>
      </x:c>
      <x:c r="Z236" s="1" t="n">
        <x:f>IF(ISNUMBER(Q236),1,0)</x:f>
        <x:v>0</x:v>
      </x:c>
    </x:row>
    <x:row r="237" ht="21" customHeight="1">
      <x:c r="A237" s="17" t="n">
        <x:f>Summary!B16</x:f>
        <x:v>46357</x:v>
      </x:c>
      <x:c r="B237" s="1" t="str">
        <x:f>'Current inventory'!A111</x:f>
        <x:v>60</x:v>
      </x:c>
      <x:c r="C237" s="1" t="str">
        <x:f>'Current inventory'!B111</x:f>
        <x:v>800FGE</x:v>
      </x:c>
      <x:c r="D237" s="7" t="n">
        <x:f>A111</x:f>
        <x:v>46327</x:v>
      </x:c>
      <x:c r="E237" s="8" t="n">
        <x:f>L111</x:f>
        <x:v>0</x:v>
      </x:c>
      <x:c r="F237" s="8" t="n">
        <x:f>M111</x:f>
        <x:v>0</x:v>
      </x:c>
      <x:c r="G237" s="8" t="n">
        <x:f>N111</x:f>
        <x:v>0</x:v>
      </x:c>
      <x:c r="H237" s="8" t="n">
        <x:f>SUMIFS('PO detail'!$U$2:$U$672,'PO detail'!$A$2:$A$672,B237,'PO detail'!$B$2:$B$672,C237,'PO detail'!$G$2:$G$672,"&gt;="&amp;D237,'PO detail'!$G$2:$G$672,"&lt;"&amp;A237)</x:f>
        <x:v>0</x:v>
      </x:c>
      <x:c r="I237" s="8" t="n">
        <x:f>SUMIFS('PO detail'!$V$2:$V$672,'PO detail'!$A$2:$A$672,B237,'PO detail'!$B$2:$B$672,C237,'PO detail'!$G$2:$G$672,"&gt;="&amp;D237,'PO detail'!$G$2:$G$672,"&lt;"&amp;A237)</x:f>
        <x:v>0</x:v>
      </x:c>
      <x:c r="J237" s="8" t="n">
        <x:f>SUMIFS('PO detail'!$W$2:$W$672,'PO detail'!$A$2:$A$672,B237,'PO detail'!$B$2:$B$672,C237,'PO detail'!$G$2:$G$672,"&gt;="&amp;D237,'PO detail'!$G$2:$G$672,"&lt;"&amp;A237)</x:f>
        <x:v>0</x:v>
      </x:c>
      <x:c r="K237" s="8" t="n">
        <x:f>'Current inventory'!E111*Summary!$D$6*(A237-D237)/30.4375</x:f>
        <x:v>0</x:v>
      </x:c>
      <x:c r="L237" s="8" t="n">
        <x:f>MAX(0,E237+H237-K237)</x:f>
        <x:v>0</x:v>
      </x:c>
      <x:c r="M237" s="8" t="n">
        <x:f>MAX(0,F237+I237-MAX(0,K237-E237-H237))</x:f>
        <x:v>0</x:v>
      </x:c>
      <x:c r="N237" s="8" t="n">
        <x:f>MAX(0,G237+J237-K237)</x:f>
        <x:v>0</x:v>
      </x:c>
      <x:c r="O237" s="8" t="n">
        <x:f>SUM(L237:N237)</x:f>
        <x:v>0</x:v>
      </x:c>
      <x:c r="P237" s="14" t="n">
        <x:f>'Current inventory'!V111</x:f>
        <x:v>10.78</x:v>
      </x:c>
      <x:c r="Q237" s="14" t="str">
        <x:f>'Current inventory'!W111</x:f>
        <x:v>n.a.</x:v>
      </x:c>
      <x:c r="R237" s="10" t="n">
        <x:f>L237*P237</x:f>
        <x:v>0</x:v>
      </x:c>
      <x:c r="S237" s="10" t="n">
        <x:f>M237*P237</x:f>
        <x:v>0</x:v>
      </x:c>
      <x:c r="T237" s="10" t="n">
        <x:f>N237*P237</x:f>
        <x:v>0</x:v>
      </x:c>
      <x:c r="U237" s="10" t="n">
        <x:f>O237*P237</x:f>
        <x:v>0</x:v>
      </x:c>
      <x:c r="V237" s="10" t="str">
        <x:f>IF(ISNUMBER(Q237),O237*(Q237-P237),"n.a.")</x:f>
        <x:v>n.a.</x:v>
      </x:c>
      <x:c r="W237" s="10" t="n">
        <x:f>IF(ISNUMBER(Q237),U237,0)</x:f>
        <x:v>0</x:v>
      </x:c>
      <x:c r="X237" s="8" t="n">
        <x:f>MAX(0,K237-SUM(E237:J237))</x:f>
        <x:v>0</x:v>
      </x:c>
      <x:c r="Y237" s="1" t="str">
        <x:f>IF(AND(O237&gt;0,NOT(ISNUMBER(Q237))),"No proposed replacement standard",IF(X237&gt;0,"Demand exceeds available stock",""))</x:f>
      </x:c>
      <x:c r="Z237" s="1" t="n">
        <x:f>IF(ISNUMBER(Q237),1,0)</x:f>
        <x:v>0</x:v>
      </x:c>
    </x:row>
    <x:row r="238" ht="21" customHeight="1">
      <x:c r="A238" s="17" t="n">
        <x:f>Summary!B16</x:f>
        <x:v>46357</x:v>
      </x:c>
      <x:c r="B238" s="1" t="str">
        <x:f>'Current inventory'!A112</x:f>
        <x:v>60</x:v>
      </x:c>
      <x:c r="C238" s="1" t="str">
        <x:f>'Current inventory'!B112</x:f>
        <x:v>800NAVF</x:v>
      </x:c>
      <x:c r="D238" s="7" t="n">
        <x:f>A112</x:f>
        <x:v>46327</x:v>
      </x:c>
      <x:c r="E238" s="8" t="n">
        <x:f>L112</x:f>
        <x:v>0</x:v>
      </x:c>
      <x:c r="F238" s="8" t="n">
        <x:f>M112</x:f>
        <x:v>0</x:v>
      </x:c>
      <x:c r="G238" s="8" t="n">
        <x:f>N112</x:f>
        <x:v>0</x:v>
      </x:c>
      <x:c r="H238" s="8" t="n">
        <x:f>SUMIFS('PO detail'!$U$2:$U$672,'PO detail'!$A$2:$A$672,B238,'PO detail'!$B$2:$B$672,C238,'PO detail'!$G$2:$G$672,"&gt;="&amp;D238,'PO detail'!$G$2:$G$672,"&lt;"&amp;A238)</x:f>
        <x:v>0</x:v>
      </x:c>
      <x:c r="I238" s="8" t="n">
        <x:f>SUMIFS('PO detail'!$V$2:$V$672,'PO detail'!$A$2:$A$672,B238,'PO detail'!$B$2:$B$672,C238,'PO detail'!$G$2:$G$672,"&gt;="&amp;D238,'PO detail'!$G$2:$G$672,"&lt;"&amp;A238)</x:f>
        <x:v>0</x:v>
      </x:c>
      <x:c r="J238" s="8" t="n">
        <x:f>SUMIFS('PO detail'!$W$2:$W$672,'PO detail'!$A$2:$A$672,B238,'PO detail'!$B$2:$B$672,C238,'PO detail'!$G$2:$G$672,"&gt;="&amp;D238,'PO detail'!$G$2:$G$672,"&lt;"&amp;A238)</x:f>
        <x:v>0</x:v>
      </x:c>
      <x:c r="K238" s="8" t="n">
        <x:f>'Current inventory'!E112*Summary!$D$6*(A238-D238)/30.4375</x:f>
        <x:v>0</x:v>
      </x:c>
      <x:c r="L238" s="8" t="n">
        <x:f>MAX(0,E238+H238-K238)</x:f>
        <x:v>0</x:v>
      </x:c>
      <x:c r="M238" s="8" t="n">
        <x:f>MAX(0,F238+I238-MAX(0,K238-E238-H238))</x:f>
        <x:v>0</x:v>
      </x:c>
      <x:c r="N238" s="8" t="n">
        <x:f>MAX(0,G238+J238-K238)</x:f>
        <x:v>0</x:v>
      </x:c>
      <x:c r="O238" s="8" t="n">
        <x:f>SUM(L238:N238)</x:f>
        <x:v>0</x:v>
      </x:c>
      <x:c r="P238" s="14" t="n">
        <x:f>'Current inventory'!V112</x:f>
        <x:v>7.03</x:v>
      </x:c>
      <x:c r="Q238" s="14" t="str">
        <x:f>'Current inventory'!W112</x:f>
        <x:v>n.a.</x:v>
      </x:c>
      <x:c r="R238" s="10" t="n">
        <x:f>L238*P238</x:f>
        <x:v>0</x:v>
      </x:c>
      <x:c r="S238" s="10" t="n">
        <x:f>M238*P238</x:f>
        <x:v>0</x:v>
      </x:c>
      <x:c r="T238" s="10" t="n">
        <x:f>N238*P238</x:f>
        <x:v>0</x:v>
      </x:c>
      <x:c r="U238" s="10" t="n">
        <x:f>O238*P238</x:f>
        <x:v>0</x:v>
      </x:c>
      <x:c r="V238" s="10" t="str">
        <x:f>IF(ISNUMBER(Q238),O238*(Q238-P238),"n.a.")</x:f>
        <x:v>n.a.</x:v>
      </x:c>
      <x:c r="W238" s="10" t="n">
        <x:f>IF(ISNUMBER(Q238),U238,0)</x:f>
        <x:v>0</x:v>
      </x:c>
      <x:c r="X238" s="8" t="n">
        <x:f>MAX(0,K238-SUM(E238:J238))</x:f>
        <x:v>0</x:v>
      </x:c>
      <x:c r="Y238" s="1" t="str">
        <x:f>IF(AND(O238&gt;0,NOT(ISNUMBER(Q238))),"No proposed replacement standard",IF(X238&gt;0,"Demand exceeds available stock",""))</x:f>
      </x:c>
      <x:c r="Z238" s="1" t="n">
        <x:f>IF(ISNUMBER(Q238),1,0)</x:f>
        <x:v>0</x:v>
      </x:c>
    </x:row>
    <x:row r="239" ht="21" customHeight="1">
      <x:c r="A239" s="17" t="n">
        <x:f>Summary!B16</x:f>
        <x:v>46357</x:v>
      </x:c>
      <x:c r="B239" s="1" t="str">
        <x:f>'Current inventory'!A113</x:f>
        <x:v>60</x:v>
      </x:c>
      <x:c r="C239" s="1" t="str">
        <x:f>'Current inventory'!B113</x:f>
        <x:v>800WHTE</x:v>
      </x:c>
      <x:c r="D239" s="7" t="n">
        <x:f>A113</x:f>
        <x:v>46327</x:v>
      </x:c>
      <x:c r="E239" s="8" t="n">
        <x:f>L113</x:f>
        <x:v>0</x:v>
      </x:c>
      <x:c r="F239" s="8" t="n">
        <x:f>M113</x:f>
        <x:v>0</x:v>
      </x:c>
      <x:c r="G239" s="8" t="n">
        <x:f>N113</x:f>
        <x:v>0</x:v>
      </x:c>
      <x:c r="H239" s="8" t="n">
        <x:f>SUMIFS('PO detail'!$U$2:$U$672,'PO detail'!$A$2:$A$672,B239,'PO detail'!$B$2:$B$672,C239,'PO detail'!$G$2:$G$672,"&gt;="&amp;D239,'PO detail'!$G$2:$G$672,"&lt;"&amp;A239)</x:f>
        <x:v>0</x:v>
      </x:c>
      <x:c r="I239" s="8" t="n">
        <x:f>SUMIFS('PO detail'!$V$2:$V$672,'PO detail'!$A$2:$A$672,B239,'PO detail'!$B$2:$B$672,C239,'PO detail'!$G$2:$G$672,"&gt;="&amp;D239,'PO detail'!$G$2:$G$672,"&lt;"&amp;A239)</x:f>
        <x:v>0</x:v>
      </x:c>
      <x:c r="J239" s="8" t="n">
        <x:f>SUMIFS('PO detail'!$W$2:$W$672,'PO detail'!$A$2:$A$672,B239,'PO detail'!$B$2:$B$672,C239,'PO detail'!$G$2:$G$672,"&gt;="&amp;D239,'PO detail'!$G$2:$G$672,"&lt;"&amp;A239)</x:f>
        <x:v>0</x:v>
      </x:c>
      <x:c r="K239" s="8" t="n">
        <x:f>'Current inventory'!E113*Summary!$D$6*(A239-D239)/30.4375</x:f>
        <x:v>0</x:v>
      </x:c>
      <x:c r="L239" s="8" t="n">
        <x:f>MAX(0,E239+H239-K239)</x:f>
        <x:v>0</x:v>
      </x:c>
      <x:c r="M239" s="8" t="n">
        <x:f>MAX(0,F239+I239-MAX(0,K239-E239-H239))</x:f>
        <x:v>0</x:v>
      </x:c>
      <x:c r="N239" s="8" t="n">
        <x:f>MAX(0,G239+J239-K239)</x:f>
        <x:v>0</x:v>
      </x:c>
      <x:c r="O239" s="8" t="n">
        <x:f>SUM(L239:N239)</x:f>
        <x:v>0</x:v>
      </x:c>
      <x:c r="P239" s="14" t="n">
        <x:f>'Current inventory'!V113</x:f>
        <x:v>11.44</x:v>
      </x:c>
      <x:c r="Q239" s="14" t="str">
        <x:f>'Current inventory'!W113</x:f>
        <x:v>n.a.</x:v>
      </x:c>
      <x:c r="R239" s="10" t="n">
        <x:f>L239*P239</x:f>
        <x:v>0</x:v>
      </x:c>
      <x:c r="S239" s="10" t="n">
        <x:f>M239*P239</x:f>
        <x:v>0</x:v>
      </x:c>
      <x:c r="T239" s="10" t="n">
        <x:f>N239*P239</x:f>
        <x:v>0</x:v>
      </x:c>
      <x:c r="U239" s="10" t="n">
        <x:f>O239*P239</x:f>
        <x:v>0</x:v>
      </x:c>
      <x:c r="V239" s="10" t="str">
        <x:f>IF(ISNUMBER(Q239),O239*(Q239-P239),"n.a.")</x:f>
        <x:v>n.a.</x:v>
      </x:c>
      <x:c r="W239" s="10" t="n">
        <x:f>IF(ISNUMBER(Q239),U239,0)</x:f>
        <x:v>0</x:v>
      </x:c>
      <x:c r="X239" s="8" t="n">
        <x:f>MAX(0,K239-SUM(E239:J239))</x:f>
        <x:v>0</x:v>
      </x:c>
      <x:c r="Y239" s="1" t="str">
        <x:f>IF(AND(O239&gt;0,NOT(ISNUMBER(Q239))),"No proposed replacement standard",IF(X239&gt;0,"Demand exceeds available stock",""))</x:f>
      </x:c>
      <x:c r="Z239" s="1" t="n">
        <x:f>IF(ISNUMBER(Q239),1,0)</x:f>
        <x:v>0</x:v>
      </x:c>
    </x:row>
    <x:row r="240" ht="21" customHeight="1">
      <x:c r="A240" s="17" t="n">
        <x:f>Summary!B16</x:f>
        <x:v>46357</x:v>
      </x:c>
      <x:c r="B240" s="1" t="str">
        <x:f>'Current inventory'!A114</x:f>
        <x:v>60</x:v>
      </x:c>
      <x:c r="C240" s="1" t="str">
        <x:f>'Current inventory'!B114</x:f>
        <x:v>800BLKTB</x:v>
      </x:c>
      <x:c r="D240" s="7" t="n">
        <x:f>A114</x:f>
        <x:v>46327</x:v>
      </x:c>
      <x:c r="E240" s="8" t="n">
        <x:f>L114</x:f>
        <x:v>0</x:v>
      </x:c>
      <x:c r="F240" s="8" t="n">
        <x:f>M114</x:f>
        <x:v>0</x:v>
      </x:c>
      <x:c r="G240" s="8" t="n">
        <x:f>N114</x:f>
        <x:v>0</x:v>
      </x:c>
      <x:c r="H240" s="8" t="n">
        <x:f>SUMIFS('PO detail'!$U$2:$U$672,'PO detail'!$A$2:$A$672,B240,'PO detail'!$B$2:$B$672,C240,'PO detail'!$G$2:$G$672,"&gt;="&amp;D240,'PO detail'!$G$2:$G$672,"&lt;"&amp;A240)</x:f>
        <x:v>0</x:v>
      </x:c>
      <x:c r="I240" s="8" t="n">
        <x:f>SUMIFS('PO detail'!$V$2:$V$672,'PO detail'!$A$2:$A$672,B240,'PO detail'!$B$2:$B$672,C240,'PO detail'!$G$2:$G$672,"&gt;="&amp;D240,'PO detail'!$G$2:$G$672,"&lt;"&amp;A240)</x:f>
        <x:v>0</x:v>
      </x:c>
      <x:c r="J240" s="8" t="n">
        <x:f>SUMIFS('PO detail'!$W$2:$W$672,'PO detail'!$A$2:$A$672,B240,'PO detail'!$B$2:$B$672,C240,'PO detail'!$G$2:$G$672,"&gt;="&amp;D240,'PO detail'!$G$2:$G$672,"&lt;"&amp;A240)</x:f>
        <x:v>0</x:v>
      </x:c>
      <x:c r="K240" s="8" t="n">
        <x:f>'Current inventory'!E114*Summary!$D$6*(A240-D240)/30.4375</x:f>
        <x:v>0</x:v>
      </x:c>
      <x:c r="L240" s="8" t="n">
        <x:f>MAX(0,E240+H240-K240)</x:f>
        <x:v>0</x:v>
      </x:c>
      <x:c r="M240" s="8" t="n">
        <x:f>MAX(0,F240+I240-MAX(0,K240-E240-H240))</x:f>
        <x:v>0</x:v>
      </x:c>
      <x:c r="N240" s="8" t="n">
        <x:f>MAX(0,G240+J240-K240)</x:f>
        <x:v>0</x:v>
      </x:c>
      <x:c r="O240" s="8" t="n">
        <x:f>SUM(L240:N240)</x:f>
        <x:v>0</x:v>
      </x:c>
      <x:c r="P240" s="14" t="n">
        <x:f>'Current inventory'!V114</x:f>
        <x:v>0</x:v>
      </x:c>
      <x:c r="Q240" s="14" t="str">
        <x:f>'Current inventory'!W114</x:f>
        <x:v>n.a.</x:v>
      </x:c>
      <x:c r="R240" s="10" t="n">
        <x:f>L240*P240</x:f>
        <x:v>0</x:v>
      </x:c>
      <x:c r="S240" s="10" t="n">
        <x:f>M240*P240</x:f>
        <x:v>0</x:v>
      </x:c>
      <x:c r="T240" s="10" t="n">
        <x:f>N240*P240</x:f>
        <x:v>0</x:v>
      </x:c>
      <x:c r="U240" s="10" t="n">
        <x:f>O240*P240</x:f>
        <x:v>0</x:v>
      </x:c>
      <x:c r="V240" s="10" t="str">
        <x:f>IF(ISNUMBER(Q240),O240*(Q240-P240),"n.a.")</x:f>
        <x:v>n.a.</x:v>
      </x:c>
      <x:c r="W240" s="10" t="n">
        <x:f>IF(ISNUMBER(Q240),U240,0)</x:f>
        <x:v>0</x:v>
      </x:c>
      <x:c r="X240" s="8" t="n">
        <x:f>MAX(0,K240-SUM(E240:J240))</x:f>
        <x:v>0</x:v>
      </x:c>
      <x:c r="Y240" s="1" t="str">
        <x:f>IF(AND(O240&gt;0,NOT(ISNUMBER(Q240))),"No proposed replacement standard",IF(X240&gt;0,"Demand exceeds available stock",""))</x:f>
      </x:c>
      <x:c r="Z240" s="1" t="n">
        <x:f>IF(ISNUMBER(Q240),1,0)</x:f>
        <x:v>0</x:v>
      </x:c>
    </x:row>
    <x:row r="241" ht="21" customHeight="1">
      <x:c r="A241" s="17" t="n">
        <x:f>Summary!B16</x:f>
        <x:v>46357</x:v>
      </x:c>
      <x:c r="B241" s="1" t="str">
        <x:f>'Current inventory'!A115</x:f>
        <x:v>60</x:v>
      </x:c>
      <x:c r="C241" s="1" t="str">
        <x:f>'Current inventory'!B115</x:f>
        <x:v>800BMARCSC</x:v>
      </x:c>
      <x:c r="D241" s="7" t="n">
        <x:f>A115</x:f>
        <x:v>46327</x:v>
      </x:c>
      <x:c r="E241" s="8" t="n">
        <x:f>L115</x:f>
        <x:v>0</x:v>
      </x:c>
      <x:c r="F241" s="8" t="n">
        <x:f>M115</x:f>
        <x:v>0</x:v>
      </x:c>
      <x:c r="G241" s="8" t="n">
        <x:f>N115</x:f>
        <x:v>1300</x:v>
      </x:c>
      <x:c r="H241" s="8" t="n">
        <x:f>SUMIFS('PO detail'!$U$2:$U$672,'PO detail'!$A$2:$A$672,B241,'PO detail'!$B$2:$B$672,C241,'PO detail'!$G$2:$G$672,"&gt;="&amp;D241,'PO detail'!$G$2:$G$672,"&lt;"&amp;A241)</x:f>
        <x:v>0</x:v>
      </x:c>
      <x:c r="I241" s="8" t="n">
        <x:f>SUMIFS('PO detail'!$V$2:$V$672,'PO detail'!$A$2:$A$672,B241,'PO detail'!$B$2:$B$672,C241,'PO detail'!$G$2:$G$672,"&gt;="&amp;D241,'PO detail'!$G$2:$G$672,"&lt;"&amp;A241)</x:f>
        <x:v>0</x:v>
      </x:c>
      <x:c r="J241" s="8" t="n">
        <x:f>SUMIFS('PO detail'!$W$2:$W$672,'PO detail'!$A$2:$A$672,B241,'PO detail'!$B$2:$B$672,C241,'PO detail'!$G$2:$G$672,"&gt;="&amp;D241,'PO detail'!$G$2:$G$672,"&lt;"&amp;A241)</x:f>
        <x:v>0</x:v>
      </x:c>
      <x:c r="K241" s="8" t="n">
        <x:f>'Current inventory'!E115*Summary!$D$6*(A241-D241)/30.4375</x:f>
        <x:v>0</x:v>
      </x:c>
      <x:c r="L241" s="8" t="n">
        <x:f>MAX(0,E241+H241-K241)</x:f>
        <x:v>0</x:v>
      </x:c>
      <x:c r="M241" s="8" t="n">
        <x:f>MAX(0,F241+I241-MAX(0,K241-E241-H241))</x:f>
        <x:v>0</x:v>
      </x:c>
      <x:c r="N241" s="8" t="n">
        <x:f>MAX(0,G241+J241-K241)</x:f>
        <x:v>1300</x:v>
      </x:c>
      <x:c r="O241" s="8" t="n">
        <x:f>SUM(L241:N241)</x:f>
        <x:v>1300</x:v>
      </x:c>
      <x:c r="P241" s="14" t="n">
        <x:f>'Current inventory'!V115</x:f>
        <x:v>0.23329999999999998</x:v>
      </x:c>
      <x:c r="Q241" s="14" t="str">
        <x:f>'Current inventory'!W115</x:f>
        <x:v>n.a.</x:v>
      </x:c>
      <x:c r="R241" s="10" t="n">
        <x:f>L241*P241</x:f>
        <x:v>0</x:v>
      </x:c>
      <x:c r="S241" s="10" t="n">
        <x:f>M241*P241</x:f>
        <x:v>0</x:v>
      </x:c>
      <x:c r="T241" s="10" t="n">
        <x:f>N241*P241</x:f>
        <x:v>303.28999999999996</x:v>
      </x:c>
      <x:c r="U241" s="10" t="n">
        <x:f>O241*P241</x:f>
        <x:v>303.28999999999996</x:v>
      </x:c>
      <x:c r="V241" s="10" t="str">
        <x:f>IF(ISNUMBER(Q241),O241*(Q241-P241),"n.a.")</x:f>
        <x:v>n.a.</x:v>
      </x:c>
      <x:c r="W241" s="10" t="n">
        <x:f>IF(ISNUMBER(Q241),U241,0)</x:f>
        <x:v>0</x:v>
      </x:c>
      <x:c r="X241" s="8" t="n">
        <x:f>MAX(0,K241-SUM(E241:J241))</x:f>
        <x:v>0</x:v>
      </x:c>
      <x:c r="Y241" s="1" t="str">
        <x:f>IF(AND(O241&gt;0,NOT(ISNUMBER(Q241))),"No proposed replacement standard",IF(X241&gt;0,"Demand exceeds available stock",""))</x:f>
        <x:v>No proposed replacement standard</x:v>
      </x:c>
      <x:c r="Z241" s="1" t="n">
        <x:f>IF(ISNUMBER(Q241),1,0)</x:f>
        <x:v>0</x:v>
      </x:c>
    </x:row>
    <x:row r="242" ht="21" customHeight="1">
      <x:c r="A242" s="17" t="n">
        <x:f>Summary!B16</x:f>
        <x:v>46357</x:v>
      </x:c>
      <x:c r="B242" s="1" t="str">
        <x:f>'Current inventory'!A116</x:f>
        <x:v>60</x:v>
      </x:c>
      <x:c r="C242" s="1" t="str">
        <x:f>'Current inventory'!B116</x:f>
        <x:v>800BREDASC</x:v>
      </x:c>
      <x:c r="D242" s="7" t="n">
        <x:f>A116</x:f>
        <x:v>46327</x:v>
      </x:c>
      <x:c r="E242" s="8" t="n">
        <x:f>L116</x:f>
        <x:v>0</x:v>
      </x:c>
      <x:c r="F242" s="8" t="n">
        <x:f>M116</x:f>
        <x:v>0</x:v>
      </x:c>
      <x:c r="G242" s="8" t="n">
        <x:f>N116</x:f>
        <x:v>0</x:v>
      </x:c>
      <x:c r="H242" s="8" t="n">
        <x:f>SUMIFS('PO detail'!$U$2:$U$672,'PO detail'!$A$2:$A$672,B242,'PO detail'!$B$2:$B$672,C242,'PO detail'!$G$2:$G$672,"&gt;="&amp;D242,'PO detail'!$G$2:$G$672,"&lt;"&amp;A242)</x:f>
        <x:v>0</x:v>
      </x:c>
      <x:c r="I242" s="8" t="n">
        <x:f>SUMIFS('PO detail'!$V$2:$V$672,'PO detail'!$A$2:$A$672,B242,'PO detail'!$B$2:$B$672,C242,'PO detail'!$G$2:$G$672,"&gt;="&amp;D242,'PO detail'!$G$2:$G$672,"&lt;"&amp;A242)</x:f>
        <x:v>0</x:v>
      </x:c>
      <x:c r="J242" s="8" t="n">
        <x:f>SUMIFS('PO detail'!$W$2:$W$672,'PO detail'!$A$2:$A$672,B242,'PO detail'!$B$2:$B$672,C242,'PO detail'!$G$2:$G$672,"&gt;="&amp;D242,'PO detail'!$G$2:$G$672,"&lt;"&amp;A242)</x:f>
        <x:v>0</x:v>
      </x:c>
      <x:c r="K242" s="8" t="n">
        <x:f>'Current inventory'!E116*Summary!$D$6*(A242-D242)/30.4375</x:f>
        <x:v>0</x:v>
      </x:c>
      <x:c r="L242" s="8" t="n">
        <x:f>MAX(0,E242+H242-K242)</x:f>
        <x:v>0</x:v>
      </x:c>
      <x:c r="M242" s="8" t="n">
        <x:f>MAX(0,F242+I242-MAX(0,K242-E242-H242))</x:f>
        <x:v>0</x:v>
      </x:c>
      <x:c r="N242" s="8" t="n">
        <x:f>MAX(0,G242+J242-K242)</x:f>
        <x:v>0</x:v>
      </x:c>
      <x:c r="O242" s="8" t="n">
        <x:f>SUM(L242:N242)</x:f>
        <x:v>0</x:v>
      </x:c>
      <x:c r="P242" s="14" t="n">
        <x:f>'Current inventory'!V116</x:f>
        <x:v>0.07919999999999999</x:v>
      </x:c>
      <x:c r="Q242" s="14" t="str">
        <x:f>'Current inventory'!W116</x:f>
        <x:v>n.a.</x:v>
      </x:c>
      <x:c r="R242" s="10" t="n">
        <x:f>L242*P242</x:f>
        <x:v>0</x:v>
      </x:c>
      <x:c r="S242" s="10" t="n">
        <x:f>M242*P242</x:f>
        <x:v>0</x:v>
      </x:c>
      <x:c r="T242" s="10" t="n">
        <x:f>N242*P242</x:f>
        <x:v>0</x:v>
      </x:c>
      <x:c r="U242" s="10" t="n">
        <x:f>O242*P242</x:f>
        <x:v>0</x:v>
      </x:c>
      <x:c r="V242" s="10" t="str">
        <x:f>IF(ISNUMBER(Q242),O242*(Q242-P242),"n.a.")</x:f>
        <x:v>n.a.</x:v>
      </x:c>
      <x:c r="W242" s="10" t="n">
        <x:f>IF(ISNUMBER(Q242),U242,0)</x:f>
        <x:v>0</x:v>
      </x:c>
      <x:c r="X242" s="8" t="n">
        <x:f>MAX(0,K242-SUM(E242:J242))</x:f>
        <x:v>0</x:v>
      </x:c>
      <x:c r="Y242" s="1" t="str">
        <x:f>IF(AND(O242&gt;0,NOT(ISNUMBER(Q242))),"No proposed replacement standard",IF(X242&gt;0,"Demand exceeds available stock",""))</x:f>
      </x:c>
      <x:c r="Z242" s="1" t="n">
        <x:f>IF(ISNUMBER(Q242),1,0)</x:f>
        <x:v>0</x:v>
      </x:c>
    </x:row>
    <x:row r="243" ht="21" customHeight="1">
      <x:c r="A243" s="17" t="n">
        <x:f>Summary!B16</x:f>
        <x:v>46357</x:v>
      </x:c>
      <x:c r="B243" s="1" t="str">
        <x:f>'Current inventory'!A117</x:f>
        <x:v>60</x:v>
      </x:c>
      <x:c r="C243" s="1" t="str">
        <x:f>'Current inventory'!B117</x:f>
        <x:v>800BREDBRC</x:v>
      </x:c>
      <x:c r="D243" s="7" t="n">
        <x:f>A117</x:f>
        <x:v>46327</x:v>
      </x:c>
      <x:c r="E243" s="8" t="n">
        <x:f>L117</x:f>
        <x:v>0</x:v>
      </x:c>
      <x:c r="F243" s="8" t="n">
        <x:f>M117</x:f>
        <x:v>0</x:v>
      </x:c>
      <x:c r="G243" s="8" t="n">
        <x:f>N117</x:f>
        <x:v>0</x:v>
      </x:c>
      <x:c r="H243" s="8" t="n">
        <x:f>SUMIFS('PO detail'!$U$2:$U$672,'PO detail'!$A$2:$A$672,B243,'PO detail'!$B$2:$B$672,C243,'PO detail'!$G$2:$G$672,"&gt;="&amp;D243,'PO detail'!$G$2:$G$672,"&lt;"&amp;A243)</x:f>
        <x:v>0</x:v>
      </x:c>
      <x:c r="I243" s="8" t="n">
        <x:f>SUMIFS('PO detail'!$V$2:$V$672,'PO detail'!$A$2:$A$672,B243,'PO detail'!$B$2:$B$672,C243,'PO detail'!$G$2:$G$672,"&gt;="&amp;D243,'PO detail'!$G$2:$G$672,"&lt;"&amp;A243)</x:f>
        <x:v>0</x:v>
      </x:c>
      <x:c r="J243" s="8" t="n">
        <x:f>SUMIFS('PO detail'!$W$2:$W$672,'PO detail'!$A$2:$A$672,B243,'PO detail'!$B$2:$B$672,C243,'PO detail'!$G$2:$G$672,"&gt;="&amp;D243,'PO detail'!$G$2:$G$672,"&lt;"&amp;A243)</x:f>
        <x:v>0</x:v>
      </x:c>
      <x:c r="K243" s="8" t="n">
        <x:f>'Current inventory'!E117*Summary!$D$6*(A243-D243)/30.4375</x:f>
        <x:v>0</x:v>
      </x:c>
      <x:c r="L243" s="8" t="n">
        <x:f>MAX(0,E243+H243-K243)</x:f>
        <x:v>0</x:v>
      </x:c>
      <x:c r="M243" s="8" t="n">
        <x:f>MAX(0,F243+I243-MAX(0,K243-E243-H243))</x:f>
        <x:v>0</x:v>
      </x:c>
      <x:c r="N243" s="8" t="n">
        <x:f>MAX(0,G243+J243-K243)</x:f>
        <x:v>0</x:v>
      </x:c>
      <x:c r="O243" s="8" t="n">
        <x:f>SUM(L243:N243)</x:f>
        <x:v>0</x:v>
      </x:c>
      <x:c r="P243" s="14" t="n">
        <x:f>'Current inventory'!V117</x:f>
        <x:v>0.0898</x:v>
      </x:c>
      <x:c r="Q243" s="14" t="str">
        <x:f>'Current inventory'!W117</x:f>
        <x:v>n.a.</x:v>
      </x:c>
      <x:c r="R243" s="10" t="n">
        <x:f>L243*P243</x:f>
        <x:v>0</x:v>
      </x:c>
      <x:c r="S243" s="10" t="n">
        <x:f>M243*P243</x:f>
        <x:v>0</x:v>
      </x:c>
      <x:c r="T243" s="10" t="n">
        <x:f>N243*P243</x:f>
        <x:v>0</x:v>
      </x:c>
      <x:c r="U243" s="10" t="n">
        <x:f>O243*P243</x:f>
        <x:v>0</x:v>
      </x:c>
      <x:c r="V243" s="10" t="str">
        <x:f>IF(ISNUMBER(Q243),O243*(Q243-P243),"n.a.")</x:f>
        <x:v>n.a.</x:v>
      </x:c>
      <x:c r="W243" s="10" t="n">
        <x:f>IF(ISNUMBER(Q243),U243,0)</x:f>
        <x:v>0</x:v>
      </x:c>
      <x:c r="X243" s="8" t="n">
        <x:f>MAX(0,K243-SUM(E243:J243))</x:f>
        <x:v>0</x:v>
      </x:c>
      <x:c r="Y243" s="1" t="str">
        <x:f>IF(AND(O243&gt;0,NOT(ISNUMBER(Q243))),"No proposed replacement standard",IF(X243&gt;0,"Demand exceeds available stock",""))</x:f>
      </x:c>
      <x:c r="Z243" s="1" t="n">
        <x:f>IF(ISNUMBER(Q243),1,0)</x:f>
        <x:v>0</x:v>
      </x:c>
    </x:row>
    <x:row r="244" ht="21" customHeight="1">
      <x:c r="A244" s="17" t="n">
        <x:f>Summary!B16</x:f>
        <x:v>46357</x:v>
      </x:c>
      <x:c r="B244" s="1" t="str">
        <x:f>'Current inventory'!A118</x:f>
        <x:v>60</x:v>
      </x:c>
      <x:c r="C244" s="1" t="str">
        <x:f>'Current inventory'!B118</x:f>
        <x:v>800WBLKBRC</x:v>
      </x:c>
      <x:c r="D244" s="7" t="n">
        <x:f>A118</x:f>
        <x:v>46327</x:v>
      </x:c>
      <x:c r="E244" s="8" t="n">
        <x:f>L118</x:f>
        <x:v>0</x:v>
      </x:c>
      <x:c r="F244" s="8" t="n">
        <x:f>M118</x:f>
        <x:v>0</x:v>
      </x:c>
      <x:c r="G244" s="8" t="n">
        <x:f>N118</x:f>
        <x:v>0</x:v>
      </x:c>
      <x:c r="H244" s="8" t="n">
        <x:f>SUMIFS('PO detail'!$U$2:$U$672,'PO detail'!$A$2:$A$672,B244,'PO detail'!$B$2:$B$672,C244,'PO detail'!$G$2:$G$672,"&gt;="&amp;D244,'PO detail'!$G$2:$G$672,"&lt;"&amp;A244)</x:f>
        <x:v>0</x:v>
      </x:c>
      <x:c r="I244" s="8" t="n">
        <x:f>SUMIFS('PO detail'!$V$2:$V$672,'PO detail'!$A$2:$A$672,B244,'PO detail'!$B$2:$B$672,C244,'PO detail'!$G$2:$G$672,"&gt;="&amp;D244,'PO detail'!$G$2:$G$672,"&lt;"&amp;A244)</x:f>
        <x:v>0</x:v>
      </x:c>
      <x:c r="J244" s="8" t="n">
        <x:f>SUMIFS('PO detail'!$W$2:$W$672,'PO detail'!$A$2:$A$672,B244,'PO detail'!$B$2:$B$672,C244,'PO detail'!$G$2:$G$672,"&gt;="&amp;D244,'PO detail'!$G$2:$G$672,"&lt;"&amp;A244)</x:f>
        <x:v>0</x:v>
      </x:c>
      <x:c r="K244" s="8" t="n">
        <x:f>'Current inventory'!E118*Summary!$D$6*(A244-D244)/30.4375</x:f>
        <x:v>0</x:v>
      </x:c>
      <x:c r="L244" s="8" t="n">
        <x:f>MAX(0,E244+H244-K244)</x:f>
        <x:v>0</x:v>
      </x:c>
      <x:c r="M244" s="8" t="n">
        <x:f>MAX(0,F244+I244-MAX(0,K244-E244-H244))</x:f>
        <x:v>0</x:v>
      </x:c>
      <x:c r="N244" s="8" t="n">
        <x:f>MAX(0,G244+J244-K244)</x:f>
        <x:v>0</x:v>
      </x:c>
      <x:c r="O244" s="8" t="n">
        <x:f>SUM(L244:N244)</x:f>
        <x:v>0</x:v>
      </x:c>
      <x:c r="P244" s="14" t="n">
        <x:f>'Current inventory'!V118</x:f>
        <x:v>0.14150000000000001</x:v>
      </x:c>
      <x:c r="Q244" s="14" t="str">
        <x:f>'Current inventory'!W118</x:f>
        <x:v>n.a.</x:v>
      </x:c>
      <x:c r="R244" s="10" t="n">
        <x:f>L244*P244</x:f>
        <x:v>0</x:v>
      </x:c>
      <x:c r="S244" s="10" t="n">
        <x:f>M244*P244</x:f>
        <x:v>0</x:v>
      </x:c>
      <x:c r="T244" s="10" t="n">
        <x:f>N244*P244</x:f>
        <x:v>0</x:v>
      </x:c>
      <x:c r="U244" s="10" t="n">
        <x:f>O244*P244</x:f>
        <x:v>0</x:v>
      </x:c>
      <x:c r="V244" s="10" t="str">
        <x:f>IF(ISNUMBER(Q244),O244*(Q244-P244),"n.a.")</x:f>
        <x:v>n.a.</x:v>
      </x:c>
      <x:c r="W244" s="10" t="n">
        <x:f>IF(ISNUMBER(Q244),U244,0)</x:f>
        <x:v>0</x:v>
      </x:c>
      <x:c r="X244" s="8" t="n">
        <x:f>MAX(0,K244-SUM(E244:J244))</x:f>
        <x:v>0</x:v>
      </x:c>
      <x:c r="Y244" s="1" t="str">
        <x:f>IF(AND(O244&gt;0,NOT(ISNUMBER(Q244))),"No proposed replacement standard",IF(X244&gt;0,"Demand exceeds available stock",""))</x:f>
      </x:c>
      <x:c r="Z244" s="1" t="n">
        <x:f>IF(ISNUMBER(Q244),1,0)</x:f>
        <x:v>0</x:v>
      </x:c>
    </x:row>
    <x:row r="245" ht="21" customHeight="1">
      <x:c r="A245" s="17" t="n">
        <x:f>Summary!B16</x:f>
        <x:v>46357</x:v>
      </x:c>
      <x:c r="B245" s="1" t="str">
        <x:f>'Current inventory'!A119</x:f>
        <x:v>60</x:v>
      </x:c>
      <x:c r="C245" s="1" t="str">
        <x:f>'Current inventory'!B119</x:f>
        <x:v>800WFGASC</x:v>
      </x:c>
      <x:c r="D245" s="7" t="n">
        <x:f>A119</x:f>
        <x:v>46327</x:v>
      </x:c>
      <x:c r="E245" s="8" t="n">
        <x:f>L119</x:f>
        <x:v>0</x:v>
      </x:c>
      <x:c r="F245" s="8" t="n">
        <x:f>M119</x:f>
        <x:v>0</x:v>
      </x:c>
      <x:c r="G245" s="8" t="n">
        <x:f>N119</x:f>
        <x:v>0</x:v>
      </x:c>
      <x:c r="H245" s="8" t="n">
        <x:f>SUMIFS('PO detail'!$U$2:$U$672,'PO detail'!$A$2:$A$672,B245,'PO detail'!$B$2:$B$672,C245,'PO detail'!$G$2:$G$672,"&gt;="&amp;D245,'PO detail'!$G$2:$G$672,"&lt;"&amp;A245)</x:f>
        <x:v>0</x:v>
      </x:c>
      <x:c r="I245" s="8" t="n">
        <x:f>SUMIFS('PO detail'!$V$2:$V$672,'PO detail'!$A$2:$A$672,B245,'PO detail'!$B$2:$B$672,C245,'PO detail'!$G$2:$G$672,"&gt;="&amp;D245,'PO detail'!$G$2:$G$672,"&lt;"&amp;A245)</x:f>
        <x:v>0</x:v>
      </x:c>
      <x:c r="J245" s="8" t="n">
        <x:f>SUMIFS('PO detail'!$W$2:$W$672,'PO detail'!$A$2:$A$672,B245,'PO detail'!$B$2:$B$672,C245,'PO detail'!$G$2:$G$672,"&gt;="&amp;D245,'PO detail'!$G$2:$G$672,"&lt;"&amp;A245)</x:f>
        <x:v>0</x:v>
      </x:c>
      <x:c r="K245" s="8" t="n">
        <x:f>'Current inventory'!E119*Summary!$D$6*(A245-D245)/30.4375</x:f>
        <x:v>0</x:v>
      </x:c>
      <x:c r="L245" s="8" t="n">
        <x:f>MAX(0,E245+H245-K245)</x:f>
        <x:v>0</x:v>
      </x:c>
      <x:c r="M245" s="8" t="n">
        <x:f>MAX(0,F245+I245-MAX(0,K245-E245-H245))</x:f>
        <x:v>0</x:v>
      </x:c>
      <x:c r="N245" s="8" t="n">
        <x:f>MAX(0,G245+J245-K245)</x:f>
        <x:v>0</x:v>
      </x:c>
      <x:c r="O245" s="8" t="n">
        <x:f>SUM(L245:N245)</x:f>
        <x:v>0</x:v>
      </x:c>
      <x:c r="P245" s="14" t="n">
        <x:f>'Current inventory'!V119</x:f>
        <x:v>0.1456</x:v>
      </x:c>
      <x:c r="Q245" s="14" t="str">
        <x:f>'Current inventory'!W119</x:f>
        <x:v>n.a.</x:v>
      </x:c>
      <x:c r="R245" s="10" t="n">
        <x:f>L245*P245</x:f>
        <x:v>0</x:v>
      </x:c>
      <x:c r="S245" s="10" t="n">
        <x:f>M245*P245</x:f>
        <x:v>0</x:v>
      </x:c>
      <x:c r="T245" s="10" t="n">
        <x:f>N245*P245</x:f>
        <x:v>0</x:v>
      </x:c>
      <x:c r="U245" s="10" t="n">
        <x:f>O245*P245</x:f>
        <x:v>0</x:v>
      </x:c>
      <x:c r="V245" s="10" t="str">
        <x:f>IF(ISNUMBER(Q245),O245*(Q245-P245),"n.a.")</x:f>
        <x:v>n.a.</x:v>
      </x:c>
      <x:c r="W245" s="10" t="n">
        <x:f>IF(ISNUMBER(Q245),U245,0)</x:f>
        <x:v>0</x:v>
      </x:c>
      <x:c r="X245" s="8" t="n">
        <x:f>MAX(0,K245-SUM(E245:J245))</x:f>
        <x:v>0</x:v>
      </x:c>
      <x:c r="Y245" s="1" t="str">
        <x:f>IF(AND(O245&gt;0,NOT(ISNUMBER(Q245))),"No proposed replacement standard",IF(X245&gt;0,"Demand exceeds available stock",""))</x:f>
      </x:c>
      <x:c r="Z245" s="1" t="n">
        <x:f>IF(ISNUMBER(Q245),1,0)</x:f>
        <x:v>0</x:v>
      </x:c>
    </x:row>
    <x:row r="246" ht="21" customHeight="1">
      <x:c r="A246" s="17" t="n">
        <x:f>Summary!B16</x:f>
        <x:v>46357</x:v>
      </x:c>
      <x:c r="B246" s="1" t="str">
        <x:f>'Current inventory'!A120</x:f>
        <x:v>60</x:v>
      </x:c>
      <x:c r="C246" s="1" t="str">
        <x:f>'Current inventory'!B120</x:f>
        <x:v>800WFGBRC</x:v>
      </x:c>
      <x:c r="D246" s="7" t="n">
        <x:f>A120</x:f>
        <x:v>46327</x:v>
      </x:c>
      <x:c r="E246" s="8" t="n">
        <x:f>L120</x:f>
        <x:v>0</x:v>
      </x:c>
      <x:c r="F246" s="8" t="n">
        <x:f>M120</x:f>
        <x:v>0</x:v>
      </x:c>
      <x:c r="G246" s="8" t="n">
        <x:f>N120</x:f>
        <x:v>0</x:v>
      </x:c>
      <x:c r="H246" s="8" t="n">
        <x:f>SUMIFS('PO detail'!$U$2:$U$672,'PO detail'!$A$2:$A$672,B246,'PO detail'!$B$2:$B$672,C246,'PO detail'!$G$2:$G$672,"&gt;="&amp;D246,'PO detail'!$G$2:$G$672,"&lt;"&amp;A246)</x:f>
        <x:v>0</x:v>
      </x:c>
      <x:c r="I246" s="8" t="n">
        <x:f>SUMIFS('PO detail'!$V$2:$V$672,'PO detail'!$A$2:$A$672,B246,'PO detail'!$B$2:$B$672,C246,'PO detail'!$G$2:$G$672,"&gt;="&amp;D246,'PO detail'!$G$2:$G$672,"&lt;"&amp;A246)</x:f>
        <x:v>0</x:v>
      </x:c>
      <x:c r="J246" s="8" t="n">
        <x:f>SUMIFS('PO detail'!$W$2:$W$672,'PO detail'!$A$2:$A$672,B246,'PO detail'!$B$2:$B$672,C246,'PO detail'!$G$2:$G$672,"&gt;="&amp;D246,'PO detail'!$G$2:$G$672,"&lt;"&amp;A246)</x:f>
        <x:v>0</x:v>
      </x:c>
      <x:c r="K246" s="8" t="n">
        <x:f>'Current inventory'!E120*Summary!$D$6*(A246-D246)/30.4375</x:f>
        <x:v>0</x:v>
      </x:c>
      <x:c r="L246" s="8" t="n">
        <x:f>MAX(0,E246+H246-K246)</x:f>
        <x:v>0</x:v>
      </x:c>
      <x:c r="M246" s="8" t="n">
        <x:f>MAX(0,F246+I246-MAX(0,K246-E246-H246))</x:f>
        <x:v>0</x:v>
      </x:c>
      <x:c r="N246" s="8" t="n">
        <x:f>MAX(0,G246+J246-K246)</x:f>
        <x:v>0</x:v>
      </x:c>
      <x:c r="O246" s="8" t="n">
        <x:f>SUM(L246:N246)</x:f>
        <x:v>0</x:v>
      </x:c>
      <x:c r="P246" s="14" t="n">
        <x:f>'Current inventory'!V120</x:f>
        <x:v>0.18469999999999998</x:v>
      </x:c>
      <x:c r="Q246" s="14" t="str">
        <x:f>'Current inventory'!W120</x:f>
        <x:v>n.a.</x:v>
      </x:c>
      <x:c r="R246" s="10" t="n">
        <x:f>L246*P246</x:f>
        <x:v>0</x:v>
      </x:c>
      <x:c r="S246" s="10" t="n">
        <x:f>M246*P246</x:f>
        <x:v>0</x:v>
      </x:c>
      <x:c r="T246" s="10" t="n">
        <x:f>N246*P246</x:f>
        <x:v>0</x:v>
      </x:c>
      <x:c r="U246" s="10" t="n">
        <x:f>O246*P246</x:f>
        <x:v>0</x:v>
      </x:c>
      <x:c r="V246" s="10" t="str">
        <x:f>IF(ISNUMBER(Q246),O246*(Q246-P246),"n.a.")</x:f>
        <x:v>n.a.</x:v>
      </x:c>
      <x:c r="W246" s="10" t="n">
        <x:f>IF(ISNUMBER(Q246),U246,0)</x:f>
        <x:v>0</x:v>
      </x:c>
      <x:c r="X246" s="8" t="n">
        <x:f>MAX(0,K246-SUM(E246:J246))</x:f>
        <x:v>0</x:v>
      </x:c>
      <x:c r="Y246" s="1" t="str">
        <x:f>IF(AND(O246&gt;0,NOT(ISNUMBER(Q246))),"No proposed replacement standard",IF(X246&gt;0,"Demand exceeds available stock",""))</x:f>
      </x:c>
      <x:c r="Z246" s="1" t="n">
        <x:f>IF(ISNUMBER(Q246),1,0)</x:f>
        <x:v>0</x:v>
      </x:c>
    </x:row>
    <x:row r="247" ht="21" customHeight="1">
      <x:c r="A247" s="17" t="n">
        <x:f>Summary!B16</x:f>
        <x:v>46357</x:v>
      </x:c>
      <x:c r="B247" s="1" t="str">
        <x:f>'Current inventory'!A121</x:f>
        <x:v>60</x:v>
      </x:c>
      <x:c r="C247" s="1" t="str">
        <x:f>'Current inventory'!B121</x:f>
        <x:v>800WMARASC</x:v>
      </x:c>
      <x:c r="D247" s="7" t="n">
        <x:f>A121</x:f>
        <x:v>46327</x:v>
      </x:c>
      <x:c r="E247" s="8" t="n">
        <x:f>L121</x:f>
        <x:v>0</x:v>
      </x:c>
      <x:c r="F247" s="8" t="n">
        <x:f>M121</x:f>
        <x:v>0</x:v>
      </x:c>
      <x:c r="G247" s="8" t="n">
        <x:f>N121</x:f>
        <x:v>0</x:v>
      </x:c>
      <x:c r="H247" s="8" t="n">
        <x:f>SUMIFS('PO detail'!$U$2:$U$672,'PO detail'!$A$2:$A$672,B247,'PO detail'!$B$2:$B$672,C247,'PO detail'!$G$2:$G$672,"&gt;="&amp;D247,'PO detail'!$G$2:$G$672,"&lt;"&amp;A247)</x:f>
        <x:v>0</x:v>
      </x:c>
      <x:c r="I247" s="8" t="n">
        <x:f>SUMIFS('PO detail'!$V$2:$V$672,'PO detail'!$A$2:$A$672,B247,'PO detail'!$B$2:$B$672,C247,'PO detail'!$G$2:$G$672,"&gt;="&amp;D247,'PO detail'!$G$2:$G$672,"&lt;"&amp;A247)</x:f>
        <x:v>0</x:v>
      </x:c>
      <x:c r="J247" s="8" t="n">
        <x:f>SUMIFS('PO detail'!$W$2:$W$672,'PO detail'!$A$2:$A$672,B247,'PO detail'!$B$2:$B$672,C247,'PO detail'!$G$2:$G$672,"&gt;="&amp;D247,'PO detail'!$G$2:$G$672,"&lt;"&amp;A247)</x:f>
        <x:v>0</x:v>
      </x:c>
      <x:c r="K247" s="8" t="n">
        <x:f>'Current inventory'!E121*Summary!$D$6*(A247-D247)/30.4375</x:f>
        <x:v>0</x:v>
      </x:c>
      <x:c r="L247" s="8" t="n">
        <x:f>MAX(0,E247+H247-K247)</x:f>
        <x:v>0</x:v>
      </x:c>
      <x:c r="M247" s="8" t="n">
        <x:f>MAX(0,F247+I247-MAX(0,K247-E247-H247))</x:f>
        <x:v>0</x:v>
      </x:c>
      <x:c r="N247" s="8" t="n">
        <x:f>MAX(0,G247+J247-K247)</x:f>
        <x:v>0</x:v>
      </x:c>
      <x:c r="O247" s="8" t="n">
        <x:f>SUM(L247:N247)</x:f>
        <x:v>0</x:v>
      </x:c>
      <x:c r="P247" s="14" t="n">
        <x:f>'Current inventory'!V121</x:f>
        <x:v>0.1383</x:v>
      </x:c>
      <x:c r="Q247" s="14" t="str">
        <x:f>'Current inventory'!W121</x:f>
        <x:v>n.a.</x:v>
      </x:c>
      <x:c r="R247" s="10" t="n">
        <x:f>L247*P247</x:f>
        <x:v>0</x:v>
      </x:c>
      <x:c r="S247" s="10" t="n">
        <x:f>M247*P247</x:f>
        <x:v>0</x:v>
      </x:c>
      <x:c r="T247" s="10" t="n">
        <x:f>N247*P247</x:f>
        <x:v>0</x:v>
      </x:c>
      <x:c r="U247" s="10" t="n">
        <x:f>O247*P247</x:f>
        <x:v>0</x:v>
      </x:c>
      <x:c r="V247" s="10" t="str">
        <x:f>IF(ISNUMBER(Q247),O247*(Q247-P247),"n.a.")</x:f>
        <x:v>n.a.</x:v>
      </x:c>
      <x:c r="W247" s="10" t="n">
        <x:f>IF(ISNUMBER(Q247),U247,0)</x:f>
        <x:v>0</x:v>
      </x:c>
      <x:c r="X247" s="8" t="n">
        <x:f>MAX(0,K247-SUM(E247:J247))</x:f>
        <x:v>0</x:v>
      </x:c>
      <x:c r="Y247" s="1" t="str">
        <x:f>IF(AND(O247&gt;0,NOT(ISNUMBER(Q247))),"No proposed replacement standard",IF(X247&gt;0,"Demand exceeds available stock",""))</x:f>
      </x:c>
      <x:c r="Z247" s="1" t="n">
        <x:f>IF(ISNUMBER(Q247),1,0)</x:f>
        <x:v>0</x:v>
      </x:c>
    </x:row>
    <x:row r="248" ht="21" customHeight="1">
      <x:c r="A248" s="17" t="n">
        <x:f>Summary!B16</x:f>
        <x:v>46357</x:v>
      </x:c>
      <x:c r="B248" s="1" t="str">
        <x:f>'Current inventory'!A122</x:f>
        <x:v>60</x:v>
      </x:c>
      <x:c r="C248" s="1" t="str">
        <x:f>'Current inventory'!B122</x:f>
        <x:v>800WMARBRC</x:v>
      </x:c>
      <x:c r="D248" s="7" t="n">
        <x:f>A122</x:f>
        <x:v>46327</x:v>
      </x:c>
      <x:c r="E248" s="8" t="n">
        <x:f>L122</x:f>
        <x:v>0</x:v>
      </x:c>
      <x:c r="F248" s="8" t="n">
        <x:f>M122</x:f>
        <x:v>0</x:v>
      </x:c>
      <x:c r="G248" s="8" t="n">
        <x:f>N122</x:f>
        <x:v>0</x:v>
      </x:c>
      <x:c r="H248" s="8" t="n">
        <x:f>SUMIFS('PO detail'!$U$2:$U$672,'PO detail'!$A$2:$A$672,B248,'PO detail'!$B$2:$B$672,C248,'PO detail'!$G$2:$G$672,"&gt;="&amp;D248,'PO detail'!$G$2:$G$672,"&lt;"&amp;A248)</x:f>
        <x:v>0</x:v>
      </x:c>
      <x:c r="I248" s="8" t="n">
        <x:f>SUMIFS('PO detail'!$V$2:$V$672,'PO detail'!$A$2:$A$672,B248,'PO detail'!$B$2:$B$672,C248,'PO detail'!$G$2:$G$672,"&gt;="&amp;D248,'PO detail'!$G$2:$G$672,"&lt;"&amp;A248)</x:f>
        <x:v>0</x:v>
      </x:c>
      <x:c r="J248" s="8" t="n">
        <x:f>SUMIFS('PO detail'!$W$2:$W$672,'PO detail'!$A$2:$A$672,B248,'PO detail'!$B$2:$B$672,C248,'PO detail'!$G$2:$G$672,"&gt;="&amp;D248,'PO detail'!$G$2:$G$672,"&lt;"&amp;A248)</x:f>
        <x:v>0</x:v>
      </x:c>
      <x:c r="K248" s="8" t="n">
        <x:f>'Current inventory'!E122*Summary!$D$6*(A248-D248)/30.4375</x:f>
        <x:v>0</x:v>
      </x:c>
      <x:c r="L248" s="8" t="n">
        <x:f>MAX(0,E248+H248-K248)</x:f>
        <x:v>0</x:v>
      </x:c>
      <x:c r="M248" s="8" t="n">
        <x:f>MAX(0,F248+I248-MAX(0,K248-E248-H248))</x:f>
        <x:v>0</x:v>
      </x:c>
      <x:c r="N248" s="8" t="n">
        <x:f>MAX(0,G248+J248-K248)</x:f>
        <x:v>0</x:v>
      </x:c>
      <x:c r="O248" s="8" t="n">
        <x:f>SUM(L248:N248)</x:f>
        <x:v>0</x:v>
      </x:c>
      <x:c r="P248" s="14" t="n">
        <x:f>'Current inventory'!V122</x:f>
        <x:v>0.17350000000000002</x:v>
      </x:c>
      <x:c r="Q248" s="14" t="str">
        <x:f>'Current inventory'!W122</x:f>
        <x:v>n.a.</x:v>
      </x:c>
      <x:c r="R248" s="10" t="n">
        <x:f>L248*P248</x:f>
        <x:v>0</x:v>
      </x:c>
      <x:c r="S248" s="10" t="n">
        <x:f>M248*P248</x:f>
        <x:v>0</x:v>
      </x:c>
      <x:c r="T248" s="10" t="n">
        <x:f>N248*P248</x:f>
        <x:v>0</x:v>
      </x:c>
      <x:c r="U248" s="10" t="n">
        <x:f>O248*P248</x:f>
        <x:v>0</x:v>
      </x:c>
      <x:c r="V248" s="10" t="str">
        <x:f>IF(ISNUMBER(Q248),O248*(Q248-P248),"n.a.")</x:f>
        <x:v>n.a.</x:v>
      </x:c>
      <x:c r="W248" s="10" t="n">
        <x:f>IF(ISNUMBER(Q248),U248,0)</x:f>
        <x:v>0</x:v>
      </x:c>
      <x:c r="X248" s="8" t="n">
        <x:f>MAX(0,K248-SUM(E248:J248))</x:f>
        <x:v>0</x:v>
      </x:c>
      <x:c r="Y248" s="1" t="str">
        <x:f>IF(AND(O248&gt;0,NOT(ISNUMBER(Q248))),"No proposed replacement standard",IF(X248&gt;0,"Demand exceeds available stock",""))</x:f>
      </x:c>
      <x:c r="Z248" s="1" t="n">
        <x:f>IF(ISNUMBER(Q248),1,0)</x:f>
        <x:v>0</x:v>
      </x:c>
    </x:row>
    <x:row r="249" ht="21" customHeight="1">
      <x:c r="A249" s="17" t="n">
        <x:f>Summary!B16</x:f>
        <x:v>46357</x:v>
      </x:c>
      <x:c r="B249" s="1" t="str">
        <x:f>'Current inventory'!A123</x:f>
        <x:v>60</x:v>
      </x:c>
      <x:c r="C249" s="1" t="str">
        <x:f>'Current inventory'!B123</x:f>
        <x:v>800WNAVBRC</x:v>
      </x:c>
      <x:c r="D249" s="7" t="n">
        <x:f>A123</x:f>
        <x:v>46327</x:v>
      </x:c>
      <x:c r="E249" s="8" t="n">
        <x:f>L123</x:f>
        <x:v>0</x:v>
      </x:c>
      <x:c r="F249" s="8" t="n">
        <x:f>M123</x:f>
        <x:v>0</x:v>
      </x:c>
      <x:c r="G249" s="8" t="n">
        <x:f>N123</x:f>
        <x:v>0</x:v>
      </x:c>
      <x:c r="H249" s="8" t="n">
        <x:f>SUMIFS('PO detail'!$U$2:$U$672,'PO detail'!$A$2:$A$672,B249,'PO detail'!$B$2:$B$672,C249,'PO detail'!$G$2:$G$672,"&gt;="&amp;D249,'PO detail'!$G$2:$G$672,"&lt;"&amp;A249)</x:f>
        <x:v>0</x:v>
      </x:c>
      <x:c r="I249" s="8" t="n">
        <x:f>SUMIFS('PO detail'!$V$2:$V$672,'PO detail'!$A$2:$A$672,B249,'PO detail'!$B$2:$B$672,C249,'PO detail'!$G$2:$G$672,"&gt;="&amp;D249,'PO detail'!$G$2:$G$672,"&lt;"&amp;A249)</x:f>
        <x:v>0</x:v>
      </x:c>
      <x:c r="J249" s="8" t="n">
        <x:f>SUMIFS('PO detail'!$W$2:$W$672,'PO detail'!$A$2:$A$672,B249,'PO detail'!$B$2:$B$672,C249,'PO detail'!$G$2:$G$672,"&gt;="&amp;D249,'PO detail'!$G$2:$G$672,"&lt;"&amp;A249)</x:f>
        <x:v>0</x:v>
      </x:c>
      <x:c r="K249" s="8" t="n">
        <x:f>'Current inventory'!E123*Summary!$D$6*(A249-D249)/30.4375</x:f>
        <x:v>0</x:v>
      </x:c>
      <x:c r="L249" s="8" t="n">
        <x:f>MAX(0,E249+H249-K249)</x:f>
        <x:v>0</x:v>
      </x:c>
      <x:c r="M249" s="8" t="n">
        <x:f>MAX(0,F249+I249-MAX(0,K249-E249-H249))</x:f>
        <x:v>0</x:v>
      </x:c>
      <x:c r="N249" s="8" t="n">
        <x:f>MAX(0,G249+J249-K249)</x:f>
        <x:v>0</x:v>
      </x:c>
      <x:c r="O249" s="8" t="n">
        <x:f>SUM(L249:N249)</x:f>
        <x:v>0</x:v>
      </x:c>
      <x:c r="P249" s="14" t="n">
        <x:f>'Current inventory'!V123</x:f>
        <x:v>0.17350000000000002</x:v>
      </x:c>
      <x:c r="Q249" s="14" t="str">
        <x:f>'Current inventory'!W123</x:f>
        <x:v>n.a.</x:v>
      </x:c>
      <x:c r="R249" s="10" t="n">
        <x:f>L249*P249</x:f>
        <x:v>0</x:v>
      </x:c>
      <x:c r="S249" s="10" t="n">
        <x:f>M249*P249</x:f>
        <x:v>0</x:v>
      </x:c>
      <x:c r="T249" s="10" t="n">
        <x:f>N249*P249</x:f>
        <x:v>0</x:v>
      </x:c>
      <x:c r="U249" s="10" t="n">
        <x:f>O249*P249</x:f>
        <x:v>0</x:v>
      </x:c>
      <x:c r="V249" s="10" t="str">
        <x:f>IF(ISNUMBER(Q249),O249*(Q249-P249),"n.a.")</x:f>
        <x:v>n.a.</x:v>
      </x:c>
      <x:c r="W249" s="10" t="n">
        <x:f>IF(ISNUMBER(Q249),U249,0)</x:f>
        <x:v>0</x:v>
      </x:c>
      <x:c r="X249" s="8" t="n">
        <x:f>MAX(0,K249-SUM(E249:J249))</x:f>
        <x:v>0</x:v>
      </x:c>
      <x:c r="Y249" s="1" t="str">
        <x:f>IF(AND(O249&gt;0,NOT(ISNUMBER(Q249))),"No proposed replacement standard",IF(X249&gt;0,"Demand exceeds available stock",""))</x:f>
      </x:c>
      <x:c r="Z249" s="1" t="n">
        <x:f>IF(ISNUMBER(Q249),1,0)</x:f>
        <x:v>0</x:v>
      </x:c>
    </x:row>
    <x:row r="250" ht="21" customHeight="1">
      <x:c r="A250" s="17" t="n">
        <x:f>Summary!B16</x:f>
        <x:v>46357</x:v>
      </x:c>
      <x:c r="B250" s="1" t="str">
        <x:f>'Current inventory'!A124</x:f>
        <x:v>60</x:v>
      </x:c>
      <x:c r="C250" s="1" t="str">
        <x:f>'Current inventory'!B124</x:f>
        <x:v>800WREDASC</x:v>
      </x:c>
      <x:c r="D250" s="7" t="n">
        <x:f>A124</x:f>
        <x:v>46327</x:v>
      </x:c>
      <x:c r="E250" s="8" t="n">
        <x:f>L124</x:f>
        <x:v>0</x:v>
      </x:c>
      <x:c r="F250" s="8" t="n">
        <x:f>M124</x:f>
        <x:v>0</x:v>
      </x:c>
      <x:c r="G250" s="8" t="n">
        <x:f>N124</x:f>
        <x:v>0</x:v>
      </x:c>
      <x:c r="H250" s="8" t="n">
        <x:f>SUMIFS('PO detail'!$U$2:$U$672,'PO detail'!$A$2:$A$672,B250,'PO detail'!$B$2:$B$672,C250,'PO detail'!$G$2:$G$672,"&gt;="&amp;D250,'PO detail'!$G$2:$G$672,"&lt;"&amp;A250)</x:f>
        <x:v>0</x:v>
      </x:c>
      <x:c r="I250" s="8" t="n">
        <x:f>SUMIFS('PO detail'!$V$2:$V$672,'PO detail'!$A$2:$A$672,B250,'PO detail'!$B$2:$B$672,C250,'PO detail'!$G$2:$G$672,"&gt;="&amp;D250,'PO detail'!$G$2:$G$672,"&lt;"&amp;A250)</x:f>
        <x:v>0</x:v>
      </x:c>
      <x:c r="J250" s="8" t="n">
        <x:f>SUMIFS('PO detail'!$W$2:$W$672,'PO detail'!$A$2:$A$672,B250,'PO detail'!$B$2:$B$672,C250,'PO detail'!$G$2:$G$672,"&gt;="&amp;D250,'PO detail'!$G$2:$G$672,"&lt;"&amp;A250)</x:f>
        <x:v>0</x:v>
      </x:c>
      <x:c r="K250" s="8" t="n">
        <x:f>'Current inventory'!E124*Summary!$D$6*(A250-D250)/30.4375</x:f>
        <x:v>0</x:v>
      </x:c>
      <x:c r="L250" s="8" t="n">
        <x:f>MAX(0,E250+H250-K250)</x:f>
        <x:v>0</x:v>
      </x:c>
      <x:c r="M250" s="8" t="n">
        <x:f>MAX(0,F250+I250-MAX(0,K250-E250-H250))</x:f>
        <x:v>0</x:v>
      </x:c>
      <x:c r="N250" s="8" t="n">
        <x:f>MAX(0,G250+J250-K250)</x:f>
        <x:v>0</x:v>
      </x:c>
      <x:c r="O250" s="8" t="n">
        <x:f>SUM(L250:N250)</x:f>
        <x:v>0</x:v>
      </x:c>
      <x:c r="P250" s="14" t="n">
        <x:f>'Current inventory'!V124</x:f>
        <x:v>0.07919999999999999</x:v>
      </x:c>
      <x:c r="Q250" s="14" t="str">
        <x:f>'Current inventory'!W124</x:f>
        <x:v>n.a.</x:v>
      </x:c>
      <x:c r="R250" s="10" t="n">
        <x:f>L250*P250</x:f>
        <x:v>0</x:v>
      </x:c>
      <x:c r="S250" s="10" t="n">
        <x:f>M250*P250</x:f>
        <x:v>0</x:v>
      </x:c>
      <x:c r="T250" s="10" t="n">
        <x:f>N250*P250</x:f>
        <x:v>0</x:v>
      </x:c>
      <x:c r="U250" s="10" t="n">
        <x:f>O250*P250</x:f>
        <x:v>0</x:v>
      </x:c>
      <x:c r="V250" s="10" t="str">
        <x:f>IF(ISNUMBER(Q250),O250*(Q250-P250),"n.a.")</x:f>
        <x:v>n.a.</x:v>
      </x:c>
      <x:c r="W250" s="10" t="n">
        <x:f>IF(ISNUMBER(Q250),U250,0)</x:f>
        <x:v>0</x:v>
      </x:c>
      <x:c r="X250" s="8" t="n">
        <x:f>MAX(0,K250-SUM(E250:J250))</x:f>
        <x:v>0</x:v>
      </x:c>
      <x:c r="Y250" s="1" t="str">
        <x:f>IF(AND(O250&gt;0,NOT(ISNUMBER(Q250))),"No proposed replacement standard",IF(X250&gt;0,"Demand exceeds available stock",""))</x:f>
      </x:c>
      <x:c r="Z250" s="1" t="n">
        <x:f>IF(ISNUMBER(Q250),1,0)</x:f>
        <x:v>0</x:v>
      </x:c>
    </x:row>
    <x:row r="251" ht="21" customHeight="1">
      <x:c r="A251" s="17" t="n">
        <x:f>Summary!B16</x:f>
        <x:v>46357</x:v>
      </x:c>
      <x:c r="B251" s="1" t="str">
        <x:f>'Current inventory'!A125</x:f>
        <x:v>60</x:v>
      </x:c>
      <x:c r="C251" s="1" t="str">
        <x:f>'Current inventory'!B125</x:f>
        <x:v>800WREDBRC</x:v>
      </x:c>
      <x:c r="D251" s="7" t="n">
        <x:f>A125</x:f>
        <x:v>46327</x:v>
      </x:c>
      <x:c r="E251" s="8" t="n">
        <x:f>L125</x:f>
        <x:v>0</x:v>
      </x:c>
      <x:c r="F251" s="8" t="n">
        <x:f>M125</x:f>
        <x:v>0</x:v>
      </x:c>
      <x:c r="G251" s="8" t="n">
        <x:f>N125</x:f>
        <x:v>0</x:v>
      </x:c>
      <x:c r="H251" s="8" t="n">
        <x:f>SUMIFS('PO detail'!$U$2:$U$672,'PO detail'!$A$2:$A$672,B251,'PO detail'!$B$2:$B$672,C251,'PO detail'!$G$2:$G$672,"&gt;="&amp;D251,'PO detail'!$G$2:$G$672,"&lt;"&amp;A251)</x:f>
        <x:v>0</x:v>
      </x:c>
      <x:c r="I251" s="8" t="n">
        <x:f>SUMIFS('PO detail'!$V$2:$V$672,'PO detail'!$A$2:$A$672,B251,'PO detail'!$B$2:$B$672,C251,'PO detail'!$G$2:$G$672,"&gt;="&amp;D251,'PO detail'!$G$2:$G$672,"&lt;"&amp;A251)</x:f>
        <x:v>0</x:v>
      </x:c>
      <x:c r="J251" s="8" t="n">
        <x:f>SUMIFS('PO detail'!$W$2:$W$672,'PO detail'!$A$2:$A$672,B251,'PO detail'!$B$2:$B$672,C251,'PO detail'!$G$2:$G$672,"&gt;="&amp;D251,'PO detail'!$G$2:$G$672,"&lt;"&amp;A251)</x:f>
        <x:v>0</x:v>
      </x:c>
      <x:c r="K251" s="8" t="n">
        <x:f>'Current inventory'!E125*Summary!$D$6*(A251-D251)/30.4375</x:f>
        <x:v>0</x:v>
      </x:c>
      <x:c r="L251" s="8" t="n">
        <x:f>MAX(0,E251+H251-K251)</x:f>
        <x:v>0</x:v>
      </x:c>
      <x:c r="M251" s="8" t="n">
        <x:f>MAX(0,F251+I251-MAX(0,K251-E251-H251))</x:f>
        <x:v>0</x:v>
      </x:c>
      <x:c r="N251" s="8" t="n">
        <x:f>MAX(0,G251+J251-K251)</x:f>
        <x:v>0</x:v>
      </x:c>
      <x:c r="O251" s="8" t="n">
        <x:f>SUM(L251:N251)</x:f>
        <x:v>0</x:v>
      </x:c>
      <x:c r="P251" s="14" t="n">
        <x:f>'Current inventory'!V125</x:f>
        <x:v>0.0898</x:v>
      </x:c>
      <x:c r="Q251" s="14" t="str">
        <x:f>'Current inventory'!W125</x:f>
        <x:v>n.a.</x:v>
      </x:c>
      <x:c r="R251" s="10" t="n">
        <x:f>L251*P251</x:f>
        <x:v>0</x:v>
      </x:c>
      <x:c r="S251" s="10" t="n">
        <x:f>M251*P251</x:f>
        <x:v>0</x:v>
      </x:c>
      <x:c r="T251" s="10" t="n">
        <x:f>N251*P251</x:f>
        <x:v>0</x:v>
      </x:c>
      <x:c r="U251" s="10" t="n">
        <x:f>O251*P251</x:f>
        <x:v>0</x:v>
      </x:c>
      <x:c r="V251" s="10" t="str">
        <x:f>IF(ISNUMBER(Q251),O251*(Q251-P251),"n.a.")</x:f>
        <x:v>n.a.</x:v>
      </x:c>
      <x:c r="W251" s="10" t="n">
        <x:f>IF(ISNUMBER(Q251),U251,0)</x:f>
        <x:v>0</x:v>
      </x:c>
      <x:c r="X251" s="8" t="n">
        <x:f>MAX(0,K251-SUM(E251:J251))</x:f>
        <x:v>0</x:v>
      </x:c>
      <x:c r="Y251" s="1" t="str">
        <x:f>IF(AND(O251&gt;0,NOT(ISNUMBER(Q251))),"No proposed replacement standard",IF(X251&gt;0,"Demand exceeds available stock",""))</x:f>
      </x:c>
      <x:c r="Z251" s="1" t="n">
        <x:f>IF(ISNUMBER(Q251),1,0)</x:f>
        <x:v>0</x:v>
      </x:c>
    </x:row>
    <x:row r="252" ht="21" customHeight="1">
      <x:c r="A252" s="17" t="n">
        <x:f>Summary!B16</x:f>
        <x:v>46357</x:v>
      </x:c>
      <x:c r="B252" s="1" t="str">
        <x:f>'Current inventory'!A126</x:f>
        <x:v>60</x:v>
      </x:c>
      <x:c r="C252" s="1" t="str">
        <x:f>'Current inventory'!B126</x:f>
        <x:v>800WWHTASC</x:v>
      </x:c>
      <x:c r="D252" s="7" t="n">
        <x:f>A126</x:f>
        <x:v>46327</x:v>
      </x:c>
      <x:c r="E252" s="8" t="n">
        <x:f>L126</x:f>
        <x:v>0</x:v>
      </x:c>
      <x:c r="F252" s="8" t="n">
        <x:f>M126</x:f>
        <x:v>0</x:v>
      </x:c>
      <x:c r="G252" s="8" t="n">
        <x:f>N126</x:f>
        <x:v>0</x:v>
      </x:c>
      <x:c r="H252" s="8" t="n">
        <x:f>SUMIFS('PO detail'!$U$2:$U$672,'PO detail'!$A$2:$A$672,B252,'PO detail'!$B$2:$B$672,C252,'PO detail'!$G$2:$G$672,"&gt;="&amp;D252,'PO detail'!$G$2:$G$672,"&lt;"&amp;A252)</x:f>
        <x:v>0</x:v>
      </x:c>
      <x:c r="I252" s="8" t="n">
        <x:f>SUMIFS('PO detail'!$V$2:$V$672,'PO detail'!$A$2:$A$672,B252,'PO detail'!$B$2:$B$672,C252,'PO detail'!$G$2:$G$672,"&gt;="&amp;D252,'PO detail'!$G$2:$G$672,"&lt;"&amp;A252)</x:f>
        <x:v>0</x:v>
      </x:c>
      <x:c r="J252" s="8" t="n">
        <x:f>SUMIFS('PO detail'!$W$2:$W$672,'PO detail'!$A$2:$A$672,B252,'PO detail'!$B$2:$B$672,C252,'PO detail'!$G$2:$G$672,"&gt;="&amp;D252,'PO detail'!$G$2:$G$672,"&lt;"&amp;A252)</x:f>
        <x:v>0</x:v>
      </x:c>
      <x:c r="K252" s="8" t="n">
        <x:f>'Current inventory'!E126*Summary!$D$6*(A252-D252)/30.4375</x:f>
        <x:v>0</x:v>
      </x:c>
      <x:c r="L252" s="8" t="n">
        <x:f>MAX(0,E252+H252-K252)</x:f>
        <x:v>0</x:v>
      </x:c>
      <x:c r="M252" s="8" t="n">
        <x:f>MAX(0,F252+I252-MAX(0,K252-E252-H252))</x:f>
        <x:v>0</x:v>
      </x:c>
      <x:c r="N252" s="8" t="n">
        <x:f>MAX(0,G252+J252-K252)</x:f>
        <x:v>0</x:v>
      </x:c>
      <x:c r="O252" s="8" t="n">
        <x:f>SUM(L252:N252)</x:f>
        <x:v>0</x:v>
      </x:c>
      <x:c r="P252" s="14" t="n">
        <x:f>'Current inventory'!V126</x:f>
        <x:v>0.1456</x:v>
      </x:c>
      <x:c r="Q252" s="14" t="str">
        <x:f>'Current inventory'!W126</x:f>
        <x:v>n.a.</x:v>
      </x:c>
      <x:c r="R252" s="10" t="n">
        <x:f>L252*P252</x:f>
        <x:v>0</x:v>
      </x:c>
      <x:c r="S252" s="10" t="n">
        <x:f>M252*P252</x:f>
        <x:v>0</x:v>
      </x:c>
      <x:c r="T252" s="10" t="n">
        <x:f>N252*P252</x:f>
        <x:v>0</x:v>
      </x:c>
      <x:c r="U252" s="10" t="n">
        <x:f>O252*P252</x:f>
        <x:v>0</x:v>
      </x:c>
      <x:c r="V252" s="10" t="str">
        <x:f>IF(ISNUMBER(Q252),O252*(Q252-P252),"n.a.")</x:f>
        <x:v>n.a.</x:v>
      </x:c>
      <x:c r="W252" s="10" t="n">
        <x:f>IF(ISNUMBER(Q252),U252,0)</x:f>
        <x:v>0</x:v>
      </x:c>
      <x:c r="X252" s="8" t="n">
        <x:f>MAX(0,K252-SUM(E252:J252))</x:f>
        <x:v>0</x:v>
      </x:c>
      <x:c r="Y252" s="1" t="str">
        <x:f>IF(AND(O252&gt;0,NOT(ISNUMBER(Q252))),"No proposed replacement standard",IF(X252&gt;0,"Demand exceeds available stock",""))</x:f>
      </x:c>
      <x:c r="Z252" s="1" t="n">
        <x:f>IF(ISNUMBER(Q252),1,0)</x:f>
        <x:v>0</x:v>
      </x:c>
    </x:row>
    <x:row r="253" ht="21" customHeight="1">
      <x:c r="A253" s="17" t="n">
        <x:f>Summary!B16</x:f>
        <x:v>46357</x:v>
      </x:c>
      <x:c r="B253" s="1" t="str">
        <x:f>'Current inventory'!A127</x:f>
        <x:v>60</x:v>
      </x:c>
      <x:c r="C253" s="1" t="str">
        <x:f>'Current inventory'!B127</x:f>
        <x:v>800WWHTBRC</x:v>
      </x:c>
      <x:c r="D253" s="7" t="n">
        <x:f>A127</x:f>
        <x:v>46327</x:v>
      </x:c>
      <x:c r="E253" s="8" t="n">
        <x:f>L127</x:f>
        <x:v>0</x:v>
      </x:c>
      <x:c r="F253" s="8" t="n">
        <x:f>M127</x:f>
        <x:v>0</x:v>
      </x:c>
      <x:c r="G253" s="8" t="n">
        <x:f>N127</x:f>
        <x:v>0</x:v>
      </x:c>
      <x:c r="H253" s="8" t="n">
        <x:f>SUMIFS('PO detail'!$U$2:$U$672,'PO detail'!$A$2:$A$672,B253,'PO detail'!$B$2:$B$672,C253,'PO detail'!$G$2:$G$672,"&gt;="&amp;D253,'PO detail'!$G$2:$G$672,"&lt;"&amp;A253)</x:f>
        <x:v>0</x:v>
      </x:c>
      <x:c r="I253" s="8" t="n">
        <x:f>SUMIFS('PO detail'!$V$2:$V$672,'PO detail'!$A$2:$A$672,B253,'PO detail'!$B$2:$B$672,C253,'PO detail'!$G$2:$G$672,"&gt;="&amp;D253,'PO detail'!$G$2:$G$672,"&lt;"&amp;A253)</x:f>
        <x:v>0</x:v>
      </x:c>
      <x:c r="J253" s="8" t="n">
        <x:f>SUMIFS('PO detail'!$W$2:$W$672,'PO detail'!$A$2:$A$672,B253,'PO detail'!$B$2:$B$672,C253,'PO detail'!$G$2:$G$672,"&gt;="&amp;D253,'PO detail'!$G$2:$G$672,"&lt;"&amp;A253)</x:f>
        <x:v>0</x:v>
      </x:c>
      <x:c r="K253" s="8" t="n">
        <x:f>'Current inventory'!E127*Summary!$D$6*(A253-D253)/30.4375</x:f>
        <x:v>0</x:v>
      </x:c>
      <x:c r="L253" s="8" t="n">
        <x:f>MAX(0,E253+H253-K253)</x:f>
        <x:v>0</x:v>
      </x:c>
      <x:c r="M253" s="8" t="n">
        <x:f>MAX(0,F253+I253-MAX(0,K253-E253-H253))</x:f>
        <x:v>0</x:v>
      </x:c>
      <x:c r="N253" s="8" t="n">
        <x:f>MAX(0,G253+J253-K253)</x:f>
        <x:v>0</x:v>
      </x:c>
      <x:c r="O253" s="8" t="n">
        <x:f>SUM(L253:N253)</x:f>
        <x:v>0</x:v>
      </x:c>
      <x:c r="P253" s="14" t="n">
        <x:f>'Current inventory'!V127</x:f>
        <x:v>0.18469999999999998</x:v>
      </x:c>
      <x:c r="Q253" s="14" t="str">
        <x:f>'Current inventory'!W127</x:f>
        <x:v>n.a.</x:v>
      </x:c>
      <x:c r="R253" s="10" t="n">
        <x:f>L253*P253</x:f>
        <x:v>0</x:v>
      </x:c>
      <x:c r="S253" s="10" t="n">
        <x:f>M253*P253</x:f>
        <x:v>0</x:v>
      </x:c>
      <x:c r="T253" s="10" t="n">
        <x:f>N253*P253</x:f>
        <x:v>0</x:v>
      </x:c>
      <x:c r="U253" s="10" t="n">
        <x:f>O253*P253</x:f>
        <x:v>0</x:v>
      </x:c>
      <x:c r="V253" s="10" t="str">
        <x:f>IF(ISNUMBER(Q253),O253*(Q253-P253),"n.a.")</x:f>
        <x:v>n.a.</x:v>
      </x:c>
      <x:c r="W253" s="10" t="n">
        <x:f>IF(ISNUMBER(Q253),U253,0)</x:f>
        <x:v>0</x:v>
      </x:c>
      <x:c r="X253" s="8" t="n">
        <x:f>MAX(0,K253-SUM(E253:J253))</x:f>
        <x:v>0</x:v>
      </x:c>
      <x:c r="Y253" s="1" t="str">
        <x:f>IF(AND(O253&gt;0,NOT(ISNUMBER(Q253))),"No proposed replacement standard",IF(X253&gt;0,"Demand exceeds available stock",""))</x:f>
      </x:c>
      <x:c r="Z253" s="1" t="n">
        <x:f>IF(ISNUMBER(Q253),1,0)</x:f>
        <x:v>0</x:v>
      </x:c>
    </x:row>
    <x:row r="254" ht="21" customHeight="1">
      <x:c r="A254" s="17" t="n">
        <x:f>Summary!B17</x:f>
        <x:v>46388</x:v>
      </x:c>
      <x:c r="B254" s="1" t="str">
        <x:f>'Current inventory'!A2</x:f>
        <x:v>10</x:v>
      </x:c>
      <x:c r="C254" s="1" t="str">
        <x:f>'Current inventory'!B2</x:f>
        <x:v>800BBLKASC</x:v>
      </x:c>
      <x:c r="D254" s="7" t="n">
        <x:f>A128</x:f>
        <x:v>46357</x:v>
      </x:c>
      <x:c r="E254" s="8" t="n">
        <x:f>L128</x:f>
        <x:v>230044.27893223814</x:v>
      </x:c>
      <x:c r="F254" s="8" t="n">
        <x:f>M128</x:f>
        <x:v>0</x:v>
      </x:c>
      <x:c r="G254" s="8" t="n">
        <x:f>N128</x:f>
        <x:v>0</x:v>
      </x:c>
      <x:c r="H254" s="8" t="n">
        <x:f>SUMIFS('PO detail'!$U$2:$U$672,'PO detail'!$A$2:$A$672,B254,'PO detail'!$B$2:$B$672,C254,'PO detail'!$G$2:$G$672,"&gt;="&amp;D254,'PO detail'!$G$2:$G$672,"&lt;"&amp;A254)</x:f>
        <x:v>0</x:v>
      </x:c>
      <x:c r="I254" s="8" t="n">
        <x:f>SUMIFS('PO detail'!$V$2:$V$672,'PO detail'!$A$2:$A$672,B254,'PO detail'!$B$2:$B$672,C254,'PO detail'!$G$2:$G$672,"&gt;="&amp;D254,'PO detail'!$G$2:$G$672,"&lt;"&amp;A254)</x:f>
        <x:v>360000</x:v>
      </x:c>
      <x:c r="J254" s="8" t="n">
        <x:f>SUMIFS('PO detail'!$W$2:$W$672,'PO detail'!$A$2:$A$672,B254,'PO detail'!$B$2:$B$672,C254,'PO detail'!$G$2:$G$672,"&gt;="&amp;D254,'PO detail'!$G$2:$G$672,"&lt;"&amp;A254)</x:f>
        <x:v>0</x:v>
      </x:c>
      <x:c r="K254" s="8" t="n">
        <x:f>'Current inventory'!E2*Summary!$D$6*(A254-D254)/30.4375</x:f>
        <x:v>157372.2142094456</x:v>
      </x:c>
      <x:c r="L254" s="8" t="n">
        <x:f>MAX(0,E254+H254-K254)</x:f>
        <x:v>72672.06472279254</x:v>
      </x:c>
      <x:c r="M254" s="8" t="n">
        <x:f>MAX(0,F254+I254-MAX(0,K254-E254-H254))</x:f>
        <x:v>360000</x:v>
      </x:c>
      <x:c r="N254" s="8" t="n">
        <x:f>MAX(0,G254+J254-K254)</x:f>
        <x:v>0</x:v>
      </x:c>
      <x:c r="O254" s="8" t="n">
        <x:f>SUM(L254:N254)</x:f>
        <x:v>432672.06472279254</x:v>
      </x:c>
      <x:c r="P254" s="14" t="n">
        <x:f>'Current inventory'!V2</x:f>
        <x:v>0.1229</x:v>
      </x:c>
      <x:c r="Q254" s="14" t="n">
        <x:f>'Current inventory'!W2</x:f>
        <x:v>0.12841500000000003</x:v>
      </x:c>
      <x:c r="R254" s="10" t="n">
        <x:f>L254*P254</x:f>
        <x:v>8931.396754431202</x:v>
      </x:c>
      <x:c r="S254" s="10" t="n">
        <x:f>M254*P254</x:f>
        <x:v>44244</x:v>
      </x:c>
      <x:c r="T254" s="10" t="n">
        <x:f>N254*P254</x:f>
        <x:v>0</x:v>
      </x:c>
      <x:c r="U254" s="10" t="n">
        <x:f>O254*P254</x:f>
        <x:v>53175.3967544312</x:v>
      </x:c>
      <x:c r="V254" s="10" t="n">
        <x:f>IF(ISNUMBER(Q254),O254*(Q254-P254),"n.a.")</x:f>
        <x:v>2386.1864369462155</x:v>
      </x:c>
      <x:c r="W254" s="10" t="n">
        <x:f>IF(ISNUMBER(Q254),U254,0)</x:f>
        <x:v>53175.3967544312</x:v>
      </x:c>
      <x:c r="X254" s="8" t="n">
        <x:f>MAX(0,K254-SUM(E254:J254))</x:f>
        <x:v>0</x:v>
      </x:c>
      <x:c r="Y254" s="1" t="str">
        <x:f>IF(AND(O254&gt;0,NOT(ISNUMBER(Q254))),"No proposed replacement standard",IF(X254&gt;0,"Demand exceeds available stock",""))</x:f>
      </x:c>
      <x:c r="Z254" s="1" t="n">
        <x:f>IF(ISNUMBER(Q254),1,0)</x:f>
        <x:v>1</x:v>
      </x:c>
    </x:row>
    <x:row r="255" ht="21" customHeight="1">
      <x:c r="A255" s="17" t="n">
        <x:f>Summary!B17</x:f>
        <x:v>46388</x:v>
      </x:c>
      <x:c r="B255" s="1" t="str">
        <x:f>'Current inventory'!A3</x:f>
        <x:v>60</x:v>
      </x:c>
      <x:c r="C255" s="1" t="str">
        <x:f>'Current inventory'!B3</x:f>
        <x:v>800BBLKASC</x:v>
      </x:c>
      <x:c r="D255" s="7" t="n">
        <x:f>A129</x:f>
        <x:v>46357</x:v>
      </x:c>
      <x:c r="E255" s="8" t="n">
        <x:f>L129</x:f>
        <x:v>117982.88262833675</x:v>
      </x:c>
      <x:c r="F255" s="8" t="n">
        <x:f>M129</x:f>
        <x:v>0</x:v>
      </x:c>
      <x:c r="G255" s="8" t="n">
        <x:f>N129</x:f>
        <x:v>0</x:v>
      </x:c>
      <x:c r="H255" s="8" t="n">
        <x:f>SUMIFS('PO detail'!$U$2:$U$672,'PO detail'!$A$2:$A$672,B255,'PO detail'!$B$2:$B$672,C255,'PO detail'!$G$2:$G$672,"&gt;="&amp;D255,'PO detail'!$G$2:$G$672,"&lt;"&amp;A255)</x:f>
        <x:v>0</x:v>
      </x:c>
      <x:c r="I255" s="8" t="n">
        <x:f>SUMIFS('PO detail'!$V$2:$V$672,'PO detail'!$A$2:$A$672,B255,'PO detail'!$B$2:$B$672,C255,'PO detail'!$G$2:$G$672,"&gt;="&amp;D255,'PO detail'!$G$2:$G$672,"&lt;"&amp;A255)</x:f>
        <x:v>400000</x:v>
      </x:c>
      <x:c r="J255" s="8" t="n">
        <x:f>SUMIFS('PO detail'!$W$2:$W$672,'PO detail'!$A$2:$A$672,B255,'PO detail'!$B$2:$B$672,C255,'PO detail'!$G$2:$G$672,"&gt;="&amp;D255,'PO detail'!$G$2:$G$672,"&lt;"&amp;A255)</x:f>
        <x:v>0</x:v>
      </x:c>
      <x:c r="K255" s="8" t="n">
        <x:f>'Current inventory'!E3*Summary!$D$6*(A255-D255)/30.4375</x:f>
        <x:v>147289.2573305955</x:v>
      </x:c>
      <x:c r="L255" s="8" t="n">
        <x:f>MAX(0,E255+H255-K255)</x:f>
        <x:v>0</x:v>
      </x:c>
      <x:c r="M255" s="8" t="n">
        <x:f>MAX(0,F255+I255-MAX(0,K255-E255-H255))</x:f>
        <x:v>370693.62529774127</x:v>
      </x:c>
      <x:c r="N255" s="8" t="n">
        <x:f>MAX(0,G255+J255-K255)</x:f>
        <x:v>0</x:v>
      </x:c>
      <x:c r="O255" s="8" t="n">
        <x:f>SUM(L255:N255)</x:f>
        <x:v>370693.62529774127</x:v>
      </x:c>
      <x:c r="P255" s="14" t="n">
        <x:f>'Current inventory'!V3</x:f>
        <x:v>0.1229</x:v>
      </x:c>
      <x:c r="Q255" s="14" t="n">
        <x:f>'Current inventory'!W3</x:f>
        <x:v>0.12841500000000003</x:v>
      </x:c>
      <x:c r="R255" s="10" t="n">
        <x:f>L255*P255</x:f>
        <x:v>0</x:v>
      </x:c>
      <x:c r="S255" s="10" t="n">
        <x:f>M255*P255</x:f>
        <x:v>45558.2465490924</x:v>
      </x:c>
      <x:c r="T255" s="10" t="n">
        <x:f>N255*P255</x:f>
        <x:v>0</x:v>
      </x:c>
      <x:c r="U255" s="10" t="n">
        <x:f>O255*P255</x:f>
        <x:v>45558.2465490924</x:v>
      </x:c>
      <x:c r="V255" s="10" t="n">
        <x:f>IF(ISNUMBER(Q255),O255*(Q255-P255),"n.a.")</x:f>
        <x:v>2044.3753435170556</x:v>
      </x:c>
      <x:c r="W255" s="10" t="n">
        <x:f>IF(ISNUMBER(Q255),U255,0)</x:f>
        <x:v>45558.2465490924</x:v>
      </x:c>
      <x:c r="X255" s="8" t="n">
        <x:f>MAX(0,K255-SUM(E255:J255))</x:f>
        <x:v>0</x:v>
      </x:c>
      <x:c r="Y255" s="1" t="str">
        <x:f>IF(AND(O255&gt;0,NOT(ISNUMBER(Q255))),"No proposed replacement standard",IF(X255&gt;0,"Demand exceeds available stock",""))</x:f>
      </x:c>
      <x:c r="Z255" s="1" t="n">
        <x:f>IF(ISNUMBER(Q255),1,0)</x:f>
        <x:v>1</x:v>
      </x:c>
    </x:row>
    <x:row r="256" ht="21" customHeight="1">
      <x:c r="A256" s="17" t="n">
        <x:f>Summary!B17</x:f>
        <x:v>46388</x:v>
      </x:c>
      <x:c r="B256" s="1" t="str">
        <x:f>'Current inventory'!A4</x:f>
        <x:v>30</x:v>
      </x:c>
      <x:c r="C256" s="1" t="str">
        <x:f>'Current inventory'!B4</x:f>
        <x:v>800BBLKASC</x:v>
      </x:c>
      <x:c r="D256" s="7" t="n">
        <x:f>A130</x:f>
        <x:v>46357</x:v>
      </x:c>
      <x:c r="E256" s="8" t="n">
        <x:f>L130</x:f>
        <x:v>98633.6755646817</x:v>
      </x:c>
      <x:c r="F256" s="8" t="n">
        <x:f>M130</x:f>
        <x:v>0</x:v>
      </x:c>
      <x:c r="G256" s="8" t="n">
        <x:f>N130</x:f>
        <x:v>0</x:v>
      </x:c>
      <x:c r="H256" s="8" t="n">
        <x:f>SUMIFS('PO detail'!$U$2:$U$672,'PO detail'!$A$2:$A$672,B256,'PO detail'!$B$2:$B$672,C256,'PO detail'!$G$2:$G$672,"&gt;="&amp;D256,'PO detail'!$G$2:$G$672,"&lt;"&amp;A256)</x:f>
        <x:v>0</x:v>
      </x:c>
      <x:c r="I256" s="8" t="n">
        <x:f>SUMIFS('PO detail'!$V$2:$V$672,'PO detail'!$A$2:$A$672,B256,'PO detail'!$B$2:$B$672,C256,'PO detail'!$G$2:$G$672,"&gt;="&amp;D256,'PO detail'!$G$2:$G$672,"&lt;"&amp;A256)</x:f>
        <x:v>240000</x:v>
      </x:c>
      <x:c r="J256" s="8" t="n">
        <x:f>SUMIFS('PO detail'!$W$2:$W$672,'PO detail'!$A$2:$A$672,B256,'PO detail'!$B$2:$B$672,C256,'PO detail'!$G$2:$G$672,"&gt;="&amp;D256,'PO detail'!$G$2:$G$672,"&lt;"&amp;A256)</x:f>
        <x:v>0</x:v>
      </x:c>
      <x:c r="K256" s="8" t="n">
        <x:f>'Current inventory'!E4*Summary!$D$6*(A256-D256)/30.4375</x:f>
        <x:v>54259.548254620124</x:v>
      </x:c>
      <x:c r="L256" s="8" t="n">
        <x:f>MAX(0,E256+H256-K256)</x:f>
        <x:v>44374.12731006158</x:v>
      </x:c>
      <x:c r="M256" s="8" t="n">
        <x:f>MAX(0,F256+I256-MAX(0,K256-E256-H256))</x:f>
        <x:v>240000</x:v>
      </x:c>
      <x:c r="N256" s="8" t="n">
        <x:f>MAX(0,G256+J256-K256)</x:f>
        <x:v>0</x:v>
      </x:c>
      <x:c r="O256" s="8" t="n">
        <x:f>SUM(L256:N256)</x:f>
        <x:v>284374.1273100616</x:v>
      </x:c>
      <x:c r="P256" s="14" t="n">
        <x:f>'Current inventory'!V4</x:f>
        <x:v>0.1229</x:v>
      </x:c>
      <x:c r="Q256" s="14" t="n">
        <x:f>'Current inventory'!W4</x:f>
        <x:v>0.12841500000000003</x:v>
      </x:c>
      <x:c r="R256" s="10" t="n">
        <x:f>L256*P256</x:f>
        <x:v>5453.580246406568</x:v>
      </x:c>
      <x:c r="S256" s="10" t="n">
        <x:f>M256*P256</x:f>
        <x:v>29496</x:v>
      </x:c>
      <x:c r="T256" s="10" t="n">
        <x:f>N256*P256</x:f>
        <x:v>0</x:v>
      </x:c>
      <x:c r="U256" s="10" t="n">
        <x:f>O256*P256</x:f>
        <x:v>34949.58024640657</x:v>
      </x:c>
      <x:c r="V256" s="10" t="n">
        <x:f>IF(ISNUMBER(Q256),O256*(Q256-P256),"n.a.")</x:f>
        <x:v>1568.3233121149992</x:v>
      </x:c>
      <x:c r="W256" s="10" t="n">
        <x:f>IF(ISNUMBER(Q256),U256,0)</x:f>
        <x:v>34949.58024640657</x:v>
      </x:c>
      <x:c r="X256" s="8" t="n">
        <x:f>MAX(0,K256-SUM(E256:J256))</x:f>
        <x:v>0</x:v>
      </x:c>
      <x:c r="Y256" s="1" t="str">
        <x:f>IF(AND(O256&gt;0,NOT(ISNUMBER(Q256))),"No proposed replacement standard",IF(X256&gt;0,"Demand exceeds available stock",""))</x:f>
      </x:c>
      <x:c r="Z256" s="1" t="n">
        <x:f>IF(ISNUMBER(Q256),1,0)</x:f>
        <x:v>1</x:v>
      </x:c>
    </x:row>
    <x:row r="257" ht="21" customHeight="1">
      <x:c r="A257" s="17" t="n">
        <x:f>Summary!B17</x:f>
        <x:v>46388</x:v>
      </x:c>
      <x:c r="B257" s="1" t="str">
        <x:f>'Current inventory'!A5</x:f>
        <x:v>60</x:v>
      </x:c>
      <x:c r="C257" s="1" t="str">
        <x:f>'Current inventory'!B5</x:f>
        <x:v>800BNAVASC</x:v>
      </x:c>
      <x:c r="D257" s="7" t="n">
        <x:f>A131</x:f>
        <x:v>46357</x:v>
      </x:c>
      <x:c r="E257" s="8" t="n">
        <x:f>L131</x:f>
        <x:v>0</x:v>
      </x:c>
      <x:c r="F257" s="8" t="n">
        <x:f>M131</x:f>
        <x:v>0</x:v>
      </x:c>
      <x:c r="G257" s="8" t="n">
        <x:f>N131</x:f>
        <x:v>0</x:v>
      </x:c>
      <x:c r="H257" s="8" t="n">
        <x:f>SUMIFS('PO detail'!$U$2:$U$672,'PO detail'!$A$2:$A$672,B257,'PO detail'!$B$2:$B$672,C257,'PO detail'!$G$2:$G$672,"&gt;="&amp;D257,'PO detail'!$G$2:$G$672,"&lt;"&amp;A257)</x:f>
        <x:v>0</x:v>
      </x:c>
      <x:c r="I257" s="8" t="n">
        <x:f>SUMIFS('PO detail'!$V$2:$V$672,'PO detail'!$A$2:$A$672,B257,'PO detail'!$B$2:$B$672,C257,'PO detail'!$G$2:$G$672,"&gt;="&amp;D257,'PO detail'!$G$2:$G$672,"&lt;"&amp;A257)</x:f>
        <x:v>50000</x:v>
      </x:c>
      <x:c r="J257" s="8" t="n">
        <x:f>SUMIFS('PO detail'!$W$2:$W$672,'PO detail'!$A$2:$A$672,B257,'PO detail'!$B$2:$B$672,C257,'PO detail'!$G$2:$G$672,"&gt;="&amp;D257,'PO detail'!$G$2:$G$672,"&lt;"&amp;A257)</x:f>
        <x:v>0</x:v>
      </x:c>
      <x:c r="K257" s="8" t="n">
        <x:f>'Current inventory'!E5*Summary!$D$6*(A257-D257)/30.4375</x:f>
        <x:v>20496.919917864478</x:v>
      </x:c>
      <x:c r="L257" s="8" t="n">
        <x:f>MAX(0,E257+H257-K257)</x:f>
        <x:v>0</x:v>
      </x:c>
      <x:c r="M257" s="8" t="n">
        <x:f>MAX(0,F257+I257-MAX(0,K257-E257-H257))</x:f>
        <x:v>29503.080082135522</x:v>
      </x:c>
      <x:c r="N257" s="8" t="n">
        <x:f>MAX(0,G257+J257-K257)</x:f>
        <x:v>0</x:v>
      </x:c>
      <x:c r="O257" s="8" t="n">
        <x:f>SUM(L257:N257)</x:f>
        <x:v>29503.080082135522</x:v>
      </x:c>
      <x:c r="P257" s="14" t="n">
        <x:f>'Current inventory'!V5</x:f>
        <x:v>0.1515</x:v>
      </x:c>
      <x:c r="Q257" s="14" t="n">
        <x:f>'Current inventory'!W5</x:f>
        <x:v>0.15834</x:v>
      </x:c>
      <x:c r="R257" s="10" t="n">
        <x:f>L257*P257</x:f>
        <x:v>0</x:v>
      </x:c>
      <x:c r="S257" s="10" t="n">
        <x:f>M257*P257</x:f>
        <x:v>4469.716632443531</x:v>
      </x:c>
      <x:c r="T257" s="10" t="n">
        <x:f>N257*P257</x:f>
        <x:v>0</x:v>
      </x:c>
      <x:c r="U257" s="10" t="n">
        <x:f>O257*P257</x:f>
        <x:v>4469.716632443531</x:v>
      </x:c>
      <x:c r="V257" s="10" t="n">
        <x:f>IF(ISNUMBER(Q257),O257*(Q257-P257),"n.a.")</x:f>
        <x:v>201.80106776180736</x:v>
      </x:c>
      <x:c r="W257" s="10" t="n">
        <x:f>IF(ISNUMBER(Q257),U257,0)</x:f>
        <x:v>4469.716632443531</x:v>
      </x:c>
      <x:c r="X257" s="8" t="n">
        <x:f>MAX(0,K257-SUM(E257:J257))</x:f>
        <x:v>0</x:v>
      </x:c>
      <x:c r="Y257" s="1" t="str">
        <x:f>IF(AND(O257&gt;0,NOT(ISNUMBER(Q257))),"No proposed replacement standard",IF(X257&gt;0,"Demand exceeds available stock",""))</x:f>
      </x:c>
      <x:c r="Z257" s="1" t="n">
        <x:f>IF(ISNUMBER(Q257),1,0)</x:f>
        <x:v>1</x:v>
      </x:c>
    </x:row>
    <x:row r="258" ht="21" customHeight="1">
      <x:c r="A258" s="17" t="n">
        <x:f>Summary!B17</x:f>
        <x:v>46388</x:v>
      </x:c>
      <x:c r="B258" s="1" t="str">
        <x:f>'Current inventory'!A6</x:f>
        <x:v>10</x:v>
      </x:c>
      <x:c r="C258" s="1" t="str">
        <x:f>'Current inventory'!B6</x:f>
        <x:v>800BNAVASC</x:v>
      </x:c>
      <x:c r="D258" s="7" t="n">
        <x:f>A132</x:f>
        <x:v>46357</x:v>
      </x:c>
      <x:c r="E258" s="8" t="n">
        <x:f>L132</x:f>
        <x:v>97694.73544147843</x:v>
      </x:c>
      <x:c r="F258" s="8" t="n">
        <x:f>M132</x:f>
        <x:v>0</x:v>
      </x:c>
      <x:c r="G258" s="8" t="n">
        <x:f>N132</x:f>
        <x:v>0</x:v>
      </x:c>
      <x:c r="H258" s="8" t="n">
        <x:f>SUMIFS('PO detail'!$U$2:$U$672,'PO detail'!$A$2:$A$672,B258,'PO detail'!$B$2:$B$672,C258,'PO detail'!$G$2:$G$672,"&gt;="&amp;D258,'PO detail'!$G$2:$G$672,"&lt;"&amp;A258)</x:f>
        <x:v>0</x:v>
      </x:c>
      <x:c r="I258" s="8" t="n">
        <x:f>SUMIFS('PO detail'!$V$2:$V$672,'PO detail'!$A$2:$A$672,B258,'PO detail'!$B$2:$B$672,C258,'PO detail'!$G$2:$G$672,"&gt;="&amp;D258,'PO detail'!$G$2:$G$672,"&lt;"&amp;A258)</x:f>
        <x:v>50000</x:v>
      </x:c>
      <x:c r="J258" s="8" t="n">
        <x:f>SUMIFS('PO detail'!$W$2:$W$672,'PO detail'!$A$2:$A$672,B258,'PO detail'!$B$2:$B$672,C258,'PO detail'!$G$2:$G$672,"&gt;="&amp;D258,'PO detail'!$G$2:$G$672,"&lt;"&amp;A258)</x:f>
        <x:v>0</x:v>
      </x:c>
      <x:c r="K258" s="8" t="n">
        <x:f>'Current inventory'!E6*Summary!$D$6*(A258-D258)/30.4375</x:f>
        <x:v>14216.28681724846</x:v>
      </x:c>
      <x:c r="L258" s="8" t="n">
        <x:f>MAX(0,E258+H258-K258)</x:f>
        <x:v>83478.44862422998</x:v>
      </x:c>
      <x:c r="M258" s="8" t="n">
        <x:f>MAX(0,F258+I258-MAX(0,K258-E258-H258))</x:f>
        <x:v>50000</x:v>
      </x:c>
      <x:c r="N258" s="8" t="n">
        <x:f>MAX(0,G258+J258-K258)</x:f>
        <x:v>0</x:v>
      </x:c>
      <x:c r="O258" s="8" t="n">
        <x:f>SUM(L258:N258)</x:f>
        <x:v>133478.44862423</x:v>
      </x:c>
      <x:c r="P258" s="14" t="n">
        <x:f>'Current inventory'!V6</x:f>
        <x:v>0.1515</x:v>
      </x:c>
      <x:c r="Q258" s="14" t="n">
        <x:f>'Current inventory'!W6</x:f>
        <x:v>0.15834</x:v>
      </x:c>
      <x:c r="R258" s="10" t="n">
        <x:f>L258*P258</x:f>
        <x:v>12646.98496657084</x:v>
      </x:c>
      <x:c r="S258" s="10" t="n">
        <x:f>M258*P258</x:f>
        <x:v>7575</x:v>
      </x:c>
      <x:c r="T258" s="10" t="n">
        <x:f>N258*P258</x:f>
        <x:v>0</x:v>
      </x:c>
      <x:c r="U258" s="10" t="n">
        <x:f>O258*P258</x:f>
        <x:v>20221.984966570843</x:v>
      </x:c>
      <x:c r="V258" s="10" t="n">
        <x:f>IF(ISNUMBER(Q258),O258*(Q258-P258),"n.a.")</x:f>
        <x:v>912.9925885897349</x:v>
      </x:c>
      <x:c r="W258" s="10" t="n">
        <x:f>IF(ISNUMBER(Q258),U258,0)</x:f>
        <x:v>20221.984966570843</x:v>
      </x:c>
      <x:c r="X258" s="8" t="n">
        <x:f>MAX(0,K258-SUM(E258:J258))</x:f>
        <x:v>0</x:v>
      </x:c>
      <x:c r="Y258" s="1" t="str">
        <x:f>IF(AND(O258&gt;0,NOT(ISNUMBER(Q258))),"No proposed replacement standard",IF(X258&gt;0,"Demand exceeds available stock",""))</x:f>
      </x:c>
      <x:c r="Z258" s="1" t="n">
        <x:f>IF(ISNUMBER(Q258),1,0)</x:f>
        <x:v>1</x:v>
      </x:c>
    </x:row>
    <x:row r="259" ht="21" customHeight="1">
      <x:c r="A259" s="17" t="n">
        <x:f>Summary!B17</x:f>
        <x:v>46388</x:v>
      </x:c>
      <x:c r="B259" s="1" t="str">
        <x:f>'Current inventory'!A7</x:f>
        <x:v>10</x:v>
      </x:c>
      <x:c r="C259" s="1" t="str">
        <x:f>'Current inventory'!B7</x:f>
        <x:v>800BBLKISC</x:v>
      </x:c>
      <x:c r="D259" s="7" t="n">
        <x:f>A133</x:f>
        <x:v>46357</x:v>
      </x:c>
      <x:c r="E259" s="8" t="n">
        <x:f>L133</x:f>
        <x:v>74577.6180698152</x:v>
      </x:c>
      <x:c r="F259" s="8" t="n">
        <x:f>M133</x:f>
        <x:v>0</x:v>
      </x:c>
      <x:c r="G259" s="8" t="n">
        <x:f>N133</x:f>
        <x:v>0</x:v>
      </x:c>
      <x:c r="H259" s="8" t="n">
        <x:f>SUMIFS('PO detail'!$U$2:$U$672,'PO detail'!$A$2:$A$672,B259,'PO detail'!$B$2:$B$672,C259,'PO detail'!$G$2:$G$672,"&gt;="&amp;D259,'PO detail'!$G$2:$G$672,"&lt;"&amp;A259)</x:f>
        <x:v>0</x:v>
      </x:c>
      <x:c r="I259" s="8" t="n">
        <x:f>SUMIFS('PO detail'!$V$2:$V$672,'PO detail'!$A$2:$A$672,B259,'PO detail'!$B$2:$B$672,C259,'PO detail'!$G$2:$G$672,"&gt;="&amp;D259,'PO detail'!$G$2:$G$672,"&lt;"&amp;A259)</x:f>
        <x:v>0</x:v>
      </x:c>
      <x:c r="J259" s="8" t="n">
        <x:f>SUMIFS('PO detail'!$W$2:$W$672,'PO detail'!$A$2:$A$672,B259,'PO detail'!$B$2:$B$672,C259,'PO detail'!$G$2:$G$672,"&gt;="&amp;D259,'PO detail'!$G$2:$G$672,"&lt;"&amp;A259)</x:f>
        <x:v>0</x:v>
      </x:c>
      <x:c r="K259" s="8" t="n">
        <x:f>'Current inventory'!E7*Summary!$D$6*(A259-D259)/30.4375</x:f>
        <x:v>12705.544147843942</x:v>
      </x:c>
      <x:c r="L259" s="8" t="n">
        <x:f>MAX(0,E259+H259-K259)</x:f>
        <x:v>61872.073921971256</x:v>
      </x:c>
      <x:c r="M259" s="8" t="n">
        <x:f>MAX(0,F259+I259-MAX(0,K259-E259-H259))</x:f>
        <x:v>0</x:v>
      </x:c>
      <x:c r="N259" s="8" t="n">
        <x:f>MAX(0,G259+J259-K259)</x:f>
        <x:v>0</x:v>
      </x:c>
      <x:c r="O259" s="8" t="n">
        <x:f>SUM(L259:N259)</x:f>
        <x:v>61872.073921971256</x:v>
      </x:c>
      <x:c r="P259" s="14" t="n">
        <x:f>'Current inventory'!V7</x:f>
        <x:v>0.1612</x:v>
      </x:c>
      <x:c r="Q259" s="14" t="n">
        <x:f>'Current inventory'!W7</x:f>
        <x:v>0.16842</x:v>
      </x:c>
      <x:c r="R259" s="10" t="n">
        <x:f>L259*P259</x:f>
        <x:v>9973.778316221767</x:v>
      </x:c>
      <x:c r="S259" s="10" t="n">
        <x:f>M259*P259</x:f>
        <x:v>0</x:v>
      </x:c>
      <x:c r="T259" s="10" t="n">
        <x:f>N259*P259</x:f>
        <x:v>0</x:v>
      </x:c>
      <x:c r="U259" s="10" t="n">
        <x:f>O259*P259</x:f>
        <x:v>9973.778316221767</x:v>
      </x:c>
      <x:c r="V259" s="10" t="n">
        <x:f>IF(ISNUMBER(Q259),O259*(Q259-P259),"n.a.")</x:f>
        <x:v>446.716373716631</x:v>
      </x:c>
      <x:c r="W259" s="10" t="n">
        <x:f>IF(ISNUMBER(Q259),U259,0)</x:f>
        <x:v>9973.778316221767</x:v>
      </x:c>
      <x:c r="X259" s="8" t="n">
        <x:f>MAX(0,K259-SUM(E259:J259))</x:f>
        <x:v>0</x:v>
      </x:c>
      <x:c r="Y259" s="1" t="str">
        <x:f>IF(AND(O259&gt;0,NOT(ISNUMBER(Q259))),"No proposed replacement standard",IF(X259&gt;0,"Demand exceeds available stock",""))</x:f>
      </x:c>
      <x:c r="Z259" s="1" t="n">
        <x:f>IF(ISNUMBER(Q259),1,0)</x:f>
        <x:v>1</x:v>
      </x:c>
    </x:row>
    <x:row r="260" ht="21" customHeight="1">
      <x:c r="A260" s="17" t="n">
        <x:f>Summary!B17</x:f>
        <x:v>46388</x:v>
      </x:c>
      <x:c r="B260" s="1" t="str">
        <x:f>'Current inventory'!A8</x:f>
        <x:v>60</x:v>
      </x:c>
      <x:c r="C260" s="1" t="str">
        <x:f>'Current inventory'!B8</x:f>
        <x:v>800BBLKDSC</x:v>
      </x:c>
      <x:c r="D260" s="7" t="n">
        <x:f>A134</x:f>
        <x:v>46357</x:v>
      </x:c>
      <x:c r="E260" s="8" t="n">
        <x:f>L134</x:f>
        <x:v>23667.145790554412</x:v>
      </x:c>
      <x:c r="F260" s="8" t="n">
        <x:f>M134</x:f>
        <x:v>0</x:v>
      </x:c>
      <x:c r="G260" s="8" t="n">
        <x:f>N134</x:f>
        <x:v>0</x:v>
      </x:c>
      <x:c r="H260" s="8" t="n">
        <x:f>SUMIFS('PO detail'!$U$2:$U$672,'PO detail'!$A$2:$A$672,B260,'PO detail'!$B$2:$B$672,C260,'PO detail'!$G$2:$G$672,"&gt;="&amp;D260,'PO detail'!$G$2:$G$672,"&lt;"&amp;A260)</x:f>
        <x:v>0</x:v>
      </x:c>
      <x:c r="I260" s="8" t="n">
        <x:f>SUMIFS('PO detail'!$V$2:$V$672,'PO detail'!$A$2:$A$672,B260,'PO detail'!$B$2:$B$672,C260,'PO detail'!$G$2:$G$672,"&gt;="&amp;D260,'PO detail'!$G$2:$G$672,"&lt;"&amp;A260)</x:f>
        <x:v>40000</x:v>
      </x:c>
      <x:c r="J260" s="8" t="n">
        <x:f>SUMIFS('PO detail'!$W$2:$W$672,'PO detail'!$A$2:$A$672,B260,'PO detail'!$B$2:$B$672,C260,'PO detail'!$G$2:$G$672,"&gt;="&amp;D260,'PO detail'!$G$2:$G$672,"&lt;"&amp;A260)</x:f>
        <x:v>0</x:v>
      </x:c>
      <x:c r="K260" s="8" t="n">
        <x:f>'Current inventory'!E8*Summary!$D$6*(A260-D260)/30.4375</x:f>
        <x:v>11483.367556468173</x:v>
      </x:c>
      <x:c r="L260" s="8" t="n">
        <x:f>MAX(0,E260+H260-K260)</x:f>
        <x:v>12183.77823408624</x:v>
      </x:c>
      <x:c r="M260" s="8" t="n">
        <x:f>MAX(0,F260+I260-MAX(0,K260-E260-H260))</x:f>
        <x:v>40000</x:v>
      </x:c>
      <x:c r="N260" s="8" t="n">
        <x:f>MAX(0,G260+J260-K260)</x:f>
        <x:v>0</x:v>
      </x:c>
      <x:c r="O260" s="8" t="n">
        <x:f>SUM(L260:N260)</x:f>
        <x:v>52183.77823408624</x:v>
      </x:c>
      <x:c r="P260" s="14" t="n">
        <x:f>'Current inventory'!V8</x:f>
        <x:v>0.3332</x:v>
      </x:c>
      <x:c r="Q260" s="14" t="n">
        <x:f>'Current inventory'!W8</x:f>
        <x:v>0.34818</x:v>
      </x:c>
      <x:c r="R260" s="10" t="n">
        <x:f>L260*P260</x:f>
        <x:v>4059.634907597535</x:v>
      </x:c>
      <x:c r="S260" s="10" t="n">
        <x:f>M260*P260</x:f>
        <x:v>13328</x:v>
      </x:c>
      <x:c r="T260" s="10" t="n">
        <x:f>N260*P260</x:f>
        <x:v>0</x:v>
      </x:c>
      <x:c r="U260" s="10" t="n">
        <x:f>O260*P260</x:f>
        <x:v>17387.634907597534</x:v>
      </x:c>
      <x:c r="V260" s="10" t="n">
        <x:f>IF(ISNUMBER(Q260),O260*(Q260-P260),"n.a.")</x:f>
        <x:v>781.7129979466115</x:v>
      </x:c>
      <x:c r="W260" s="10" t="n">
        <x:f>IF(ISNUMBER(Q260),U260,0)</x:f>
        <x:v>17387.634907597534</x:v>
      </x:c>
      <x:c r="X260" s="8" t="n">
        <x:f>MAX(0,K260-SUM(E260:J260))</x:f>
        <x:v>0</x:v>
      </x:c>
      <x:c r="Y260" s="1" t="str">
        <x:f>IF(AND(O260&gt;0,NOT(ISNUMBER(Q260))),"No proposed replacement standard",IF(X260&gt;0,"Demand exceeds available stock",""))</x:f>
      </x:c>
      <x:c r="Z260" s="1" t="n">
        <x:f>IF(ISNUMBER(Q260),1,0)</x:f>
        <x:v>1</x:v>
      </x:c>
    </x:row>
    <x:row r="261" ht="21" customHeight="1">
      <x:c r="A261" s="17" t="n">
        <x:f>Summary!B17</x:f>
        <x:v>46388</x:v>
      </x:c>
      <x:c r="B261" s="1" t="str">
        <x:f>'Current inventory'!A9</x:f>
        <x:v>10</x:v>
      </x:c>
      <x:c r="C261" s="1" t="str">
        <x:f>'Current inventory'!B9</x:f>
        <x:v>800BBLKDSC</x:v>
      </x:c>
      <x:c r="D261" s="7" t="n">
        <x:f>A135</x:f>
        <x:v>46357</x:v>
      </x:c>
      <x:c r="E261" s="8" t="n">
        <x:f>L135</x:f>
        <x:v>30095.48254620123</x:v>
      </x:c>
      <x:c r="F261" s="8" t="n">
        <x:f>M135</x:f>
        <x:v>0</x:v>
      </x:c>
      <x:c r="G261" s="8" t="n">
        <x:f>N135</x:f>
        <x:v>0</x:v>
      </x:c>
      <x:c r="H261" s="8" t="n">
        <x:f>SUMIFS('PO detail'!$U$2:$U$672,'PO detail'!$A$2:$A$672,B261,'PO detail'!$B$2:$B$672,C261,'PO detail'!$G$2:$G$672,"&gt;="&amp;D261,'PO detail'!$G$2:$G$672,"&lt;"&amp;A261)</x:f>
        <x:v>0</x:v>
      </x:c>
      <x:c r="I261" s="8" t="n">
        <x:f>SUMIFS('PO detail'!$V$2:$V$672,'PO detail'!$A$2:$A$672,B261,'PO detail'!$B$2:$B$672,C261,'PO detail'!$G$2:$G$672,"&gt;="&amp;D261,'PO detail'!$G$2:$G$672,"&lt;"&amp;A261)</x:f>
        <x:v>40000</x:v>
      </x:c>
      <x:c r="J261" s="8" t="n">
        <x:f>SUMIFS('PO detail'!$W$2:$W$672,'PO detail'!$A$2:$A$672,B261,'PO detail'!$B$2:$B$672,C261,'PO detail'!$G$2:$G$672,"&gt;="&amp;D261,'PO detail'!$G$2:$G$672,"&lt;"&amp;A261)</x:f>
        <x:v>0</x:v>
      </x:c>
      <x:c r="K261" s="8" t="n">
        <x:f>'Current inventory'!E9*Summary!$D$6*(A261-D261)/30.4375</x:f>
        <x:v>10413.963039014374</x:v>
      </x:c>
      <x:c r="L261" s="8" t="n">
        <x:f>MAX(0,E261+H261-K261)</x:f>
        <x:v>19681.51950718686</x:v>
      </x:c>
      <x:c r="M261" s="8" t="n">
        <x:f>MAX(0,F261+I261-MAX(0,K261-E261-H261))</x:f>
        <x:v>40000</x:v>
      </x:c>
      <x:c r="N261" s="8" t="n">
        <x:f>MAX(0,G261+J261-K261)</x:f>
        <x:v>0</x:v>
      </x:c>
      <x:c r="O261" s="8" t="n">
        <x:f>SUM(L261:N261)</x:f>
        <x:v>59681.51950718686</x:v>
      </x:c>
      <x:c r="P261" s="14" t="n">
        <x:f>'Current inventory'!V9</x:f>
        <x:v>0.3332</x:v>
      </x:c>
      <x:c r="Q261" s="14" t="n">
        <x:f>'Current inventory'!W9</x:f>
        <x:v>0.34818</x:v>
      </x:c>
      <x:c r="R261" s="10" t="n">
        <x:f>L261*P261</x:f>
        <x:v>6557.882299794661</x:v>
      </x:c>
      <x:c r="S261" s="10" t="n">
        <x:f>M261*P261</x:f>
        <x:v>13328</x:v>
      </x:c>
      <x:c r="T261" s="10" t="n">
        <x:f>N261*P261</x:f>
        <x:v>0</x:v>
      </x:c>
      <x:c r="U261" s="10" t="n">
        <x:f>O261*P261</x:f>
        <x:v>19885.882299794663</x:v>
      </x:c>
      <x:c r="V261" s="10" t="n">
        <x:f>IF(ISNUMBER(Q261),O261*(Q261-P261),"n.a.")</x:f>
        <x:v>894.0291622176587</x:v>
      </x:c>
      <x:c r="W261" s="10" t="n">
        <x:f>IF(ISNUMBER(Q261),U261,0)</x:f>
        <x:v>19885.882299794663</x:v>
      </x:c>
      <x:c r="X261" s="8" t="n">
        <x:f>MAX(0,K261-SUM(E261:J261))</x:f>
        <x:v>0</x:v>
      </x:c>
      <x:c r="Y261" s="1" t="str">
        <x:f>IF(AND(O261&gt;0,NOT(ISNUMBER(Q261))),"No proposed replacement standard",IF(X261&gt;0,"Demand exceeds available stock",""))</x:f>
      </x:c>
      <x:c r="Z261" s="1" t="n">
        <x:f>IF(ISNUMBER(Q261),1,0)</x:f>
        <x:v>1</x:v>
      </x:c>
    </x:row>
    <x:row r="262" ht="21" customHeight="1">
      <x:c r="A262" s="17" t="n">
        <x:f>Summary!B17</x:f>
        <x:v>46388</x:v>
      </x:c>
      <x:c r="B262" s="1" t="str">
        <x:f>'Current inventory'!A10</x:f>
        <x:v>60</x:v>
      </x:c>
      <x:c r="C262" s="1" t="str">
        <x:f>'Current inventory'!B10</x:f>
        <x:v>800BBLKISC</x:v>
      </x:c>
      <x:c r="D262" s="7" t="n">
        <x:f>A136</x:f>
        <x:v>46357</x:v>
      </x:c>
      <x:c r="E262" s="8" t="n">
        <x:f>L136</x:f>
        <x:v>89426.97363449691</x:v>
      </x:c>
      <x:c r="F262" s="8" t="n">
        <x:f>M136</x:f>
        <x:v>0</x:v>
      </x:c>
      <x:c r="G262" s="8" t="n">
        <x:f>N136</x:f>
        <x:v>0</x:v>
      </x:c>
      <x:c r="H262" s="8" t="n">
        <x:f>SUMIFS('PO detail'!$U$2:$U$672,'PO detail'!$A$2:$A$672,B262,'PO detail'!$B$2:$B$672,C262,'PO detail'!$G$2:$G$672,"&gt;="&amp;D262,'PO detail'!$G$2:$G$672,"&lt;"&amp;A262)</x:f>
        <x:v>0</x:v>
      </x:c>
      <x:c r="I262" s="8" t="n">
        <x:f>SUMIFS('PO detail'!$V$2:$V$672,'PO detail'!$A$2:$A$672,B262,'PO detail'!$B$2:$B$672,C262,'PO detail'!$G$2:$G$672,"&gt;="&amp;D262,'PO detail'!$G$2:$G$672,"&lt;"&amp;A262)</x:f>
        <x:v>0</x:v>
      </x:c>
      <x:c r="J262" s="8" t="n">
        <x:f>SUMIFS('PO detail'!$W$2:$W$672,'PO detail'!$A$2:$A$672,B262,'PO detail'!$B$2:$B$672,C262,'PO detail'!$G$2:$G$672,"&gt;="&amp;D262,'PO detail'!$G$2:$G$672,"&lt;"&amp;A262)</x:f>
        <x:v>0</x:v>
      </x:c>
      <x:c r="K262" s="8" t="n">
        <x:f>'Current inventory'!E10*Summary!$D$6*(A262-D262)/30.4375</x:f>
        <x:v>9225.732402464066</x:v>
      </x:c>
      <x:c r="L262" s="8" t="n">
        <x:f>MAX(0,E262+H262-K262)</x:f>
        <x:v>80201.24123203284</x:v>
      </x:c>
      <x:c r="M262" s="8" t="n">
        <x:f>MAX(0,F262+I262-MAX(0,K262-E262-H262))</x:f>
        <x:v>0</x:v>
      </x:c>
      <x:c r="N262" s="8" t="n">
        <x:f>MAX(0,G262+J262-K262)</x:f>
        <x:v>0</x:v>
      </x:c>
      <x:c r="O262" s="8" t="n">
        <x:f>SUM(L262:N262)</x:f>
        <x:v>80201.24123203284</x:v>
      </x:c>
      <x:c r="P262" s="14" t="n">
        <x:f>'Current inventory'!V10</x:f>
        <x:v>0.1612</x:v>
      </x:c>
      <x:c r="Q262" s="14" t="n">
        <x:f>'Current inventory'!W10</x:f>
        <x:v>0.16842</x:v>
      </x:c>
      <x:c r="R262" s="10" t="n">
        <x:f>L262*P262</x:f>
        <x:v>12928.440086603696</x:v>
      </x:c>
      <x:c r="S262" s="10" t="n">
        <x:f>M262*P262</x:f>
        <x:v>0</x:v>
      </x:c>
      <x:c r="T262" s="10" t="n">
        <x:f>N262*P262</x:f>
        <x:v>0</x:v>
      </x:c>
      <x:c r="U262" s="10" t="n">
        <x:f>O262*P262</x:f>
        <x:v>12928.440086603696</x:v>
      </x:c>
      <x:c r="V262" s="10" t="n">
        <x:f>IF(ISNUMBER(Q262),O262*(Q262-P262),"n.a.")</x:f>
        <x:v>579.0529616952753</x:v>
      </x:c>
      <x:c r="W262" s="10" t="n">
        <x:f>IF(ISNUMBER(Q262),U262,0)</x:f>
        <x:v>12928.440086603696</x:v>
      </x:c>
      <x:c r="X262" s="8" t="n">
        <x:f>MAX(0,K262-SUM(E262:J262))</x:f>
        <x:v>0</x:v>
      </x:c>
      <x:c r="Y262" s="1" t="str">
        <x:f>IF(AND(O262&gt;0,NOT(ISNUMBER(Q262))),"No proposed replacement standard",IF(X262&gt;0,"Demand exceeds available stock",""))</x:f>
      </x:c>
      <x:c r="Z262" s="1" t="n">
        <x:f>IF(ISNUMBER(Q262),1,0)</x:f>
        <x:v>1</x:v>
      </x:c>
    </x:row>
    <x:row r="263" ht="21" customHeight="1">
      <x:c r="A263" s="17" t="n">
        <x:f>Summary!B17</x:f>
        <x:v>46388</x:v>
      </x:c>
      <x:c r="B263" s="1" t="str">
        <x:f>'Current inventory'!A11</x:f>
        <x:v>30</x:v>
      </x:c>
      <x:c r="C263" s="1" t="str">
        <x:f>'Current inventory'!B11</x:f>
        <x:v>800BNAVASC</x:v>
      </x:c>
      <x:c r="D263" s="7" t="n">
        <x:f>A137</x:f>
        <x:v>46357</x:v>
      </x:c>
      <x:c r="E263" s="8" t="n">
        <x:f>L137</x:f>
        <x:v>5447.769691991787</x:v>
      </x:c>
      <x:c r="F263" s="8" t="n">
        <x:f>M137</x:f>
        <x:v>0</x:v>
      </x:c>
      <x:c r="G263" s="8" t="n">
        <x:f>N137</x:f>
        <x:v>0</x:v>
      </x:c>
      <x:c r="H263" s="8" t="n">
        <x:f>SUMIFS('PO detail'!$U$2:$U$672,'PO detail'!$A$2:$A$672,B263,'PO detail'!$B$2:$B$672,C263,'PO detail'!$G$2:$G$672,"&gt;="&amp;D263,'PO detail'!$G$2:$G$672,"&lt;"&amp;A263)</x:f>
        <x:v>0</x:v>
      </x:c>
      <x:c r="I263" s="8" t="n">
        <x:f>SUMIFS('PO detail'!$V$2:$V$672,'PO detail'!$A$2:$A$672,B263,'PO detail'!$B$2:$B$672,C263,'PO detail'!$G$2:$G$672,"&gt;="&amp;D263,'PO detail'!$G$2:$G$672,"&lt;"&amp;A263)</x:f>
        <x:v>20000</x:v>
      </x:c>
      <x:c r="J263" s="8" t="n">
        <x:f>SUMIFS('PO detail'!$W$2:$W$672,'PO detail'!$A$2:$A$672,B263,'PO detail'!$B$2:$B$672,C263,'PO detail'!$G$2:$G$672,"&gt;="&amp;D263,'PO detail'!$G$2:$G$672,"&lt;"&amp;A263)</x:f>
        <x:v>0</x:v>
      </x:c>
      <x:c r="K263" s="8" t="n">
        <x:f>'Current inventory'!E11*Summary!$D$6*(A263-D263)/30.4375</x:f>
        <x:v>8979.606406570843</x:v>
      </x:c>
      <x:c r="L263" s="8" t="n">
        <x:f>MAX(0,E263+H263-K263)</x:f>
        <x:v>0</x:v>
      </x:c>
      <x:c r="M263" s="8" t="n">
        <x:f>MAX(0,F263+I263-MAX(0,K263-E263-H263))</x:f>
        <x:v>16468.163285420946</x:v>
      </x:c>
      <x:c r="N263" s="8" t="n">
        <x:f>MAX(0,G263+J263-K263)</x:f>
        <x:v>0</x:v>
      </x:c>
      <x:c r="O263" s="8" t="n">
        <x:f>SUM(L263:N263)</x:f>
        <x:v>16468.163285420946</x:v>
      </x:c>
      <x:c r="P263" s="14" t="n">
        <x:f>'Current inventory'!V11</x:f>
        <x:v>0.1515</x:v>
      </x:c>
      <x:c r="Q263" s="14" t="n">
        <x:f>'Current inventory'!W11</x:f>
        <x:v>0.15834</x:v>
      </x:c>
      <x:c r="R263" s="10" t="n">
        <x:f>L263*P263</x:f>
        <x:v>0</x:v>
      </x:c>
      <x:c r="S263" s="10" t="n">
        <x:f>M263*P263</x:f>
        <x:v>2494.926737741273</x:v>
      </x:c>
      <x:c r="T263" s="10" t="n">
        <x:f>N263*P263</x:f>
        <x:v>0</x:v>
      </x:c>
      <x:c r="U263" s="10" t="n">
        <x:f>O263*P263</x:f>
        <x:v>2494.926737741273</x:v>
      </x:c>
      <x:c r="V263" s="10" t="n">
        <x:f>IF(ISNUMBER(Q263),O263*(Q263-P263),"n.a.")</x:f>
        <x:v>112.64223687227948</x:v>
      </x:c>
      <x:c r="W263" s="10" t="n">
        <x:f>IF(ISNUMBER(Q263),U263,0)</x:f>
        <x:v>2494.926737741273</x:v>
      </x:c>
      <x:c r="X263" s="8" t="n">
        <x:f>MAX(0,K263-SUM(E263:J263))</x:f>
        <x:v>0</x:v>
      </x:c>
      <x:c r="Y263" s="1" t="str">
        <x:f>IF(AND(O263&gt;0,NOT(ISNUMBER(Q263))),"No proposed replacement standard",IF(X263&gt;0,"Demand exceeds available stock",""))</x:f>
      </x:c>
      <x:c r="Z263" s="1" t="n">
        <x:f>IF(ISNUMBER(Q263),1,0)</x:f>
        <x:v>1</x:v>
      </x:c>
    </x:row>
    <x:row r="264" ht="21" customHeight="1">
      <x:c r="A264" s="17" t="n">
        <x:f>Summary!B17</x:f>
        <x:v>46388</x:v>
      </x:c>
      <x:c r="B264" s="1" t="str">
        <x:f>'Current inventory'!A12</x:f>
        <x:v>30</x:v>
      </x:c>
      <x:c r="C264" s="1" t="str">
        <x:f>'Current inventory'!B12</x:f>
        <x:v>800BBLKDSC</x:v>
      </x:c>
      <x:c r="D264" s="7" t="n">
        <x:f>A138</x:f>
        <x:v>46357</x:v>
      </x:c>
      <x:c r="E264" s="8" t="n">
        <x:f>L138</x:f>
        <x:v>0</x:v>
      </x:c>
      <x:c r="F264" s="8" t="n">
        <x:f>M138</x:f>
        <x:v>0</x:v>
      </x:c>
      <x:c r="G264" s="8" t="n">
        <x:f>N138</x:f>
        <x:v>0</x:v>
      </x:c>
      <x:c r="H264" s="8" t="n">
        <x:f>SUMIFS('PO detail'!$U$2:$U$672,'PO detail'!$A$2:$A$672,B264,'PO detail'!$B$2:$B$672,C264,'PO detail'!$G$2:$G$672,"&gt;="&amp;D264,'PO detail'!$G$2:$G$672,"&lt;"&amp;A264)</x:f>
        <x:v>0</x:v>
      </x:c>
      <x:c r="I264" s="8" t="n">
        <x:f>SUMIFS('PO detail'!$V$2:$V$672,'PO detail'!$A$2:$A$672,B264,'PO detail'!$B$2:$B$672,C264,'PO detail'!$G$2:$G$672,"&gt;="&amp;D264,'PO detail'!$G$2:$G$672,"&lt;"&amp;A264)</x:f>
        <x:v>40000</x:v>
      </x:c>
      <x:c r="J264" s="8" t="n">
        <x:f>SUMIFS('PO detail'!$W$2:$W$672,'PO detail'!$A$2:$A$672,B264,'PO detail'!$B$2:$B$672,C264,'PO detail'!$G$2:$G$672,"&gt;="&amp;D264,'PO detail'!$G$2:$G$672,"&lt;"&amp;A264)</x:f>
        <x:v>0</x:v>
      </x:c>
      <x:c r="K264" s="8" t="n">
        <x:f>'Current inventory'!E12*Summary!$D$6*(A264-D264)/30.4375</x:f>
        <x:v>6441.889117043122</x:v>
      </x:c>
      <x:c r="L264" s="8" t="n">
        <x:f>MAX(0,E264+H264-K264)</x:f>
        <x:v>0</x:v>
      </x:c>
      <x:c r="M264" s="8" t="n">
        <x:f>MAX(0,F264+I264-MAX(0,K264-E264-H264))</x:f>
        <x:v>33558.11088295688</x:v>
      </x:c>
      <x:c r="N264" s="8" t="n">
        <x:f>MAX(0,G264+J264-K264)</x:f>
        <x:v>0</x:v>
      </x:c>
      <x:c r="O264" s="8" t="n">
        <x:f>SUM(L264:N264)</x:f>
        <x:v>33558.11088295688</x:v>
      </x:c>
      <x:c r="P264" s="14" t="n">
        <x:f>'Current inventory'!V12</x:f>
        <x:v>0.3332</x:v>
      </x:c>
      <x:c r="Q264" s="14" t="n">
        <x:f>'Current inventory'!W12</x:f>
        <x:v>0.34818</x:v>
      </x:c>
      <x:c r="R264" s="10" t="n">
        <x:f>L264*P264</x:f>
        <x:v>0</x:v>
      </x:c>
      <x:c r="S264" s="10" t="n">
        <x:f>M264*P264</x:f>
        <x:v>11181.56254620123</x:v>
      </x:c>
      <x:c r="T264" s="10" t="n">
        <x:f>N264*P264</x:f>
        <x:v>0</x:v>
      </x:c>
      <x:c r="U264" s="10" t="n">
        <x:f>O264*P264</x:f>
        <x:v>11181.56254620123</x:v>
      </x:c>
      <x:c r="V264" s="10" t="n">
        <x:f>IF(ISNUMBER(Q264),O264*(Q264-P264),"n.a.")</x:f>
        <x:v>502.7005010266938</x:v>
      </x:c>
      <x:c r="W264" s="10" t="n">
        <x:f>IF(ISNUMBER(Q264),U264,0)</x:f>
        <x:v>11181.56254620123</x:v>
      </x:c>
      <x:c r="X264" s="8" t="n">
        <x:f>MAX(0,K264-SUM(E264:J264))</x:f>
        <x:v>0</x:v>
      </x:c>
      <x:c r="Y264" s="1" t="str">
        <x:f>IF(AND(O264&gt;0,NOT(ISNUMBER(Q264))),"No proposed replacement standard",IF(X264&gt;0,"Demand exceeds available stock",""))</x:f>
      </x:c>
      <x:c r="Z264" s="1" t="n">
        <x:f>IF(ISNUMBER(Q264),1,0)</x:f>
        <x:v>1</x:v>
      </x:c>
    </x:row>
    <x:row r="265" ht="21" customHeight="1">
      <x:c r="A265" s="17" t="n">
        <x:f>Summary!B17</x:f>
        <x:v>46388</x:v>
      </x:c>
      <x:c r="B265" s="1" t="str">
        <x:f>'Current inventory'!A13</x:f>
        <x:v>60</x:v>
      </x:c>
      <x:c r="C265" s="1" t="str">
        <x:f>'Current inventory'!B13</x:f>
        <x:v>800BBLKCSC</x:v>
      </x:c>
      <x:c r="D265" s="7" t="n">
        <x:f>A139</x:f>
        <x:v>46357</x:v>
      </x:c>
      <x:c r="E265" s="8" t="n">
        <x:f>L139</x:f>
        <x:v>0</x:v>
      </x:c>
      <x:c r="F265" s="8" t="n">
        <x:f>M139</x:f>
        <x:v>0</x:v>
      </x:c>
      <x:c r="G265" s="8" t="n">
        <x:f>N139</x:f>
        <x:v>3143.1211498973307</x:v>
      </x:c>
      <x:c r="H265" s="8" t="n">
        <x:f>SUMIFS('PO detail'!$U$2:$U$672,'PO detail'!$A$2:$A$672,B265,'PO detail'!$B$2:$B$672,C265,'PO detail'!$G$2:$G$672,"&gt;="&amp;D265,'PO detail'!$G$2:$G$672,"&lt;"&amp;A265)</x:f>
        <x:v>0</x:v>
      </x:c>
      <x:c r="I265" s="8" t="n">
        <x:f>SUMIFS('PO detail'!$V$2:$V$672,'PO detail'!$A$2:$A$672,B265,'PO detail'!$B$2:$B$672,C265,'PO detail'!$G$2:$G$672,"&gt;="&amp;D265,'PO detail'!$G$2:$G$672,"&lt;"&amp;A265)</x:f>
        <x:v>0</x:v>
      </x:c>
      <x:c r="J265" s="8" t="n">
        <x:f>SUMIFS('PO detail'!$W$2:$W$672,'PO detail'!$A$2:$A$672,B265,'PO detail'!$B$2:$B$672,C265,'PO detail'!$G$2:$G$672,"&gt;="&amp;D265,'PO detail'!$G$2:$G$672,"&lt;"&amp;A265)</x:f>
        <x:v>0</x:v>
      </x:c>
      <x:c r="K265" s="8" t="n">
        <x:f>'Current inventory'!E13*Summary!$D$6*(A265-D265)/30.4375</x:f>
        <x:v>4303.080082135523</x:v>
      </x:c>
      <x:c r="L265" s="8" t="n">
        <x:f>MAX(0,E265+H265-K265)</x:f>
        <x:v>0</x:v>
      </x:c>
      <x:c r="M265" s="8" t="n">
        <x:f>MAX(0,F265+I265-MAX(0,K265-E265-H265))</x:f>
        <x:v>0</x:v>
      </x:c>
      <x:c r="N265" s="8" t="n">
        <x:f>MAX(0,G265+J265-K265)</x:f>
        <x:v>0</x:v>
      </x:c>
      <x:c r="O265" s="8" t="n">
        <x:f>SUM(L265:N265)</x:f>
        <x:v>0</x:v>
      </x:c>
      <x:c r="P265" s="14" t="n">
        <x:f>'Current inventory'!V13</x:f>
        <x:v>0.1957</x:v>
      </x:c>
      <x:c r="Q265" s="14" t="str">
        <x:f>'Current inventory'!W13</x:f>
        <x:v>n.a.</x:v>
      </x:c>
      <x:c r="R265" s="10" t="n">
        <x:f>L265*P265</x:f>
        <x:v>0</x:v>
      </x:c>
      <x:c r="S265" s="10" t="n">
        <x:f>M265*P265</x:f>
        <x:v>0</x:v>
      </x:c>
      <x:c r="T265" s="10" t="n">
        <x:f>N265*P265</x:f>
        <x:v>0</x:v>
      </x:c>
      <x:c r="U265" s="10" t="n">
        <x:f>O265*P265</x:f>
        <x:v>0</x:v>
      </x:c>
      <x:c r="V265" s="10" t="str">
        <x:f>IF(ISNUMBER(Q265),O265*(Q265-P265),"n.a.")</x:f>
        <x:v>n.a.</x:v>
      </x:c>
      <x:c r="W265" s="10" t="n">
        <x:f>IF(ISNUMBER(Q265),U265,0)</x:f>
        <x:v>0</x:v>
      </x:c>
      <x:c r="X265" s="8" t="n">
        <x:f>MAX(0,K265-SUM(E265:J265))</x:f>
        <x:v>1159.9589322381926</x:v>
      </x:c>
      <x:c r="Y265" s="1" t="str">
        <x:f>IF(AND(O265&gt;0,NOT(ISNUMBER(Q265))),"No proposed replacement standard",IF(X265&gt;0,"Demand exceeds available stock",""))</x:f>
        <x:v>Demand exceeds available stock</x:v>
      </x:c>
      <x:c r="Z265" s="1" t="n">
        <x:f>IF(ISNUMBER(Q265),1,0)</x:f>
        <x:v>0</x:v>
      </x:c>
    </x:row>
    <x:row r="266" ht="21" customHeight="1">
      <x:c r="A266" s="17" t="n">
        <x:f>Summary!B17</x:f>
        <x:v>46388</x:v>
      </x:c>
      <x:c r="B266" s="1" t="str">
        <x:f>'Current inventory'!A14</x:f>
        <x:v>10</x:v>
      </x:c>
      <x:c r="C266" s="1" t="str">
        <x:f>'Current inventory'!B14</x:f>
        <x:v>800BBLKCSC</x:v>
      </x:c>
      <x:c r="D266" s="7" t="n">
        <x:f>A140</x:f>
        <x:v>46357</x:v>
      </x:c>
      <x:c r="E266" s="8" t="n">
        <x:f>L140</x:f>
        <x:v>0</x:v>
      </x:c>
      <x:c r="F266" s="8" t="n">
        <x:f>M140</x:f>
        <x:v>0</x:v>
      </x:c>
      <x:c r="G266" s="8" t="n">
        <x:f>N140</x:f>
        <x:v>0</x:v>
      </x:c>
      <x:c r="H266" s="8" t="n">
        <x:f>SUMIFS('PO detail'!$U$2:$U$672,'PO detail'!$A$2:$A$672,B266,'PO detail'!$B$2:$B$672,C266,'PO detail'!$G$2:$G$672,"&gt;="&amp;D266,'PO detail'!$G$2:$G$672,"&lt;"&amp;A266)</x:f>
        <x:v>0</x:v>
      </x:c>
      <x:c r="I266" s="8" t="n">
        <x:f>SUMIFS('PO detail'!$V$2:$V$672,'PO detail'!$A$2:$A$672,B266,'PO detail'!$B$2:$B$672,C266,'PO detail'!$G$2:$G$672,"&gt;="&amp;D266,'PO detail'!$G$2:$G$672,"&lt;"&amp;A266)</x:f>
        <x:v>0</x:v>
      </x:c>
      <x:c r="J266" s="8" t="n">
        <x:f>SUMIFS('PO detail'!$W$2:$W$672,'PO detail'!$A$2:$A$672,B266,'PO detail'!$B$2:$B$672,C266,'PO detail'!$G$2:$G$672,"&gt;="&amp;D266,'PO detail'!$G$2:$G$672,"&lt;"&amp;A266)</x:f>
        <x:v>0</x:v>
      </x:c>
      <x:c r="K266" s="8" t="n">
        <x:f>'Current inventory'!E14*Summary!$D$6*(A266-D266)/30.4375</x:f>
        <x:v>3878.7200000000003</x:v>
      </x:c>
      <x:c r="L266" s="8" t="n">
        <x:f>MAX(0,E266+H266-K266)</x:f>
        <x:v>0</x:v>
      </x:c>
      <x:c r="M266" s="8" t="n">
        <x:f>MAX(0,F266+I266-MAX(0,K266-E266-H266))</x:f>
        <x:v>0</x:v>
      </x:c>
      <x:c r="N266" s="8" t="n">
        <x:f>MAX(0,G266+J266-K266)</x:f>
        <x:v>0</x:v>
      </x:c>
      <x:c r="O266" s="8" t="n">
        <x:f>SUM(L266:N266)</x:f>
        <x:v>0</x:v>
      </x:c>
      <x:c r="P266" s="14" t="n">
        <x:f>'Current inventory'!V14</x:f>
        <x:v>0.1957</x:v>
      </x:c>
      <x:c r="Q266" s="14" t="str">
        <x:f>'Current inventory'!W14</x:f>
        <x:v>n.a.</x:v>
      </x:c>
      <x:c r="R266" s="10" t="n">
        <x:f>L266*P266</x:f>
        <x:v>0</x:v>
      </x:c>
      <x:c r="S266" s="10" t="n">
        <x:f>M266*P266</x:f>
        <x:v>0</x:v>
      </x:c>
      <x:c r="T266" s="10" t="n">
        <x:f>N266*P266</x:f>
        <x:v>0</x:v>
      </x:c>
      <x:c r="U266" s="10" t="n">
        <x:f>O266*P266</x:f>
        <x:v>0</x:v>
      </x:c>
      <x:c r="V266" s="10" t="str">
        <x:f>IF(ISNUMBER(Q266),O266*(Q266-P266),"n.a.")</x:f>
        <x:v>n.a.</x:v>
      </x:c>
      <x:c r="W266" s="10" t="n">
        <x:f>IF(ISNUMBER(Q266),U266,0)</x:f>
        <x:v>0</x:v>
      </x:c>
      <x:c r="X266" s="8" t="n">
        <x:f>MAX(0,K266-SUM(E266:J266))</x:f>
        <x:v>3878.7200000000003</x:v>
      </x:c>
      <x:c r="Y266" s="1" t="str">
        <x:f>IF(AND(O266&gt;0,NOT(ISNUMBER(Q266))),"No proposed replacement standard",IF(X266&gt;0,"Demand exceeds available stock",""))</x:f>
        <x:v>Demand exceeds available stock</x:v>
      </x:c>
      <x:c r="Z266" s="1" t="n">
        <x:f>IF(ISNUMBER(Q266),1,0)</x:f>
        <x:v>0</x:v>
      </x:c>
    </x:row>
    <x:row r="267" ht="21" customHeight="1">
      <x:c r="A267" s="17" t="n">
        <x:f>Summary!B17</x:f>
        <x:v>46388</x:v>
      </x:c>
      <x:c r="B267" s="1" t="str">
        <x:f>'Current inventory'!A15</x:f>
        <x:v>10</x:v>
      </x:c>
      <x:c r="C267" s="1" t="str">
        <x:f>'Current inventory'!B15</x:f>
        <x:v>800BNAVBRC</x:v>
      </x:c>
      <x:c r="D267" s="7" t="n">
        <x:f>A141</x:f>
        <x:v>46357</x:v>
      </x:c>
      <x:c r="E267" s="8" t="n">
        <x:f>L141</x:f>
        <x:v>0</x:v>
      </x:c>
      <x:c r="F267" s="8" t="n">
        <x:f>M141</x:f>
        <x:v>0</x:v>
      </x:c>
      <x:c r="G267" s="8" t="n">
        <x:f>N141</x:f>
        <x:v>0</x:v>
      </x:c>
      <x:c r="H267" s="8" t="n">
        <x:f>SUMIFS('PO detail'!$U$2:$U$672,'PO detail'!$A$2:$A$672,B267,'PO detail'!$B$2:$B$672,C267,'PO detail'!$G$2:$G$672,"&gt;="&amp;D267,'PO detail'!$G$2:$G$672,"&lt;"&amp;A267)</x:f>
        <x:v>0</x:v>
      </x:c>
      <x:c r="I267" s="8" t="n">
        <x:f>SUMIFS('PO detail'!$V$2:$V$672,'PO detail'!$A$2:$A$672,B267,'PO detail'!$B$2:$B$672,C267,'PO detail'!$G$2:$G$672,"&gt;="&amp;D267,'PO detail'!$G$2:$G$672,"&lt;"&amp;A267)</x:f>
        <x:v>0</x:v>
      </x:c>
      <x:c r="J267" s="8" t="n">
        <x:f>SUMIFS('PO detail'!$W$2:$W$672,'PO detail'!$A$2:$A$672,B267,'PO detail'!$B$2:$B$672,C267,'PO detail'!$G$2:$G$672,"&gt;="&amp;D267,'PO detail'!$G$2:$G$672,"&lt;"&amp;A267)</x:f>
        <x:v>0</x:v>
      </x:c>
      <x:c r="K267" s="8" t="n">
        <x:f>'Current inventory'!E15*Summary!$D$6*(A267-D267)/30.4375</x:f>
        <x:v>3666.5297741273102</x:v>
      </x:c>
      <x:c r="L267" s="8" t="n">
        <x:f>MAX(0,E267+H267-K267)</x:f>
        <x:v>0</x:v>
      </x:c>
      <x:c r="M267" s="8" t="n">
        <x:f>MAX(0,F267+I267-MAX(0,K267-E267-H267))</x:f>
        <x:v>0</x:v>
      </x:c>
      <x:c r="N267" s="8" t="n">
        <x:f>MAX(0,G267+J267-K267)</x:f>
        <x:v>0</x:v>
      </x:c>
      <x:c r="O267" s="8" t="n">
        <x:f>SUM(L267:N267)</x:f>
        <x:v>0</x:v>
      </x:c>
      <x:c r="P267" s="14" t="n">
        <x:f>'Current inventory'!V15</x:f>
        <x:v>0.17370000000000002</x:v>
      </x:c>
      <x:c r="Q267" s="14" t="str">
        <x:f>'Current inventory'!W15</x:f>
        <x:v>n.a.</x:v>
      </x:c>
      <x:c r="R267" s="10" t="n">
        <x:f>L267*P267</x:f>
        <x:v>0</x:v>
      </x:c>
      <x:c r="S267" s="10" t="n">
        <x:f>M267*P267</x:f>
        <x:v>0</x:v>
      </x:c>
      <x:c r="T267" s="10" t="n">
        <x:f>N267*P267</x:f>
        <x:v>0</x:v>
      </x:c>
      <x:c r="U267" s="10" t="n">
        <x:f>O267*P267</x:f>
        <x:v>0</x:v>
      </x:c>
      <x:c r="V267" s="10" t="str">
        <x:f>IF(ISNUMBER(Q267),O267*(Q267-P267),"n.a.")</x:f>
        <x:v>n.a.</x:v>
      </x:c>
      <x:c r="W267" s="10" t="n">
        <x:f>IF(ISNUMBER(Q267),U267,0)</x:f>
        <x:v>0</x:v>
      </x:c>
      <x:c r="X267" s="8" t="n">
        <x:f>MAX(0,K267-SUM(E267:J267))</x:f>
        <x:v>3666.5297741273102</x:v>
      </x:c>
      <x:c r="Y267" s="1" t="str">
        <x:f>IF(AND(O267&gt;0,NOT(ISNUMBER(Q267))),"No proposed replacement standard",IF(X267&gt;0,"Demand exceeds available stock",""))</x:f>
        <x:v>Demand exceeds available stock</x:v>
      </x:c>
      <x:c r="Z267" s="1" t="n">
        <x:f>IF(ISNUMBER(Q267),1,0)</x:f>
        <x:v>0</x:v>
      </x:c>
    </x:row>
    <x:row r="268" ht="21" customHeight="1">
      <x:c r="A268" s="17" t="n">
        <x:f>Summary!B17</x:f>
        <x:v>46388</x:v>
      </x:c>
      <x:c r="B268" s="1" t="str">
        <x:f>'Current inventory'!A16</x:f>
        <x:v>10</x:v>
      </x:c>
      <x:c r="C268" s="1" t="str">
        <x:f>'Current inventory'!B16</x:f>
        <x:v>800BMARASC</x:v>
      </x:c>
      <x:c r="D268" s="7" t="n">
        <x:f>A142</x:f>
        <x:v>46357</x:v>
      </x:c>
      <x:c r="E268" s="8" t="n">
        <x:f>L142</x:f>
        <x:v>26018.48049281314</x:v>
      </x:c>
      <x:c r="F268" s="8" t="n">
        <x:f>M142</x:f>
        <x:v>0</x:v>
      </x:c>
      <x:c r="G268" s="8" t="n">
        <x:f>N142</x:f>
        <x:v>0</x:v>
      </x:c>
      <x:c r="H268" s="8" t="n">
        <x:f>SUMIFS('PO detail'!$U$2:$U$672,'PO detail'!$A$2:$A$672,B268,'PO detail'!$B$2:$B$672,C268,'PO detail'!$G$2:$G$672,"&gt;="&amp;D268,'PO detail'!$G$2:$G$672,"&lt;"&amp;A268)</x:f>
        <x:v>0</x:v>
      </x:c>
      <x:c r="I268" s="8" t="n">
        <x:f>SUMIFS('PO detail'!$V$2:$V$672,'PO detail'!$A$2:$A$672,B268,'PO detail'!$B$2:$B$672,C268,'PO detail'!$G$2:$G$672,"&gt;="&amp;D268,'PO detail'!$G$2:$G$672,"&lt;"&amp;A268)</x:f>
        <x:v>20000</x:v>
      </x:c>
      <x:c r="J268" s="8" t="n">
        <x:f>SUMIFS('PO detail'!$W$2:$W$672,'PO detail'!$A$2:$A$672,B268,'PO detail'!$B$2:$B$672,C268,'PO detail'!$G$2:$G$672,"&gt;="&amp;D268,'PO detail'!$G$2:$G$672,"&lt;"&amp;A268)</x:f>
        <x:v>0</x:v>
      </x:c>
      <x:c r="K268" s="8" t="n">
        <x:f>'Current inventory'!E16*Summary!$D$6*(A268-D268)/30.4375</x:f>
        <x:v>3615.605749486653</x:v>
      </x:c>
      <x:c r="L268" s="8" t="n">
        <x:f>MAX(0,E268+H268-K268)</x:f>
        <x:v>22402.874743326487</x:v>
      </x:c>
      <x:c r="M268" s="8" t="n">
        <x:f>MAX(0,F268+I268-MAX(0,K268-E268-H268))</x:f>
        <x:v>20000</x:v>
      </x:c>
      <x:c r="N268" s="8" t="n">
        <x:f>MAX(0,G268+J268-K268)</x:f>
        <x:v>0</x:v>
      </x:c>
      <x:c r="O268" s="8" t="n">
        <x:f>SUM(L268:N268)</x:f>
        <x:v>42402.87474332649</x:v>
      </x:c>
      <x:c r="P268" s="14" t="n">
        <x:f>'Current inventory'!V16</x:f>
        <x:v>0.1598</x:v>
      </x:c>
      <x:c r="Q268" s="14" t="n">
        <x:f>'Current inventory'!W16</x:f>
        <x:v>0.16695000000000002</x:v>
      </x:c>
      <x:c r="R268" s="10" t="n">
        <x:f>L268*P268</x:f>
        <x:v>3579.9793839835725</x:v>
      </x:c>
      <x:c r="S268" s="10" t="n">
        <x:f>M268*P268</x:f>
        <x:v>3196</x:v>
      </x:c>
      <x:c r="T268" s="10" t="n">
        <x:f>N268*P268</x:f>
        <x:v>0</x:v>
      </x:c>
      <x:c r="U268" s="10" t="n">
        <x:f>O268*P268</x:f>
        <x:v>6775.979383983573</x:v>
      </x:c>
      <x:c r="V268" s="10" t="n">
        <x:f>IF(ISNUMBER(Q268),O268*(Q268-P268),"n.a.")</x:f>
        <x:v>303.18055441478515</x:v>
      </x:c>
      <x:c r="W268" s="10" t="n">
        <x:f>IF(ISNUMBER(Q268),U268,0)</x:f>
        <x:v>6775.979383983573</x:v>
      </x:c>
      <x:c r="X268" s="8" t="n">
        <x:f>MAX(0,K268-SUM(E268:J268))</x:f>
        <x:v>0</x:v>
      </x:c>
      <x:c r="Y268" s="1" t="str">
        <x:f>IF(AND(O268&gt;0,NOT(ISNUMBER(Q268))),"No proposed replacement standard",IF(X268&gt;0,"Demand exceeds available stock",""))</x:f>
      </x:c>
      <x:c r="Z268" s="1" t="n">
        <x:f>IF(ISNUMBER(Q268),1,0)</x:f>
        <x:v>1</x:v>
      </x:c>
    </x:row>
    <x:row r="269" ht="21" customHeight="1">
      <x:c r="A269" s="17" t="n">
        <x:f>Summary!B17</x:f>
        <x:v>46388</x:v>
      </x:c>
      <x:c r="B269" s="1" t="str">
        <x:f>'Current inventory'!A17</x:f>
        <x:v>60</x:v>
      </x:c>
      <x:c r="C269" s="1" t="str">
        <x:f>'Current inventory'!B17</x:f>
        <x:v>800BNAVISC</x:v>
      </x:c>
      <x:c r="D269" s="7" t="n">
        <x:f>A143</x:f>
        <x:v>46357</x:v>
      </x:c>
      <x:c r="E269" s="8" t="n">
        <x:f>L143</x:f>
        <x:v>0</x:v>
      </x:c>
      <x:c r="F269" s="8" t="n">
        <x:f>M143</x:f>
        <x:v>0</x:v>
      </x:c>
      <x:c r="G269" s="8" t="n">
        <x:f>N143</x:f>
        <x:v>873.0263655030799</x:v>
      </x:c>
      <x:c r="H269" s="8" t="n">
        <x:f>SUMIFS('PO detail'!$U$2:$U$672,'PO detail'!$A$2:$A$672,B269,'PO detail'!$B$2:$B$672,C269,'PO detail'!$G$2:$G$672,"&gt;="&amp;D269,'PO detail'!$G$2:$G$672,"&lt;"&amp;A269)</x:f>
        <x:v>0</x:v>
      </x:c>
      <x:c r="I269" s="8" t="n">
        <x:f>SUMIFS('PO detail'!$V$2:$V$672,'PO detail'!$A$2:$A$672,B269,'PO detail'!$B$2:$B$672,C269,'PO detail'!$G$2:$G$672,"&gt;="&amp;D269,'PO detail'!$G$2:$G$672,"&lt;"&amp;A269)</x:f>
        <x:v>0</x:v>
      </x:c>
      <x:c r="J269" s="8" t="n">
        <x:f>SUMIFS('PO detail'!$W$2:$W$672,'PO detail'!$A$2:$A$672,B269,'PO detail'!$B$2:$B$672,C269,'PO detail'!$G$2:$G$672,"&gt;="&amp;D269,'PO detail'!$G$2:$G$672,"&lt;"&amp;A269)</x:f>
        <x:v>0</x:v>
      </x:c>
      <x:c r="K269" s="8" t="n">
        <x:f>'Current inventory'!E17*Summary!$D$6*(A269-D269)/30.4375</x:f>
        <x:v>3174.2675975359343</x:v>
      </x:c>
      <x:c r="L269" s="8" t="n">
        <x:f>MAX(0,E269+H269-K269)</x:f>
        <x:v>0</x:v>
      </x:c>
      <x:c r="M269" s="8" t="n">
        <x:f>MAX(0,F269+I269-MAX(0,K269-E269-H269))</x:f>
        <x:v>0</x:v>
      </x:c>
      <x:c r="N269" s="8" t="n">
        <x:f>MAX(0,G269+J269-K269)</x:f>
        <x:v>0</x:v>
      </x:c>
      <x:c r="O269" s="8" t="n">
        <x:f>SUM(L269:N269)</x:f>
        <x:v>0</x:v>
      </x:c>
      <x:c r="P269" s="14" t="n">
        <x:f>'Current inventory'!V17</x:f>
        <x:v>0.16870000000000002</x:v>
      </x:c>
      <x:c r="Q269" s="14" t="str">
        <x:f>'Current inventory'!W17</x:f>
        <x:v>n.a.</x:v>
      </x:c>
      <x:c r="R269" s="10" t="n">
        <x:f>L269*P269</x:f>
        <x:v>0</x:v>
      </x:c>
      <x:c r="S269" s="10" t="n">
        <x:f>M269*P269</x:f>
        <x:v>0</x:v>
      </x:c>
      <x:c r="T269" s="10" t="n">
        <x:f>N269*P269</x:f>
        <x:v>0</x:v>
      </x:c>
      <x:c r="U269" s="10" t="n">
        <x:f>O269*P269</x:f>
        <x:v>0</x:v>
      </x:c>
      <x:c r="V269" s="10" t="str">
        <x:f>IF(ISNUMBER(Q269),O269*(Q269-P269),"n.a.")</x:f>
        <x:v>n.a.</x:v>
      </x:c>
      <x:c r="W269" s="10" t="n">
        <x:f>IF(ISNUMBER(Q269),U269,0)</x:f>
        <x:v>0</x:v>
      </x:c>
      <x:c r="X269" s="8" t="n">
        <x:f>MAX(0,K269-SUM(E269:J269))</x:f>
        <x:v>2301.2412320328544</x:v>
      </x:c>
      <x:c r="Y269" s="1" t="str">
        <x:f>IF(AND(O269&gt;0,NOT(ISNUMBER(Q269))),"No proposed replacement standard",IF(X269&gt;0,"Demand exceeds available stock",""))</x:f>
        <x:v>Demand exceeds available stock</x:v>
      </x:c>
      <x:c r="Z269" s="1" t="n">
        <x:f>IF(ISNUMBER(Q269),1,0)</x:f>
        <x:v>0</x:v>
      </x:c>
    </x:row>
    <x:row r="270" ht="21" customHeight="1">
      <x:c r="A270" s="17" t="n">
        <x:f>Summary!B17</x:f>
        <x:v>46388</x:v>
      </x:c>
      <x:c r="B270" s="1" t="str">
        <x:f>'Current inventory'!A18</x:f>
        <x:v>10</x:v>
      </x:c>
      <x:c r="C270" s="1" t="str">
        <x:f>'Current inventory'!B18</x:f>
        <x:v>800BNAVISC</x:v>
      </x:c>
      <x:c r="D270" s="7" t="n">
        <x:f>A144</x:f>
        <x:v>46357</x:v>
      </x:c>
      <x:c r="E270" s="8" t="n">
        <x:f>L144</x:f>
        <x:v>0</x:v>
      </x:c>
      <x:c r="F270" s="8" t="n">
        <x:f>M144</x:f>
        <x:v>0</x:v>
      </x:c>
      <x:c r="G270" s="8" t="n">
        <x:f>N144</x:f>
        <x:v>0</x:v>
      </x:c>
      <x:c r="H270" s="8" t="n">
        <x:f>SUMIFS('PO detail'!$U$2:$U$672,'PO detail'!$A$2:$A$672,B270,'PO detail'!$B$2:$B$672,C270,'PO detail'!$G$2:$G$672,"&gt;="&amp;D270,'PO detail'!$G$2:$G$672,"&lt;"&amp;A270)</x:f>
        <x:v>0</x:v>
      </x:c>
      <x:c r="I270" s="8" t="n">
        <x:f>SUMIFS('PO detail'!$V$2:$V$672,'PO detail'!$A$2:$A$672,B270,'PO detail'!$B$2:$B$672,C270,'PO detail'!$G$2:$G$672,"&gt;="&amp;D270,'PO detail'!$G$2:$G$672,"&lt;"&amp;A270)</x:f>
        <x:v>0</x:v>
      </x:c>
      <x:c r="J270" s="8" t="n">
        <x:f>SUMIFS('PO detail'!$W$2:$W$672,'PO detail'!$A$2:$A$672,B270,'PO detail'!$B$2:$B$672,C270,'PO detail'!$G$2:$G$672,"&gt;="&amp;D270,'PO detail'!$G$2:$G$672,"&lt;"&amp;A270)</x:f>
        <x:v>0</x:v>
      </x:c>
      <x:c r="K270" s="8" t="n">
        <x:f>'Current inventory'!E18*Summary!$D$6*(A270-D270)/30.4375</x:f>
        <x:v>3123.3435728952772</x:v>
      </x:c>
      <x:c r="L270" s="8" t="n">
        <x:f>MAX(0,E270+H270-K270)</x:f>
        <x:v>0</x:v>
      </x:c>
      <x:c r="M270" s="8" t="n">
        <x:f>MAX(0,F270+I270-MAX(0,K270-E270-H270))</x:f>
        <x:v>0</x:v>
      </x:c>
      <x:c r="N270" s="8" t="n">
        <x:f>MAX(0,G270+J270-K270)</x:f>
        <x:v>0</x:v>
      </x:c>
      <x:c r="O270" s="8" t="n">
        <x:f>SUM(L270:N270)</x:f>
        <x:v>0</x:v>
      </x:c>
      <x:c r="P270" s="14" t="n">
        <x:f>'Current inventory'!V18</x:f>
        <x:v>0.16870000000000002</x:v>
      </x:c>
      <x:c r="Q270" s="14" t="str">
        <x:f>'Current inventory'!W18</x:f>
        <x:v>n.a.</x:v>
      </x:c>
      <x:c r="R270" s="10" t="n">
        <x:f>L270*P270</x:f>
        <x:v>0</x:v>
      </x:c>
      <x:c r="S270" s="10" t="n">
        <x:f>M270*P270</x:f>
        <x:v>0</x:v>
      </x:c>
      <x:c r="T270" s="10" t="n">
        <x:f>N270*P270</x:f>
        <x:v>0</x:v>
      </x:c>
      <x:c r="U270" s="10" t="n">
        <x:f>O270*P270</x:f>
        <x:v>0</x:v>
      </x:c>
      <x:c r="V270" s="10" t="str">
        <x:f>IF(ISNUMBER(Q270),O270*(Q270-P270),"n.a.")</x:f>
        <x:v>n.a.</x:v>
      </x:c>
      <x:c r="W270" s="10" t="n">
        <x:f>IF(ISNUMBER(Q270),U270,0)</x:f>
        <x:v>0</x:v>
      </x:c>
      <x:c r="X270" s="8" t="n">
        <x:f>MAX(0,K270-SUM(E270:J270))</x:f>
        <x:v>3123.3435728952772</x:v>
      </x:c>
      <x:c r="Y270" s="1" t="str">
        <x:f>IF(AND(O270&gt;0,NOT(ISNUMBER(Q270))),"No proposed replacement standard",IF(X270&gt;0,"Demand exceeds available stock",""))</x:f>
        <x:v>Demand exceeds available stock</x:v>
      </x:c>
      <x:c r="Z270" s="1" t="n">
        <x:f>IF(ISNUMBER(Q270),1,0)</x:f>
        <x:v>0</x:v>
      </x:c>
    </x:row>
    <x:row r="271" ht="21" customHeight="1">
      <x:c r="A271" s="17" t="n">
        <x:f>Summary!B17</x:f>
        <x:v>46388</x:v>
      </x:c>
      <x:c r="B271" s="1" t="str">
        <x:f>'Current inventory'!A19</x:f>
        <x:v>60</x:v>
      </x:c>
      <x:c r="C271" s="1" t="str">
        <x:f>'Current inventory'!B19</x:f>
        <x:v>800BMARASC</x:v>
      </x:c>
      <x:c r="D271" s="7" t="n">
        <x:f>A145</x:f>
        <x:v>46357</x:v>
      </x:c>
      <x:c r="E271" s="8" t="n">
        <x:f>L145</x:f>
        <x:v>722.8668583162221</x:v>
      </x:c>
      <x:c r="F271" s="8" t="n">
        <x:f>M145</x:f>
        <x:v>0</x:v>
      </x:c>
      <x:c r="G271" s="8" t="n">
        <x:f>N145</x:f>
        <x:v>0</x:v>
      </x:c>
      <x:c r="H271" s="8" t="n">
        <x:f>SUMIFS('PO detail'!$U$2:$U$672,'PO detail'!$A$2:$A$672,B271,'PO detail'!$B$2:$B$672,C271,'PO detail'!$G$2:$G$672,"&gt;="&amp;D271,'PO detail'!$G$2:$G$672,"&lt;"&amp;A271)</x:f>
        <x:v>0</x:v>
      </x:c>
      <x:c r="I271" s="8" t="n">
        <x:f>SUMIFS('PO detail'!$V$2:$V$672,'PO detail'!$A$2:$A$672,B271,'PO detail'!$B$2:$B$672,C271,'PO detail'!$G$2:$G$672,"&gt;="&amp;D271,'PO detail'!$G$2:$G$672,"&lt;"&amp;A271)</x:f>
        <x:v>60000</x:v>
      </x:c>
      <x:c r="J271" s="8" t="n">
        <x:f>SUMIFS('PO detail'!$W$2:$W$672,'PO detail'!$A$2:$A$672,B271,'PO detail'!$B$2:$B$672,C271,'PO detail'!$G$2:$G$672,"&gt;="&amp;D271,'PO detail'!$G$2:$G$672,"&lt;"&amp;A271)</x:f>
        <x:v>0</x:v>
      </x:c>
      <x:c r="K271" s="8" t="n">
        <x:f>'Current inventory'!E19*Summary!$D$6*(A271-D271)/30.4375</x:f>
        <x:v>2911.1533470225872</x:v>
      </x:c>
      <x:c r="L271" s="8" t="n">
        <x:f>MAX(0,E271+H271-K271)</x:f>
        <x:v>0</x:v>
      </x:c>
      <x:c r="M271" s="8" t="n">
        <x:f>MAX(0,F271+I271-MAX(0,K271-E271-H271))</x:f>
        <x:v>57811.71351129364</x:v>
      </x:c>
      <x:c r="N271" s="8" t="n">
        <x:f>MAX(0,G271+J271-K271)</x:f>
        <x:v>0</x:v>
      </x:c>
      <x:c r="O271" s="8" t="n">
        <x:f>SUM(L271:N271)</x:f>
        <x:v>57811.71351129364</x:v>
      </x:c>
      <x:c r="P271" s="14" t="n">
        <x:f>'Current inventory'!V19</x:f>
        <x:v>0.1598</x:v>
      </x:c>
      <x:c r="Q271" s="14" t="n">
        <x:f>'Current inventory'!W19</x:f>
        <x:v>0.16695000000000002</x:v>
      </x:c>
      <x:c r="R271" s="10" t="n">
        <x:f>L271*P271</x:f>
        <x:v>0</x:v>
      </x:c>
      <x:c r="S271" s="10" t="n">
        <x:f>M271*P271</x:f>
        <x:v>9238.311819104723</x:v>
      </x:c>
      <x:c r="T271" s="10" t="n">
        <x:f>N271*P271</x:f>
        <x:v>0</x:v>
      </x:c>
      <x:c r="U271" s="10" t="n">
        <x:f>O271*P271</x:f>
        <x:v>9238.311819104723</x:v>
      </x:c>
      <x:c r="V271" s="10" t="n">
        <x:f>IF(ISNUMBER(Q271),O271*(Q271-P271),"n.a.")</x:f>
        <x:v>413.3537516057505</x:v>
      </x:c>
      <x:c r="W271" s="10" t="n">
        <x:f>IF(ISNUMBER(Q271),U271,0)</x:f>
        <x:v>9238.311819104723</x:v>
      </x:c>
      <x:c r="X271" s="8" t="n">
        <x:f>MAX(0,K271-SUM(E271:J271))</x:f>
        <x:v>0</x:v>
      </x:c>
      <x:c r="Y271" s="1" t="str">
        <x:f>IF(AND(O271&gt;0,NOT(ISNUMBER(Q271))),"No proposed replacement standard",IF(X271&gt;0,"Demand exceeds available stock",""))</x:f>
      </x:c>
      <x:c r="Z271" s="1" t="n">
        <x:f>IF(ISNUMBER(Q271),1,0)</x:f>
        <x:v>1</x:v>
      </x:c>
    </x:row>
    <x:row r="272" ht="21" customHeight="1">
      <x:c r="A272" s="17" t="n">
        <x:f>Summary!B17</x:f>
        <x:v>46388</x:v>
      </x:c>
      <x:c r="B272" s="1" t="str">
        <x:f>'Current inventory'!A20</x:f>
        <x:v>30</x:v>
      </x:c>
      <x:c r="C272" s="1" t="str">
        <x:f>'Current inventory'!B20</x:f>
        <x:v>800BBLKISC</x:v>
      </x:c>
      <x:c r="D272" s="7" t="n">
        <x:f>A146</x:f>
        <x:v>46357</x:v>
      </x:c>
      <x:c r="E272" s="8" t="n">
        <x:f>L146</x:f>
        <x:v>36829.15811088296</x:v>
      </x:c>
      <x:c r="F272" s="8" t="n">
        <x:f>M146</x:f>
        <x:v>0</x:v>
      </x:c>
      <x:c r="G272" s="8" t="n">
        <x:f>N146</x:f>
        <x:v>0</x:v>
      </x:c>
      <x:c r="H272" s="8" t="n">
        <x:f>SUMIFS('PO detail'!$U$2:$U$672,'PO detail'!$A$2:$A$672,B272,'PO detail'!$B$2:$B$672,C272,'PO detail'!$G$2:$G$672,"&gt;="&amp;D272,'PO detail'!$G$2:$G$672,"&lt;"&amp;A272)</x:f>
        <x:v>0</x:v>
      </x:c>
      <x:c r="I272" s="8" t="n">
        <x:f>SUMIFS('PO detail'!$V$2:$V$672,'PO detail'!$A$2:$A$672,B272,'PO detail'!$B$2:$B$672,C272,'PO detail'!$G$2:$G$672,"&gt;="&amp;D272,'PO detail'!$G$2:$G$672,"&lt;"&amp;A272)</x:f>
        <x:v>0</x:v>
      </x:c>
      <x:c r="J272" s="8" t="n">
        <x:f>SUMIFS('PO detail'!$W$2:$W$672,'PO detail'!$A$2:$A$672,B272,'PO detail'!$B$2:$B$672,C272,'PO detail'!$G$2:$G$672,"&gt;="&amp;D272,'PO detail'!$G$2:$G$672,"&lt;"&amp;A272)</x:f>
        <x:v>0</x:v>
      </x:c>
      <x:c r="K272" s="8" t="n">
        <x:f>'Current inventory'!E20*Summary!$D$6*(A272-D272)/30.4375</x:f>
        <x:v>2673.5112936344967</x:v>
      </x:c>
      <x:c r="L272" s="8" t="n">
        <x:f>MAX(0,E272+H272-K272)</x:f>
        <x:v>34155.64681724847</x:v>
      </x:c>
      <x:c r="M272" s="8" t="n">
        <x:f>MAX(0,F272+I272-MAX(0,K272-E272-H272))</x:f>
        <x:v>0</x:v>
      </x:c>
      <x:c r="N272" s="8" t="n">
        <x:f>MAX(0,G272+J272-K272)</x:f>
        <x:v>0</x:v>
      </x:c>
      <x:c r="O272" s="8" t="n">
        <x:f>SUM(L272:N272)</x:f>
        <x:v>34155.64681724847</x:v>
      </x:c>
      <x:c r="P272" s="14" t="n">
        <x:f>'Current inventory'!V20</x:f>
        <x:v>0.1612</x:v>
      </x:c>
      <x:c r="Q272" s="14" t="n">
        <x:f>'Current inventory'!W20</x:f>
        <x:v>0.16842</x:v>
      </x:c>
      <x:c r="R272" s="10" t="n">
        <x:f>L272*P272</x:f>
        <x:v>5505.890266940453</x:v>
      </x:c>
      <x:c r="S272" s="10" t="n">
        <x:f>M272*P272</x:f>
        <x:v>0</x:v>
      </x:c>
      <x:c r="T272" s="10" t="n">
        <x:f>N272*P272</x:f>
        <x:v>0</x:v>
      </x:c>
      <x:c r="U272" s="10" t="n">
        <x:f>O272*P272</x:f>
        <x:v>5505.890266940453</x:v>
      </x:c>
      <x:c r="V272" s="10" t="n">
        <x:f>IF(ISNUMBER(Q272),O272*(Q272-P272),"n.a.")</x:f>
        <x:v>246.60377002053312</x:v>
      </x:c>
      <x:c r="W272" s="10" t="n">
        <x:f>IF(ISNUMBER(Q272),U272,0)</x:f>
        <x:v>5505.890266940453</x:v>
      </x:c>
      <x:c r="X272" s="8" t="n">
        <x:f>MAX(0,K272-SUM(E272:J272))</x:f>
        <x:v>0</x:v>
      </x:c>
      <x:c r="Y272" s="1" t="str">
        <x:f>IF(AND(O272&gt;0,NOT(ISNUMBER(Q272))),"No proposed replacement standard",IF(X272&gt;0,"Demand exceeds available stock",""))</x:f>
      </x:c>
      <x:c r="Z272" s="1" t="n">
        <x:f>IF(ISNUMBER(Q272),1,0)</x:f>
        <x:v>1</x:v>
      </x:c>
    </x:row>
    <x:row r="273" ht="21" customHeight="1">
      <x:c r="A273" s="17" t="n">
        <x:f>Summary!B17</x:f>
        <x:v>46388</x:v>
      </x:c>
      <x:c r="B273" s="1" t="str">
        <x:f>'Current inventory'!A21</x:f>
        <x:v>10</x:v>
      </x:c>
      <x:c r="C273" s="1" t="str">
        <x:f>'Current inventory'!B21</x:f>
        <x:v>800BBLKBRC</x:v>
      </x:c>
      <x:c r="D273" s="7" t="n">
        <x:f>A147</x:f>
        <x:v>46357</x:v>
      </x:c>
      <x:c r="E273" s="8" t="n">
        <x:f>L147</x:f>
        <x:v>0</x:v>
      </x:c>
      <x:c r="F273" s="8" t="n">
        <x:f>M147</x:f>
        <x:v>0</x:v>
      </x:c>
      <x:c r="G273" s="8" t="n">
        <x:f>N147</x:f>
        <x:v>0</x:v>
      </x:c>
      <x:c r="H273" s="8" t="n">
        <x:f>SUMIFS('PO detail'!$U$2:$U$672,'PO detail'!$A$2:$A$672,B273,'PO detail'!$B$2:$B$672,C273,'PO detail'!$G$2:$G$672,"&gt;="&amp;D273,'PO detail'!$G$2:$G$672,"&lt;"&amp;A273)</x:f>
        <x:v>0</x:v>
      </x:c>
      <x:c r="I273" s="8" t="n">
        <x:f>SUMIFS('PO detail'!$V$2:$V$672,'PO detail'!$A$2:$A$672,B273,'PO detail'!$B$2:$B$672,C273,'PO detail'!$G$2:$G$672,"&gt;="&amp;D273,'PO detail'!$G$2:$G$672,"&lt;"&amp;A273)</x:f>
        <x:v>0</x:v>
      </x:c>
      <x:c r="J273" s="8" t="n">
        <x:f>SUMIFS('PO detail'!$W$2:$W$672,'PO detail'!$A$2:$A$672,B273,'PO detail'!$B$2:$B$672,C273,'PO detail'!$G$2:$G$672,"&gt;="&amp;D273,'PO detail'!$G$2:$G$672,"&lt;"&amp;A273)</x:f>
        <x:v>0</x:v>
      </x:c>
      <x:c r="K273" s="8" t="n">
        <x:f>'Current inventory'!E21*Summary!$D$6*(A273-D273)/30.4375</x:f>
        <x:v>2486.7932648870637</x:v>
      </x:c>
      <x:c r="L273" s="8" t="n">
        <x:f>MAX(0,E273+H273-K273)</x:f>
        <x:v>0</x:v>
      </x:c>
      <x:c r="M273" s="8" t="n">
        <x:f>MAX(0,F273+I273-MAX(0,K273-E273-H273))</x:f>
        <x:v>0</x:v>
      </x:c>
      <x:c r="N273" s="8" t="n">
        <x:f>MAX(0,G273+J273-K273)</x:f>
        <x:v>0</x:v>
      </x:c>
      <x:c r="O273" s="8" t="n">
        <x:f>SUM(L273:N273)</x:f>
        <x:v>0</x:v>
      </x:c>
      <x:c r="P273" s="14" t="n">
        <x:f>'Current inventory'!V21</x:f>
        <x:v>0.16829999999999998</x:v>
      </x:c>
      <x:c r="Q273" s="14" t="str">
        <x:f>'Current inventory'!W21</x:f>
        <x:v>n.a.</x:v>
      </x:c>
      <x:c r="R273" s="10" t="n">
        <x:f>L273*P273</x:f>
        <x:v>0</x:v>
      </x:c>
      <x:c r="S273" s="10" t="n">
        <x:f>M273*P273</x:f>
        <x:v>0</x:v>
      </x:c>
      <x:c r="T273" s="10" t="n">
        <x:f>N273*P273</x:f>
        <x:v>0</x:v>
      </x:c>
      <x:c r="U273" s="10" t="n">
        <x:f>O273*P273</x:f>
        <x:v>0</x:v>
      </x:c>
      <x:c r="V273" s="10" t="str">
        <x:f>IF(ISNUMBER(Q273),O273*(Q273-P273),"n.a.")</x:f>
        <x:v>n.a.</x:v>
      </x:c>
      <x:c r="W273" s="10" t="n">
        <x:f>IF(ISNUMBER(Q273),U273,0)</x:f>
        <x:v>0</x:v>
      </x:c>
      <x:c r="X273" s="8" t="n">
        <x:f>MAX(0,K273-SUM(E273:J273))</x:f>
        <x:v>2486.7932648870637</x:v>
      </x:c>
      <x:c r="Y273" s="1" t="str">
        <x:f>IF(AND(O273&gt;0,NOT(ISNUMBER(Q273))),"No proposed replacement standard",IF(X273&gt;0,"Demand exceeds available stock",""))</x:f>
        <x:v>Demand exceeds available stock</x:v>
      </x:c>
      <x:c r="Z273" s="1" t="n">
        <x:f>IF(ISNUMBER(Q273),1,0)</x:f>
        <x:v>0</x:v>
      </x:c>
    </x:row>
    <x:row r="274" ht="21" customHeight="1">
      <x:c r="A274" s="17" t="n">
        <x:f>Summary!B17</x:f>
        <x:v>46388</x:v>
      </x:c>
      <x:c r="B274" s="1" t="str">
        <x:f>'Current inventory'!A22</x:f>
        <x:v>60</x:v>
      </x:c>
      <x:c r="C274" s="1" t="str">
        <x:f>'Current inventory'!B22</x:f>
        <x:v>800NAVE</x:v>
      </x:c>
      <x:c r="D274" s="7" t="n">
        <x:f>A148</x:f>
        <x:v>46357</x:v>
      </x:c>
      <x:c r="E274" s="8" t="n">
        <x:f>L148</x:f>
        <x:v>1250.6755646817246</x:v>
      </x:c>
      <x:c r="F274" s="8" t="n">
        <x:f>M148</x:f>
        <x:v>0</x:v>
      </x:c>
      <x:c r="G274" s="8" t="n">
        <x:f>N148</x:f>
        <x:v>0</x:v>
      </x:c>
      <x:c r="H274" s="8" t="n">
        <x:f>SUMIFS('PO detail'!$U$2:$U$672,'PO detail'!$A$2:$A$672,B274,'PO detail'!$B$2:$B$672,C274,'PO detail'!$G$2:$G$672,"&gt;="&amp;D274,'PO detail'!$G$2:$G$672,"&lt;"&amp;A274)</x:f>
        <x:v>0</x:v>
      </x:c>
      <x:c r="I274" s="8" t="n">
        <x:f>SUMIFS('PO detail'!$V$2:$V$672,'PO detail'!$A$2:$A$672,B274,'PO detail'!$B$2:$B$672,C274,'PO detail'!$G$2:$G$672,"&gt;="&amp;D274,'PO detail'!$G$2:$G$672,"&lt;"&amp;A274)</x:f>
        <x:v>10000</x:v>
      </x:c>
      <x:c r="J274" s="8" t="n">
        <x:f>SUMIFS('PO detail'!$W$2:$W$672,'PO detail'!$A$2:$A$672,B274,'PO detail'!$B$2:$B$672,C274,'PO detail'!$G$2:$G$672,"&gt;="&amp;D274,'PO detail'!$G$2:$G$672,"&lt;"&amp;A274)</x:f>
        <x:v>0</x:v>
      </x:c>
      <x:c r="K274" s="8" t="n">
        <x:f>'Current inventory'!E22*Summary!$D$6*(A274-D274)/30.4375</x:f>
        <x:v>2427.5482546201233</x:v>
      </x:c>
      <x:c r="L274" s="8" t="n">
        <x:f>MAX(0,E274+H274-K274)</x:f>
        <x:v>0</x:v>
      </x:c>
      <x:c r="M274" s="8" t="n">
        <x:f>MAX(0,F274+I274-MAX(0,K274-E274-H274))</x:f>
        <x:v>8823.127310061602</x:v>
      </x:c>
      <x:c r="N274" s="8" t="n">
        <x:f>MAX(0,G274+J274-K274)</x:f>
        <x:v>0</x:v>
      </x:c>
      <x:c r="O274" s="8" t="n">
        <x:f>SUM(L274:N274)</x:f>
        <x:v>8823.127310061602</x:v>
      </x:c>
      <x:c r="P274" s="14" t="n">
        <x:f>'Current inventory'!V22</x:f>
        <x:v>1.04328</x:v>
      </x:c>
      <x:c r="Q274" s="14" t="n">
        <x:f>'Current inventory'!W22</x:f>
        <x:v>1.090215</x:v>
      </x:c>
      <x:c r="R274" s="10" t="n">
        <x:f>L274*P274</x:f>
        <x:v>0</x:v>
      </x:c>
      <x:c r="S274" s="10" t="n">
        <x:f>M274*P274</x:f>
        <x:v>9204.992260041068</x:v>
      </x:c>
      <x:c r="T274" s="10" t="n">
        <x:f>N274*P274</x:f>
        <x:v>0</x:v>
      </x:c>
      <x:c r="U274" s="10" t="n">
        <x:f>O274*P274</x:f>
        <x:v>9204.992260041068</x:v>
      </x:c>
      <x:c r="V274" s="10" t="n">
        <x:f>IF(ISNUMBER(Q274),O274*(Q274-P274),"n.a.")</x:f>
        <x:v>414.1134802977408</x:v>
      </x:c>
      <x:c r="W274" s="10" t="n">
        <x:f>IF(ISNUMBER(Q274),U274,0)</x:f>
        <x:v>9204.992260041068</x:v>
      </x:c>
      <x:c r="X274" s="8" t="n">
        <x:f>MAX(0,K274-SUM(E274:J274))</x:f>
        <x:v>0</x:v>
      </x:c>
      <x:c r="Y274" s="1" t="str">
        <x:f>IF(AND(O274&gt;0,NOT(ISNUMBER(Q274))),"No proposed replacement standard",IF(X274&gt;0,"Demand exceeds available stock",""))</x:f>
      </x:c>
      <x:c r="Z274" s="1" t="n">
        <x:f>IF(ISNUMBER(Q274),1,0)</x:f>
        <x:v>1</x:v>
      </x:c>
    </x:row>
    <x:row r="275" ht="21" customHeight="1">
      <x:c r="A275" s="17" t="n">
        <x:f>Summary!B17</x:f>
        <x:v>46388</x:v>
      </x:c>
      <x:c r="B275" s="1" t="str">
        <x:f>'Current inventory'!A23</x:f>
        <x:v>10</x:v>
      </x:c>
      <x:c r="C275" s="1" t="str">
        <x:f>'Current inventory'!B23</x:f>
        <x:v>800NAVE</x:v>
      </x:c>
      <x:c r="D275" s="7" t="n">
        <x:f>A149</x:f>
        <x:v>46357</x:v>
      </x:c>
      <x:c r="E275" s="8" t="n">
        <x:f>L149</x:f>
        <x:v>14566.588993839836</x:v>
      </x:c>
      <x:c r="F275" s="8" t="n">
        <x:f>M149</x:f>
        <x:v>0</x:v>
      </x:c>
      <x:c r="G275" s="8" t="n">
        <x:f>N149</x:f>
        <x:v>0</x:v>
      </x:c>
      <x:c r="H275" s="8" t="n">
        <x:f>SUMIFS('PO detail'!$U$2:$U$672,'PO detail'!$A$2:$A$672,B275,'PO detail'!$B$2:$B$672,C275,'PO detail'!$G$2:$G$672,"&gt;="&amp;D275,'PO detail'!$G$2:$G$672,"&lt;"&amp;A275)</x:f>
        <x:v>0</x:v>
      </x:c>
      <x:c r="I275" s="8" t="n">
        <x:f>SUMIFS('PO detail'!$V$2:$V$672,'PO detail'!$A$2:$A$672,B275,'PO detail'!$B$2:$B$672,C275,'PO detail'!$G$2:$G$672,"&gt;="&amp;D275,'PO detail'!$G$2:$G$672,"&lt;"&amp;A275)</x:f>
        <x:v>10000</x:v>
      </x:c>
      <x:c r="J275" s="8" t="n">
        <x:f>SUMIFS('PO detail'!$W$2:$W$672,'PO detail'!$A$2:$A$672,B275,'PO detail'!$B$2:$B$672,C275,'PO detail'!$G$2:$G$672,"&gt;="&amp;D275,'PO detail'!$G$2:$G$672,"&lt;"&amp;A275)</x:f>
        <x:v>0</x:v>
      </x:c>
      <x:c r="K275" s="8" t="n">
        <x:f>'Current inventory'!E23*Summary!$D$6*(A275-D275)/30.4375</x:f>
        <x:v>1956.164928131417</x:v>
      </x:c>
      <x:c r="L275" s="8" t="n">
        <x:f>MAX(0,E275+H275-K275)</x:f>
        <x:v>12610.42406570842</x:v>
      </x:c>
      <x:c r="M275" s="8" t="n">
        <x:f>MAX(0,F275+I275-MAX(0,K275-E275-H275))</x:f>
        <x:v>10000</x:v>
      </x:c>
      <x:c r="N275" s="8" t="n">
        <x:f>MAX(0,G275+J275-K275)</x:f>
        <x:v>0</x:v>
      </x:c>
      <x:c r="O275" s="8" t="n">
        <x:f>SUM(L275:N275)</x:f>
        <x:v>22610.42406570842</x:v>
      </x:c>
      <x:c r="P275" s="14" t="n">
        <x:f>'Current inventory'!V23</x:f>
        <x:v>1.04328</x:v>
      </x:c>
      <x:c r="Q275" s="14" t="n">
        <x:f>'Current inventory'!W23</x:f>
        <x:v>1.090215</x:v>
      </x:c>
      <x:c r="R275" s="10" t="n">
        <x:f>L275*P275</x:f>
        <x:v>13156.20321927228</x:v>
      </x:c>
      <x:c r="S275" s="10" t="n">
        <x:f>M275*P275</x:f>
        <x:v>10432.8</x:v>
      </x:c>
      <x:c r="T275" s="10" t="n">
        <x:f>N275*P275</x:f>
        <x:v>0</x:v>
      </x:c>
      <x:c r="U275" s="10" t="n">
        <x:f>O275*P275</x:f>
        <x:v>23589.00321927228</x:v>
      </x:c>
      <x:c r="V275" s="10" t="n">
        <x:f>IF(ISNUMBER(Q275),O275*(Q275-P275),"n.a.")</x:f>
        <x:v>1061.2202535240235</x:v>
      </x:c>
      <x:c r="W275" s="10" t="n">
        <x:f>IF(ISNUMBER(Q275),U275,0)</x:f>
        <x:v>23589.00321927228</x:v>
      </x:c>
      <x:c r="X275" s="8" t="n">
        <x:f>MAX(0,K275-SUM(E275:J275))</x:f>
        <x:v>0</x:v>
      </x:c>
      <x:c r="Y275" s="1" t="str">
        <x:f>IF(AND(O275&gt;0,NOT(ISNUMBER(Q275))),"No proposed replacement standard",IF(X275&gt;0,"Demand exceeds available stock",""))</x:f>
      </x:c>
      <x:c r="Z275" s="1" t="n">
        <x:f>IF(ISNUMBER(Q275),1,0)</x:f>
        <x:v>1</x:v>
      </x:c>
    </x:row>
    <x:row r="276" ht="21" customHeight="1">
      <x:c r="A276" s="17" t="n">
        <x:f>Summary!B17</x:f>
        <x:v>46388</x:v>
      </x:c>
      <x:c r="B276" s="1" t="str">
        <x:f>'Current inventory'!A24</x:f>
        <x:v>60</x:v>
      </x:c>
      <x:c r="C276" s="1" t="str">
        <x:f>'Current inventory'!B24</x:f>
        <x:v>800BBLKBRC</x:v>
      </x:c>
      <x:c r="D276" s="7" t="n">
        <x:f>A150</x:f>
        <x:v>46357</x:v>
      </x:c>
      <x:c r="E276" s="8" t="n">
        <x:f>L150</x:f>
        <x:v>0</x:v>
      </x:c>
      <x:c r="F276" s="8" t="n">
        <x:f>M150</x:f>
        <x:v>0</x:v>
      </x:c>
      <x:c r="G276" s="8" t="n">
        <x:f>N150</x:f>
        <x:v>3165.7084188911704</x:v>
      </x:c>
      <x:c r="H276" s="8" t="n">
        <x:f>SUMIFS('PO detail'!$U$2:$U$672,'PO detail'!$A$2:$A$672,B276,'PO detail'!$B$2:$B$672,C276,'PO detail'!$G$2:$G$672,"&gt;="&amp;D276,'PO detail'!$G$2:$G$672,"&lt;"&amp;A276)</x:f>
        <x:v>0</x:v>
      </x:c>
      <x:c r="I276" s="8" t="n">
        <x:f>SUMIFS('PO detail'!$V$2:$V$672,'PO detail'!$A$2:$A$672,B276,'PO detail'!$B$2:$B$672,C276,'PO detail'!$G$2:$G$672,"&gt;="&amp;D276,'PO detail'!$G$2:$G$672,"&lt;"&amp;A276)</x:f>
        <x:v>0</x:v>
      </x:c>
      <x:c r="J276" s="8" t="n">
        <x:f>SUMIFS('PO detail'!$W$2:$W$672,'PO detail'!$A$2:$A$672,B276,'PO detail'!$B$2:$B$672,C276,'PO detail'!$G$2:$G$672,"&gt;="&amp;D276,'PO detail'!$G$2:$G$672,"&lt;"&amp;A276)</x:f>
        <x:v>0</x:v>
      </x:c>
      <x:c r="K276" s="8" t="n">
        <x:f>'Current inventory'!E24*Summary!$D$6*(A276-D276)/30.4375</x:f>
        <x:v>1833.2648870636551</x:v>
      </x:c>
      <x:c r="L276" s="8" t="n">
        <x:f>MAX(0,E276+H276-K276)</x:f>
        <x:v>0</x:v>
      </x:c>
      <x:c r="M276" s="8" t="n">
        <x:f>MAX(0,F276+I276-MAX(0,K276-E276-H276))</x:f>
        <x:v>0</x:v>
      </x:c>
      <x:c r="N276" s="8" t="n">
        <x:f>MAX(0,G276+J276-K276)</x:f>
        <x:v>1332.4435318275152</x:v>
      </x:c>
      <x:c r="O276" s="8" t="n">
        <x:f>SUM(L276:N276)</x:f>
        <x:v>1332.4435318275152</x:v>
      </x:c>
      <x:c r="P276" s="14" t="n">
        <x:f>'Current inventory'!V24</x:f>
        <x:v>0.16829999999999998</x:v>
      </x:c>
      <x:c r="Q276" s="14" t="str">
        <x:f>'Current inventory'!W24</x:f>
        <x:v>n.a.</x:v>
      </x:c>
      <x:c r="R276" s="10" t="n">
        <x:f>L276*P276</x:f>
        <x:v>0</x:v>
      </x:c>
      <x:c r="S276" s="10" t="n">
        <x:f>M276*P276</x:f>
        <x:v>0</x:v>
      </x:c>
      <x:c r="T276" s="10" t="n">
        <x:f>N276*P276</x:f>
        <x:v>224.2502464065708</x:v>
      </x:c>
      <x:c r="U276" s="10" t="n">
        <x:f>O276*P276</x:f>
        <x:v>224.2502464065708</x:v>
      </x:c>
      <x:c r="V276" s="10" t="str">
        <x:f>IF(ISNUMBER(Q276),O276*(Q276-P276),"n.a.")</x:f>
        <x:v>n.a.</x:v>
      </x:c>
      <x:c r="W276" s="10" t="n">
        <x:f>IF(ISNUMBER(Q276),U276,0)</x:f>
        <x:v>0</x:v>
      </x:c>
      <x:c r="X276" s="8" t="n">
        <x:f>MAX(0,K276-SUM(E276:J276))</x:f>
        <x:v>0</x:v>
      </x:c>
      <x:c r="Y276" s="1" t="str">
        <x:f>IF(AND(O276&gt;0,NOT(ISNUMBER(Q276))),"No proposed replacement standard",IF(X276&gt;0,"Demand exceeds available stock",""))</x:f>
        <x:v>No proposed replacement standard</x:v>
      </x:c>
      <x:c r="Z276" s="1" t="n">
        <x:f>IF(ISNUMBER(Q276),1,0)</x:f>
        <x:v>0</x:v>
      </x:c>
    </x:row>
    <x:row r="277" ht="21" customHeight="1">
      <x:c r="A277" s="17" t="n">
        <x:f>Summary!B17</x:f>
        <x:v>46388</x:v>
      </x:c>
      <x:c r="B277" s="1" t="str">
        <x:f>'Current inventory'!A25</x:f>
        <x:v>10</x:v>
      </x:c>
      <x:c r="C277" s="1" t="str">
        <x:f>'Current inventory'!B25</x:f>
        <x:v>800BLKE</x:v>
      </x:c>
      <x:c r="D277" s="7" t="n">
        <x:f>A151</x:f>
        <x:v>46357</x:v>
      </x:c>
      <x:c r="E277" s="8" t="n">
        <x:f>L151</x:f>
        <x:v>16046.316550308009</x:v>
      </x:c>
      <x:c r="F277" s="8" t="n">
        <x:f>M151</x:f>
        <x:v>0</x:v>
      </x:c>
      <x:c r="G277" s="8" t="n">
        <x:f>N151</x:f>
        <x:v>0</x:v>
      </x:c>
      <x:c r="H277" s="8" t="n">
        <x:f>SUMIFS('PO detail'!$U$2:$U$672,'PO detail'!$A$2:$A$672,B277,'PO detail'!$B$2:$B$672,C277,'PO detail'!$G$2:$G$672,"&gt;="&amp;D277,'PO detail'!$G$2:$G$672,"&lt;"&amp;A277)</x:f>
        <x:v>0</x:v>
      </x:c>
      <x:c r="I277" s="8" t="n">
        <x:f>SUMIFS('PO detail'!$V$2:$V$672,'PO detail'!$A$2:$A$672,B277,'PO detail'!$B$2:$B$672,C277,'PO detail'!$G$2:$G$672,"&gt;="&amp;D277,'PO detail'!$G$2:$G$672,"&lt;"&amp;A277)</x:f>
        <x:v>0</x:v>
      </x:c>
      <x:c r="J277" s="8" t="n">
        <x:f>SUMIFS('PO detail'!$W$2:$W$672,'PO detail'!$A$2:$A$672,B277,'PO detail'!$B$2:$B$672,C277,'PO detail'!$G$2:$G$672,"&gt;="&amp;D277,'PO detail'!$G$2:$G$672,"&lt;"&amp;A277)</x:f>
        <x:v>0</x:v>
      </x:c>
      <x:c r="K277" s="8" t="n">
        <x:f>'Current inventory'!E25*Summary!$D$6*(A277-D277)/30.4375</x:f>
        <x:v>1767.399753593429</x:v>
      </x:c>
      <x:c r="L277" s="8" t="n">
        <x:f>MAX(0,E277+H277-K277)</x:f>
        <x:v>14278.91679671458</x:v>
      </x:c>
      <x:c r="M277" s="8" t="n">
        <x:f>MAX(0,F277+I277-MAX(0,K277-E277-H277))</x:f>
        <x:v>0</x:v>
      </x:c>
      <x:c r="N277" s="8" t="n">
        <x:f>MAX(0,G277+J277-K277)</x:f>
        <x:v>0</x:v>
      </x:c>
      <x:c r="O277" s="8" t="n">
        <x:f>SUM(L277:N277)</x:f>
        <x:v>14278.91679671458</x:v>
      </x:c>
      <x:c r="P277" s="14" t="n">
        <x:f>'Current inventory'!V25</x:f>
        <x:v>0.90416</x:v>
      </x:c>
      <x:c r="Q277" s="14" t="n">
        <x:f>'Current inventory'!W25</x:f>
        <x:v>0.94479</x:v>
      </x:c>
      <x:c r="R277" s="10" t="n">
        <x:f>L277*P277</x:f>
        <x:v>12910.425410917454</x:v>
      </x:c>
      <x:c r="S277" s="10" t="n">
        <x:f>M277*P277</x:f>
        <x:v>0</x:v>
      </x:c>
      <x:c r="T277" s="10" t="n">
        <x:f>N277*P277</x:f>
        <x:v>0</x:v>
      </x:c>
      <x:c r="U277" s="10" t="n">
        <x:f>O277*P277</x:f>
        <x:v>12910.425410917454</x:v>
      </x:c>
      <x:c r="V277" s="10" t="n">
        <x:f>IF(ISNUMBER(Q277),O277*(Q277-P277),"n.a.")</x:f>
        <x:v>580.1523894505142</x:v>
      </x:c>
      <x:c r="W277" s="10" t="n">
        <x:f>IF(ISNUMBER(Q277),U277,0)</x:f>
        <x:v>12910.425410917454</x:v>
      </x:c>
      <x:c r="X277" s="8" t="n">
        <x:f>MAX(0,K277-SUM(E277:J277))</x:f>
        <x:v>0</x:v>
      </x:c>
      <x:c r="Y277" s="1" t="str">
        <x:f>IF(AND(O277&gt;0,NOT(ISNUMBER(Q277))),"No proposed replacement standard",IF(X277&gt;0,"Demand exceeds available stock",""))</x:f>
      </x:c>
      <x:c r="Z277" s="1" t="n">
        <x:f>IF(ISNUMBER(Q277),1,0)</x:f>
        <x:v>1</x:v>
      </x:c>
    </x:row>
    <x:row r="278" ht="21" customHeight="1">
      <x:c r="A278" s="17" t="n">
        <x:f>Summary!B17</x:f>
        <x:v>46388</x:v>
      </x:c>
      <x:c r="B278" s="1" t="str">
        <x:f>'Current inventory'!A26</x:f>
        <x:v>60</x:v>
      </x:c>
      <x:c r="C278" s="1" t="str">
        <x:f>'Current inventory'!B26</x:f>
        <x:v>800BLKE</x:v>
      </x:c>
      <x:c r="D278" s="7" t="n">
        <x:f>A152</x:f>
        <x:v>46357</x:v>
      </x:c>
      <x:c r="E278" s="8" t="n">
        <x:f>L152</x:f>
        <x:v>12914.776180698153</x:v>
      </x:c>
      <x:c r="F278" s="8" t="n">
        <x:f>M152</x:f>
        <x:v>0</x:v>
      </x:c>
      <x:c r="G278" s="8" t="n">
        <x:f>N152</x:f>
        <x:v>0</x:v>
      </x:c>
      <x:c r="H278" s="8" t="n">
        <x:f>SUMIFS('PO detail'!$U$2:$U$672,'PO detail'!$A$2:$A$672,B278,'PO detail'!$B$2:$B$672,C278,'PO detail'!$G$2:$G$672,"&gt;="&amp;D278,'PO detail'!$G$2:$G$672,"&lt;"&amp;A278)</x:f>
        <x:v>0</x:v>
      </x:c>
      <x:c r="I278" s="8" t="n">
        <x:f>SUMIFS('PO detail'!$V$2:$V$672,'PO detail'!$A$2:$A$672,B278,'PO detail'!$B$2:$B$672,C278,'PO detail'!$G$2:$G$672,"&gt;="&amp;D278,'PO detail'!$G$2:$G$672,"&lt;"&amp;A278)</x:f>
        <x:v>0</x:v>
      </x:c>
      <x:c r="J278" s="8" t="n">
        <x:f>SUMIFS('PO detail'!$W$2:$W$672,'PO detail'!$A$2:$A$672,B278,'PO detail'!$B$2:$B$672,C278,'PO detail'!$G$2:$G$672,"&gt;="&amp;D278,'PO detail'!$G$2:$G$672,"&lt;"&amp;A278)</x:f>
        <x:v>0</x:v>
      </x:c>
      <x:c r="K278" s="8" t="n">
        <x:f>'Current inventory'!E26*Summary!$D$6*(A278-D278)/30.4375</x:f>
        <x:v>1739.0554414784394</x:v>
      </x:c>
      <x:c r="L278" s="8" t="n">
        <x:f>MAX(0,E278+H278-K278)</x:f>
        <x:v>11175.720739219712</x:v>
      </x:c>
      <x:c r="M278" s="8" t="n">
        <x:f>MAX(0,F278+I278-MAX(0,K278-E278-H278))</x:f>
        <x:v>0</x:v>
      </x:c>
      <x:c r="N278" s="8" t="n">
        <x:f>MAX(0,G278+J278-K278)</x:f>
        <x:v>0</x:v>
      </x:c>
      <x:c r="O278" s="8" t="n">
        <x:f>SUM(L278:N278)</x:f>
        <x:v>11175.720739219712</x:v>
      </x:c>
      <x:c r="P278" s="14" t="n">
        <x:f>'Current inventory'!V26</x:f>
        <x:v>0.90416</x:v>
      </x:c>
      <x:c r="Q278" s="14" t="n">
        <x:f>'Current inventory'!W26</x:f>
        <x:v>0.94479</x:v>
      </x:c>
      <x:c r="R278" s="10" t="n">
        <x:f>L278*P278</x:f>
        <x:v>10104.639663572894</x:v>
      </x:c>
      <x:c r="S278" s="10" t="n">
        <x:f>M278*P278</x:f>
        <x:v>0</x:v>
      </x:c>
      <x:c r="T278" s="10" t="n">
        <x:f>N278*P278</x:f>
        <x:v>0</x:v>
      </x:c>
      <x:c r="U278" s="10" t="n">
        <x:f>O278*P278</x:f>
        <x:v>10104.639663572894</x:v>
      </x:c>
      <x:c r="V278" s="10" t="n">
        <x:f>IF(ISNUMBER(Q278),O278*(Q278-P278),"n.a.")</x:f>
        <x:v>454.06953363449753</x:v>
      </x:c>
      <x:c r="W278" s="10" t="n">
        <x:f>IF(ISNUMBER(Q278),U278,0)</x:f>
        <x:v>10104.639663572894</x:v>
      </x:c>
      <x:c r="X278" s="8" t="n">
        <x:f>MAX(0,K278-SUM(E278:J278))</x:f>
        <x:v>0</x:v>
      </x:c>
      <x:c r="Y278" s="1" t="str">
        <x:f>IF(AND(O278&gt;0,NOT(ISNUMBER(Q278))),"No proposed replacement standard",IF(X278&gt;0,"Demand exceeds available stock",""))</x:f>
      </x:c>
      <x:c r="Z278" s="1" t="n">
        <x:f>IF(ISNUMBER(Q278),1,0)</x:f>
        <x:v>1</x:v>
      </x:c>
    </x:row>
    <x:row r="279" ht="21" customHeight="1">
      <x:c r="A279" s="17" t="n">
        <x:f>Summary!B17</x:f>
        <x:v>46388</x:v>
      </x:c>
      <x:c r="B279" s="1" t="str">
        <x:f>'Current inventory'!A27</x:f>
        <x:v>60</x:v>
      </x:c>
      <x:c r="C279" s="1" t="str">
        <x:f>'Current inventory'!B27</x:f>
        <x:v>800BNAVDSC</x:v>
      </x:c>
      <x:c r="D279" s="7" t="n">
        <x:f>A153</x:f>
        <x:v>46357</x:v>
      </x:c>
      <x:c r="E279" s="8" t="n">
        <x:f>L153</x:f>
        <x:v>0</x:v>
      </x:c>
      <x:c r="F279" s="8" t="n">
        <x:f>M153</x:f>
        <x:v>0</x:v>
      </x:c>
      <x:c r="G279" s="8" t="n">
        <x:f>N153</x:f>
        <x:v>513.9630390143736</x:v>
      </x:c>
      <x:c r="H279" s="8" t="n">
        <x:f>SUMIFS('PO detail'!$U$2:$U$672,'PO detail'!$A$2:$A$672,B279,'PO detail'!$B$2:$B$672,C279,'PO detail'!$G$2:$G$672,"&gt;="&amp;D279,'PO detail'!$G$2:$G$672,"&lt;"&amp;A279)</x:f>
        <x:v>0</x:v>
      </x:c>
      <x:c r="I279" s="8" t="n">
        <x:f>SUMIFS('PO detail'!$V$2:$V$672,'PO detail'!$A$2:$A$672,B279,'PO detail'!$B$2:$B$672,C279,'PO detail'!$G$2:$G$672,"&gt;="&amp;D279,'PO detail'!$G$2:$G$672,"&lt;"&amp;A279)</x:f>
        <x:v>0</x:v>
      </x:c>
      <x:c r="J279" s="8" t="n">
        <x:f>SUMIFS('PO detail'!$W$2:$W$672,'PO detail'!$A$2:$A$672,B279,'PO detail'!$B$2:$B$672,C279,'PO detail'!$G$2:$G$672,"&gt;="&amp;D279,'PO detail'!$G$2:$G$672,"&lt;"&amp;A279)</x:f>
        <x:v>0</x:v>
      </x:c>
      <x:c r="K279" s="8" t="n">
        <x:f>'Current inventory'!E27*Summary!$D$6*(A279-D279)/30.4375</x:f>
        <x:v>1629.5687885010268</x:v>
      </x:c>
      <x:c r="L279" s="8" t="n">
        <x:f>MAX(0,E279+H279-K279)</x:f>
        <x:v>0</x:v>
      </x:c>
      <x:c r="M279" s="8" t="n">
        <x:f>MAX(0,F279+I279-MAX(0,K279-E279-H279))</x:f>
        <x:v>0</x:v>
      </x:c>
      <x:c r="N279" s="8" t="n">
        <x:f>MAX(0,G279+J279-K279)</x:f>
        <x:v>0</x:v>
      </x:c>
      <x:c r="O279" s="8" t="n">
        <x:f>SUM(L279:N279)</x:f>
        <x:v>0</x:v>
      </x:c>
      <x:c r="P279" s="14" t="n">
        <x:f>'Current inventory'!V27</x:f>
        <x:v>0.34509999999999996</x:v>
      </x:c>
      <x:c r="Q279" s="14" t="str">
        <x:f>'Current inventory'!W27</x:f>
        <x:v>n.a.</x:v>
      </x:c>
      <x:c r="R279" s="10" t="n">
        <x:f>L279*P279</x:f>
        <x:v>0</x:v>
      </x:c>
      <x:c r="S279" s="10" t="n">
        <x:f>M279*P279</x:f>
        <x:v>0</x:v>
      </x:c>
      <x:c r="T279" s="10" t="n">
        <x:f>N279*P279</x:f>
        <x:v>0</x:v>
      </x:c>
      <x:c r="U279" s="10" t="n">
        <x:f>O279*P279</x:f>
        <x:v>0</x:v>
      </x:c>
      <x:c r="V279" s="10" t="str">
        <x:f>IF(ISNUMBER(Q279),O279*(Q279-P279),"n.a.")</x:f>
        <x:v>n.a.</x:v>
      </x:c>
      <x:c r="W279" s="10" t="n">
        <x:f>IF(ISNUMBER(Q279),U279,0)</x:f>
        <x:v>0</x:v>
      </x:c>
      <x:c r="X279" s="8" t="n">
        <x:f>MAX(0,K279-SUM(E279:J279))</x:f>
        <x:v>1115.6057494866532</x:v>
      </x:c>
      <x:c r="Y279" s="1" t="str">
        <x:f>IF(AND(O279&gt;0,NOT(ISNUMBER(Q279))),"No proposed replacement standard",IF(X279&gt;0,"Demand exceeds available stock",""))</x:f>
        <x:v>Demand exceeds available stock</x:v>
      </x:c>
      <x:c r="Z279" s="1" t="n">
        <x:f>IF(ISNUMBER(Q279),1,0)</x:f>
        <x:v>0</x:v>
      </x:c>
    </x:row>
    <x:row r="280" ht="21" customHeight="1">
      <x:c r="A280" s="17" t="n">
        <x:f>Summary!B17</x:f>
        <x:v>46388</x:v>
      </x:c>
      <x:c r="B280" s="1" t="str">
        <x:f>'Current inventory'!A28</x:f>
        <x:v>10</x:v>
      </x:c>
      <x:c r="C280" s="1" t="str">
        <x:f>'Current inventory'!B28</x:f>
        <x:v>800BNAVDSC</x:v>
      </x:c>
      <x:c r="D280" s="7" t="n">
        <x:f>A154</x:f>
        <x:v>46357</x:v>
      </x:c>
      <x:c r="E280" s="8" t="n">
        <x:f>L154</x:f>
        <x:v>0</x:v>
      </x:c>
      <x:c r="F280" s="8" t="n">
        <x:f>M154</x:f>
        <x:v>0</x:v>
      </x:c>
      <x:c r="G280" s="8" t="n">
        <x:f>N154</x:f>
        <x:v>0</x:v>
      </x:c>
      <x:c r="H280" s="8" t="n">
        <x:f>SUMIFS('PO detail'!$U$2:$U$672,'PO detail'!$A$2:$A$672,B280,'PO detail'!$B$2:$B$672,C280,'PO detail'!$G$2:$G$672,"&gt;="&amp;D280,'PO detail'!$G$2:$G$672,"&lt;"&amp;A280)</x:f>
        <x:v>0</x:v>
      </x:c>
      <x:c r="I280" s="8" t="n">
        <x:f>SUMIFS('PO detail'!$V$2:$V$672,'PO detail'!$A$2:$A$672,B280,'PO detail'!$B$2:$B$672,C280,'PO detail'!$G$2:$G$672,"&gt;="&amp;D280,'PO detail'!$G$2:$G$672,"&lt;"&amp;A280)</x:f>
        <x:v>0</x:v>
      </x:c>
      <x:c r="J280" s="8" t="n">
        <x:f>SUMIFS('PO detail'!$W$2:$W$672,'PO detail'!$A$2:$A$672,B280,'PO detail'!$B$2:$B$672,C280,'PO detail'!$G$2:$G$672,"&gt;="&amp;D280,'PO detail'!$G$2:$G$672,"&lt;"&amp;A280)</x:f>
        <x:v>0</x:v>
      </x:c>
      <x:c r="K280" s="8" t="n">
        <x:f>'Current inventory'!E28*Summary!$D$6*(A280-D280)/30.4375</x:f>
        <x:v>1468.3025872689939</x:v>
      </x:c>
      <x:c r="L280" s="8" t="n">
        <x:f>MAX(0,E280+H280-K280)</x:f>
        <x:v>0</x:v>
      </x:c>
      <x:c r="M280" s="8" t="n">
        <x:f>MAX(0,F280+I280-MAX(0,K280-E280-H280))</x:f>
        <x:v>0</x:v>
      </x:c>
      <x:c r="N280" s="8" t="n">
        <x:f>MAX(0,G280+J280-K280)</x:f>
        <x:v>0</x:v>
      </x:c>
      <x:c r="O280" s="8" t="n">
        <x:f>SUM(L280:N280)</x:f>
        <x:v>0</x:v>
      </x:c>
      <x:c r="P280" s="14" t="n">
        <x:f>'Current inventory'!V28</x:f>
        <x:v>0.34509999999999996</x:v>
      </x:c>
      <x:c r="Q280" s="14" t="str">
        <x:f>'Current inventory'!W28</x:f>
        <x:v>n.a.</x:v>
      </x:c>
      <x:c r="R280" s="10" t="n">
        <x:f>L280*P280</x:f>
        <x:v>0</x:v>
      </x:c>
      <x:c r="S280" s="10" t="n">
        <x:f>M280*P280</x:f>
        <x:v>0</x:v>
      </x:c>
      <x:c r="T280" s="10" t="n">
        <x:f>N280*P280</x:f>
        <x:v>0</x:v>
      </x:c>
      <x:c r="U280" s="10" t="n">
        <x:f>O280*P280</x:f>
        <x:v>0</x:v>
      </x:c>
      <x:c r="V280" s="10" t="str">
        <x:f>IF(ISNUMBER(Q280),O280*(Q280-P280),"n.a.")</x:f>
        <x:v>n.a.</x:v>
      </x:c>
      <x:c r="W280" s="10" t="n">
        <x:f>IF(ISNUMBER(Q280),U280,0)</x:f>
        <x:v>0</x:v>
      </x:c>
      <x:c r="X280" s="8" t="n">
        <x:f>MAX(0,K280-SUM(E280:J280))</x:f>
        <x:v>1468.3025872689939</x:v>
      </x:c>
      <x:c r="Y280" s="1" t="str">
        <x:f>IF(AND(O280&gt;0,NOT(ISNUMBER(Q280))),"No proposed replacement standard",IF(X280&gt;0,"Demand exceeds available stock",""))</x:f>
        <x:v>Demand exceeds available stock</x:v>
      </x:c>
      <x:c r="Z280" s="1" t="n">
        <x:f>IF(ISNUMBER(Q280),1,0)</x:f>
        <x:v>0</x:v>
      </x:c>
    </x:row>
    <x:row r="281" ht="21" customHeight="1">
      <x:c r="A281" s="17" t="n">
        <x:f>Summary!B17</x:f>
        <x:v>46388</x:v>
      </x:c>
      <x:c r="B281" s="1" t="str">
        <x:f>'Current inventory'!A29</x:f>
        <x:v>30</x:v>
      </x:c>
      <x:c r="C281" s="1" t="str">
        <x:f>'Current inventory'!B29</x:f>
        <x:v>800BMARASC</x:v>
      </x:c>
      <x:c r="D281" s="7" t="n">
        <x:f>A155</x:f>
        <x:v>46357</x:v>
      </x:c>
      <x:c r="E281" s="8" t="n">
        <x:f>L155</x:f>
        <x:v>17737.91342915811</x:v>
      </x:c>
      <x:c r="F281" s="8" t="n">
        <x:f>M155</x:f>
        <x:v>0</x:v>
      </x:c>
      <x:c r="G281" s="8" t="n">
        <x:f>N155</x:f>
        <x:v>0</x:v>
      </x:c>
      <x:c r="H281" s="8" t="n">
        <x:f>SUMIFS('PO detail'!$U$2:$U$672,'PO detail'!$A$2:$A$672,B281,'PO detail'!$B$2:$B$672,C281,'PO detail'!$G$2:$G$672,"&gt;="&amp;D281,'PO detail'!$G$2:$G$672,"&lt;"&amp;A281)</x:f>
        <x:v>0</x:v>
      </x:c>
      <x:c r="I281" s="8" t="n">
        <x:f>SUMIFS('PO detail'!$V$2:$V$672,'PO detail'!$A$2:$A$672,B281,'PO detail'!$B$2:$B$672,C281,'PO detail'!$G$2:$G$672,"&gt;="&amp;D281,'PO detail'!$G$2:$G$672,"&lt;"&amp;A281)</x:f>
        <x:v>0</x:v>
      </x:c>
      <x:c r="J281" s="8" t="n">
        <x:f>SUMIFS('PO detail'!$W$2:$W$672,'PO detail'!$A$2:$A$672,B281,'PO detail'!$B$2:$B$672,C281,'PO detail'!$G$2:$G$672,"&gt;="&amp;D281,'PO detail'!$G$2:$G$672,"&lt;"&amp;A281)</x:f>
        <x:v>0</x:v>
      </x:c>
      <x:c r="K281" s="8" t="n">
        <x:f>'Current inventory'!E29*Summary!$D$6*(A281-D281)/30.4375</x:f>
        <x:v>1264.6166735112938</x:v>
      </x:c>
      <x:c r="L281" s="8" t="n">
        <x:f>MAX(0,E281+H281-K281)</x:f>
        <x:v>16473.296755646817</x:v>
      </x:c>
      <x:c r="M281" s="8" t="n">
        <x:f>MAX(0,F281+I281-MAX(0,K281-E281-H281))</x:f>
        <x:v>0</x:v>
      </x:c>
      <x:c r="N281" s="8" t="n">
        <x:f>MAX(0,G281+J281-K281)</x:f>
        <x:v>0</x:v>
      </x:c>
      <x:c r="O281" s="8" t="n">
        <x:f>SUM(L281:N281)</x:f>
        <x:v>16473.296755646817</x:v>
      </x:c>
      <x:c r="P281" s="14" t="n">
        <x:f>'Current inventory'!V29</x:f>
        <x:v>0.1598</x:v>
      </x:c>
      <x:c r="Q281" s="14" t="n">
        <x:f>'Current inventory'!W29</x:f>
        <x:v>0.16695000000000002</x:v>
      </x:c>
      <x:c r="R281" s="10" t="n">
        <x:f>L281*P281</x:f>
        <x:v>2632.4328215523615</x:v>
      </x:c>
      <x:c r="S281" s="10" t="n">
        <x:f>M281*P281</x:f>
        <x:v>0</x:v>
      </x:c>
      <x:c r="T281" s="10" t="n">
        <x:f>N281*P281</x:f>
        <x:v>0</x:v>
      </x:c>
      <x:c r="U281" s="10" t="n">
        <x:f>O281*P281</x:f>
        <x:v>2632.4328215523615</x:v>
      </x:c>
      <x:c r="V281" s="10" t="n">
        <x:f>IF(ISNUMBER(Q281),O281*(Q281-P281),"n.a.")</x:f>
        <x:v>117.78407180287503</x:v>
      </x:c>
      <x:c r="W281" s="10" t="n">
        <x:f>IF(ISNUMBER(Q281),U281,0)</x:f>
        <x:v>2632.4328215523615</x:v>
      </x:c>
      <x:c r="X281" s="8" t="n">
        <x:f>MAX(0,K281-SUM(E281:J281))</x:f>
        <x:v>0</x:v>
      </x:c>
      <x:c r="Y281" s="1" t="str">
        <x:f>IF(AND(O281&gt;0,NOT(ISNUMBER(Q281))),"No proposed replacement standard",IF(X281&gt;0,"Demand exceeds available stock",""))</x:f>
      </x:c>
      <x:c r="Z281" s="1" t="n">
        <x:f>IF(ISNUMBER(Q281),1,0)</x:f>
        <x:v>1</x:v>
      </x:c>
    </x:row>
    <x:row r="282" ht="21" customHeight="1">
      <x:c r="A282" s="17" t="n">
        <x:f>Summary!B17</x:f>
        <x:v>46388</x:v>
      </x:c>
      <x:c r="B282" s="1" t="str">
        <x:f>'Current inventory'!A30</x:f>
        <x:v>60</x:v>
      </x:c>
      <x:c r="C282" s="1" t="str">
        <x:f>'Current inventory'!B30</x:f>
        <x:v>800BNAVBRC</x:v>
      </x:c>
      <x:c r="D282" s="7" t="n">
        <x:f>A156</x:f>
        <x:v>46357</x:v>
      </x:c>
      <x:c r="E282" s="8" t="n">
        <x:f>L156</x:f>
        <x:v>0</x:v>
      </x:c>
      <x:c r="F282" s="8" t="n">
        <x:f>M156</x:f>
        <x:v>0</x:v>
      </x:c>
      <x:c r="G282" s="8" t="n">
        <x:f>N156</x:f>
        <x:v>3768.5089117043117</x:v>
      </x:c>
      <x:c r="H282" s="8" t="n">
        <x:f>SUMIFS('PO detail'!$U$2:$U$672,'PO detail'!$A$2:$A$672,B282,'PO detail'!$B$2:$B$672,C282,'PO detail'!$G$2:$G$672,"&gt;="&amp;D282,'PO detail'!$G$2:$G$672,"&lt;"&amp;A282)</x:f>
        <x:v>0</x:v>
      </x:c>
      <x:c r="I282" s="8" t="n">
        <x:f>SUMIFS('PO detail'!$V$2:$V$672,'PO detail'!$A$2:$A$672,B282,'PO detail'!$B$2:$B$672,C282,'PO detail'!$G$2:$G$672,"&gt;="&amp;D282,'PO detail'!$G$2:$G$672,"&lt;"&amp;A282)</x:f>
        <x:v>0</x:v>
      </x:c>
      <x:c r="J282" s="8" t="n">
        <x:f>SUMIFS('PO detail'!$W$2:$W$672,'PO detail'!$A$2:$A$672,B282,'PO detail'!$B$2:$B$672,C282,'PO detail'!$G$2:$G$672,"&gt;="&amp;D282,'PO detail'!$G$2:$G$672,"&lt;"&amp;A282)</x:f>
        <x:v>0</x:v>
      </x:c>
      <x:c r="K282" s="8" t="n">
        <x:f>'Current inventory'!E30*Summary!$D$6*(A282-D282)/30.4375</x:f>
        <x:v>1188.2306365503082</x:v>
      </x:c>
      <x:c r="L282" s="8" t="n">
        <x:f>MAX(0,E282+H282-K282)</x:f>
        <x:v>0</x:v>
      </x:c>
      <x:c r="M282" s="8" t="n">
        <x:f>MAX(0,F282+I282-MAX(0,K282-E282-H282))</x:f>
        <x:v>0</x:v>
      </x:c>
      <x:c r="N282" s="8" t="n">
        <x:f>MAX(0,G282+J282-K282)</x:f>
        <x:v>2580.2782751540035</x:v>
      </x:c>
      <x:c r="O282" s="8" t="n">
        <x:f>SUM(L282:N282)</x:f>
        <x:v>2580.2782751540035</x:v>
      </x:c>
      <x:c r="P282" s="14" t="n">
        <x:f>'Current inventory'!V30</x:f>
        <x:v>0.17370000000000002</x:v>
      </x:c>
      <x:c r="Q282" s="14" t="str">
        <x:f>'Current inventory'!W30</x:f>
        <x:v>n.a.</x:v>
      </x:c>
      <x:c r="R282" s="10" t="n">
        <x:f>L282*P282</x:f>
        <x:v>0</x:v>
      </x:c>
      <x:c r="S282" s="10" t="n">
        <x:f>M282*P282</x:f>
        <x:v>0</x:v>
      </x:c>
      <x:c r="T282" s="10" t="n">
        <x:f>N282*P282</x:f>
        <x:v>448.19433639425046</x:v>
      </x:c>
      <x:c r="U282" s="10" t="n">
        <x:f>O282*P282</x:f>
        <x:v>448.19433639425046</x:v>
      </x:c>
      <x:c r="V282" s="10" t="str">
        <x:f>IF(ISNUMBER(Q282),O282*(Q282-P282),"n.a.")</x:f>
        <x:v>n.a.</x:v>
      </x:c>
      <x:c r="W282" s="10" t="n">
        <x:f>IF(ISNUMBER(Q282),U282,0)</x:f>
        <x:v>0</x:v>
      </x:c>
      <x:c r="X282" s="8" t="n">
        <x:f>MAX(0,K282-SUM(E282:J282))</x:f>
        <x:v>0</x:v>
      </x:c>
      <x:c r="Y282" s="1" t="str">
        <x:f>IF(AND(O282&gt;0,NOT(ISNUMBER(Q282))),"No proposed replacement standard",IF(X282&gt;0,"Demand exceeds available stock",""))</x:f>
        <x:v>No proposed replacement standard</x:v>
      </x:c>
      <x:c r="Z282" s="1" t="n">
        <x:f>IF(ISNUMBER(Q282),1,0)</x:f>
        <x:v>0</x:v>
      </x:c>
    </x:row>
    <x:row r="283" ht="21" customHeight="1">
      <x:c r="A283" s="17" t="n">
        <x:f>Summary!B17</x:f>
        <x:v>46388</x:v>
      </x:c>
      <x:c r="B283" s="1" t="str">
        <x:f>'Current inventory'!A31</x:f>
        <x:v>10</x:v>
      </x:c>
      <x:c r="C283" s="1" t="str">
        <x:f>'Current inventory'!B31</x:f>
        <x:v>800BNAVCSC</x:v>
      </x:c>
      <x:c r="D283" s="7" t="n">
        <x:f>A157</x:f>
        <x:v>46357</x:v>
      </x:c>
      <x:c r="E283" s="8" t="n">
        <x:f>L157</x:f>
        <x:v>0</x:v>
      </x:c>
      <x:c r="F283" s="8" t="n">
        <x:f>M157</x:f>
        <x:v>0</x:v>
      </x:c>
      <x:c r="G283" s="8" t="n">
        <x:f>N157</x:f>
        <x:v>0</x:v>
      </x:c>
      <x:c r="H283" s="8" t="n">
        <x:f>SUMIFS('PO detail'!$U$2:$U$672,'PO detail'!$A$2:$A$672,B283,'PO detail'!$B$2:$B$672,C283,'PO detail'!$G$2:$G$672,"&gt;="&amp;D283,'PO detail'!$G$2:$G$672,"&lt;"&amp;A283)</x:f>
        <x:v>0</x:v>
      </x:c>
      <x:c r="I283" s="8" t="n">
        <x:f>SUMIFS('PO detail'!$V$2:$V$672,'PO detail'!$A$2:$A$672,B283,'PO detail'!$B$2:$B$672,C283,'PO detail'!$G$2:$G$672,"&gt;="&amp;D283,'PO detail'!$G$2:$G$672,"&lt;"&amp;A283)</x:f>
        <x:v>0</x:v>
      </x:c>
      <x:c r="J283" s="8" t="n">
        <x:f>SUMIFS('PO detail'!$W$2:$W$672,'PO detail'!$A$2:$A$672,B283,'PO detail'!$B$2:$B$672,C283,'PO detail'!$G$2:$G$672,"&gt;="&amp;D283,'PO detail'!$G$2:$G$672,"&lt;"&amp;A283)</x:f>
        <x:v>0</x:v>
      </x:c>
      <x:c r="K283" s="8" t="n">
        <x:f>'Current inventory'!E31*Summary!$D$6*(A283-D283)/30.4375</x:f>
        <x:v>1103.3504722792607</x:v>
      </x:c>
      <x:c r="L283" s="8" t="n">
        <x:f>MAX(0,E283+H283-K283)</x:f>
        <x:v>0</x:v>
      </x:c>
      <x:c r="M283" s="8" t="n">
        <x:f>MAX(0,F283+I283-MAX(0,K283-E283-H283))</x:f>
        <x:v>0</x:v>
      </x:c>
      <x:c r="N283" s="8" t="n">
        <x:f>MAX(0,G283+J283-K283)</x:f>
        <x:v>0</x:v>
      </x:c>
      <x:c r="O283" s="8" t="n">
        <x:f>SUM(L283:N283)</x:f>
        <x:v>0</x:v>
      </x:c>
      <x:c r="P283" s="14" t="n">
        <x:f>'Current inventory'!V31</x:f>
        <x:v>0.2022</x:v>
      </x:c>
      <x:c r="Q283" s="14" t="str">
        <x:f>'Current inventory'!W31</x:f>
        <x:v>n.a.</x:v>
      </x:c>
      <x:c r="R283" s="10" t="n">
        <x:f>L283*P283</x:f>
        <x:v>0</x:v>
      </x:c>
      <x:c r="S283" s="10" t="n">
        <x:f>M283*P283</x:f>
        <x:v>0</x:v>
      </x:c>
      <x:c r="T283" s="10" t="n">
        <x:f>N283*P283</x:f>
        <x:v>0</x:v>
      </x:c>
      <x:c r="U283" s="10" t="n">
        <x:f>O283*P283</x:f>
        <x:v>0</x:v>
      </x:c>
      <x:c r="V283" s="10" t="str">
        <x:f>IF(ISNUMBER(Q283),O283*(Q283-P283),"n.a.")</x:f>
        <x:v>n.a.</x:v>
      </x:c>
      <x:c r="W283" s="10" t="n">
        <x:f>IF(ISNUMBER(Q283),U283,0)</x:f>
        <x:v>0</x:v>
      </x:c>
      <x:c r="X283" s="8" t="n">
        <x:f>MAX(0,K283-SUM(E283:J283))</x:f>
        <x:v>1103.3504722792607</x:v>
      </x:c>
      <x:c r="Y283" s="1" t="str">
        <x:f>IF(AND(O283&gt;0,NOT(ISNUMBER(Q283))),"No proposed replacement standard",IF(X283&gt;0,"Demand exceeds available stock",""))</x:f>
        <x:v>Demand exceeds available stock</x:v>
      </x:c>
      <x:c r="Z283" s="1" t="n">
        <x:f>IF(ISNUMBER(Q283),1,0)</x:f>
        <x:v>0</x:v>
      </x:c>
    </x:row>
    <x:row r="284" ht="21" customHeight="1">
      <x:c r="A284" s="17" t="n">
        <x:f>Summary!B17</x:f>
        <x:v>46388</x:v>
      </x:c>
      <x:c r="B284" s="1" t="str">
        <x:f>'Current inventory'!A32</x:f>
        <x:v>30</x:v>
      </x:c>
      <x:c r="C284" s="1" t="str">
        <x:f>'Current inventory'!B32</x:f>
        <x:v>800BBLKCSC</x:v>
      </x:c>
      <x:c r="D284" s="7" t="n">
        <x:f>A158</x:f>
        <x:v>46357</x:v>
      </x:c>
      <x:c r="E284" s="8" t="n">
        <x:f>L158</x:f>
        <x:v>0</x:v>
      </x:c>
      <x:c r="F284" s="8" t="n">
        <x:f>M158</x:f>
        <x:v>0</x:v>
      </x:c>
      <x:c r="G284" s="8" t="n">
        <x:f>N158</x:f>
        <x:v>1960.2953593429156</x:v>
      </x:c>
      <x:c r="H284" s="8" t="n">
        <x:f>SUMIFS('PO detail'!$U$2:$U$672,'PO detail'!$A$2:$A$672,B284,'PO detail'!$B$2:$B$672,C284,'PO detail'!$G$2:$G$672,"&gt;="&amp;D284,'PO detail'!$G$2:$G$672,"&lt;"&amp;A284)</x:f>
        <x:v>0</x:v>
      </x:c>
      <x:c r="I284" s="8" t="n">
        <x:f>SUMIFS('PO detail'!$V$2:$V$672,'PO detail'!$A$2:$A$672,B284,'PO detail'!$B$2:$B$672,C284,'PO detail'!$G$2:$G$672,"&gt;="&amp;D284,'PO detail'!$G$2:$G$672,"&lt;"&amp;A284)</x:f>
        <x:v>0</x:v>
      </x:c>
      <x:c r="J284" s="8" t="n">
        <x:f>SUMIFS('PO detail'!$W$2:$W$672,'PO detail'!$A$2:$A$672,B284,'PO detail'!$B$2:$B$672,C284,'PO detail'!$G$2:$G$672,"&gt;="&amp;D284,'PO detail'!$G$2:$G$672,"&lt;"&amp;A284)</x:f>
        <x:v>0</x:v>
      </x:c>
      <x:c r="K284" s="8" t="n">
        <x:f>'Current inventory'!E32*Summary!$D$6*(A284-D284)/30.4375</x:f>
        <x:v>959.0725256673511</x:v>
      </x:c>
      <x:c r="L284" s="8" t="n">
        <x:f>MAX(0,E284+H284-K284)</x:f>
        <x:v>0</x:v>
      </x:c>
      <x:c r="M284" s="8" t="n">
        <x:f>MAX(0,F284+I284-MAX(0,K284-E284-H284))</x:f>
        <x:v>0</x:v>
      </x:c>
      <x:c r="N284" s="8" t="n">
        <x:f>MAX(0,G284+J284-K284)</x:f>
        <x:v>1001.2228336755645</x:v>
      </x:c>
      <x:c r="O284" s="8" t="n">
        <x:f>SUM(L284:N284)</x:f>
        <x:v>1001.2228336755645</x:v>
      </x:c>
      <x:c r="P284" s="14" t="n">
        <x:f>'Current inventory'!V32</x:f>
        <x:v>0.1957</x:v>
      </x:c>
      <x:c r="Q284" s="14" t="str">
        <x:f>'Current inventory'!W32</x:f>
        <x:v>n.a.</x:v>
      </x:c>
      <x:c r="R284" s="10" t="n">
        <x:f>L284*P284</x:f>
        <x:v>0</x:v>
      </x:c>
      <x:c r="S284" s="10" t="n">
        <x:f>M284*P284</x:f>
        <x:v>0</x:v>
      </x:c>
      <x:c r="T284" s="10" t="n">
        <x:f>N284*P284</x:f>
        <x:v>195.939308550308</x:v>
      </x:c>
      <x:c r="U284" s="10" t="n">
        <x:f>O284*P284</x:f>
        <x:v>195.939308550308</x:v>
      </x:c>
      <x:c r="V284" s="10" t="str">
        <x:f>IF(ISNUMBER(Q284),O284*(Q284-P284),"n.a.")</x:f>
        <x:v>n.a.</x:v>
      </x:c>
      <x:c r="W284" s="10" t="n">
        <x:f>IF(ISNUMBER(Q284),U284,0)</x:f>
        <x:v>0</x:v>
      </x:c>
      <x:c r="X284" s="8" t="n">
        <x:f>MAX(0,K284-SUM(E284:J284))</x:f>
        <x:v>0</x:v>
      </x:c>
      <x:c r="Y284" s="1" t="str">
        <x:f>IF(AND(O284&gt;0,NOT(ISNUMBER(Q284))),"No proposed replacement standard",IF(X284&gt;0,"Demand exceeds available stock",""))</x:f>
        <x:v>No proposed replacement standard</x:v>
      </x:c>
      <x:c r="Z284" s="1" t="n">
        <x:f>IF(ISNUMBER(Q284),1,0)</x:f>
        <x:v>0</x:v>
      </x:c>
    </x:row>
    <x:row r="285" ht="21" customHeight="1">
      <x:c r="A285" s="17" t="n">
        <x:f>Summary!B17</x:f>
        <x:v>46388</x:v>
      </x:c>
      <x:c r="B285" s="1" t="str">
        <x:f>'Current inventory'!A33</x:f>
        <x:v>60</x:v>
      </x:c>
      <x:c r="C285" s="1" t="str">
        <x:f>'Current inventory'!B33</x:f>
        <x:v>800BNAVCSC</x:v>
      </x:c>
      <x:c r="D285" s="7" t="n">
        <x:f>A159</x:f>
        <x:v>46357</x:v>
      </x:c>
      <x:c r="E285" s="8" t="n">
        <x:f>L159</x:f>
        <x:v>0</x:v>
      </x:c>
      <x:c r="F285" s="8" t="n">
        <x:f>M159</x:f>
        <x:v>0</x:v>
      </x:c>
      <x:c r="G285" s="8" t="n">
        <x:f>N159</x:f>
        <x:v>2606.981519507187</x:v>
      </x:c>
      <x:c r="H285" s="8" t="n">
        <x:f>SUMIFS('PO detail'!$U$2:$U$672,'PO detail'!$A$2:$A$672,B285,'PO detail'!$B$2:$B$672,C285,'PO detail'!$G$2:$G$672,"&gt;="&amp;D285,'PO detail'!$G$2:$G$672,"&lt;"&amp;A285)</x:f>
        <x:v>0</x:v>
      </x:c>
      <x:c r="I285" s="8" t="n">
        <x:f>SUMIFS('PO detail'!$V$2:$V$672,'PO detail'!$A$2:$A$672,B285,'PO detail'!$B$2:$B$672,C285,'PO detail'!$G$2:$G$672,"&gt;="&amp;D285,'PO detail'!$G$2:$G$672,"&lt;"&amp;A285)</x:f>
        <x:v>0</x:v>
      </x:c>
      <x:c r="J285" s="8" t="n">
        <x:f>SUMIFS('PO detail'!$W$2:$W$672,'PO detail'!$A$2:$A$672,B285,'PO detail'!$B$2:$B$672,C285,'PO detail'!$G$2:$G$672,"&gt;="&amp;D285,'PO detail'!$G$2:$G$672,"&lt;"&amp;A285)</x:f>
        <x:v>0</x:v>
      </x:c>
      <x:c r="K285" s="8" t="n">
        <x:f>'Current inventory'!E33*Summary!$D$6*(A285-D285)/30.4375</x:f>
        <x:v>814.7843942505134</x:v>
      </x:c>
      <x:c r="L285" s="8" t="n">
        <x:f>MAX(0,E285+H285-K285)</x:f>
        <x:v>0</x:v>
      </x:c>
      <x:c r="M285" s="8" t="n">
        <x:f>MAX(0,F285+I285-MAX(0,K285-E285-H285))</x:f>
        <x:v>0</x:v>
      </x:c>
      <x:c r="N285" s="8" t="n">
        <x:f>MAX(0,G285+J285-K285)</x:f>
        <x:v>1792.1971252566736</x:v>
      </x:c>
      <x:c r="O285" s="8" t="n">
        <x:f>SUM(L285:N285)</x:f>
        <x:v>1792.1971252566736</x:v>
      </x:c>
      <x:c r="P285" s="14" t="n">
        <x:f>'Current inventory'!V33</x:f>
        <x:v>0.2022</x:v>
      </x:c>
      <x:c r="Q285" s="14" t="str">
        <x:f>'Current inventory'!W33</x:f>
        <x:v>n.a.</x:v>
      </x:c>
      <x:c r="R285" s="10" t="n">
        <x:f>L285*P285</x:f>
        <x:v>0</x:v>
      </x:c>
      <x:c r="S285" s="10" t="n">
        <x:f>M285*P285</x:f>
        <x:v>0</x:v>
      </x:c>
      <x:c r="T285" s="10" t="n">
        <x:f>N285*P285</x:f>
        <x:v>362.3822587268994</x:v>
      </x:c>
      <x:c r="U285" s="10" t="n">
        <x:f>O285*P285</x:f>
        <x:v>362.3822587268994</x:v>
      </x:c>
      <x:c r="V285" s="10" t="str">
        <x:f>IF(ISNUMBER(Q285),O285*(Q285-P285),"n.a.")</x:f>
        <x:v>n.a.</x:v>
      </x:c>
      <x:c r="W285" s="10" t="n">
        <x:f>IF(ISNUMBER(Q285),U285,0)</x:f>
        <x:v>0</x:v>
      </x:c>
      <x:c r="X285" s="8" t="n">
        <x:f>MAX(0,K285-SUM(E285:J285))</x:f>
        <x:v>0</x:v>
      </x:c>
      <x:c r="Y285" s="1" t="str">
        <x:f>IF(AND(O285&gt;0,NOT(ISNUMBER(Q285))),"No proposed replacement standard",IF(X285&gt;0,"Demand exceeds available stock",""))</x:f>
        <x:v>No proposed replacement standard</x:v>
      </x:c>
      <x:c r="Z285" s="1" t="n">
        <x:f>IF(ISNUMBER(Q285),1,0)</x:f>
        <x:v>0</x:v>
      </x:c>
    </x:row>
    <x:row r="286" ht="21" customHeight="1">
      <x:c r="A286" s="17" t="n">
        <x:f>Summary!B17</x:f>
        <x:v>46388</x:v>
      </x:c>
      <x:c r="B286" s="1" t="str">
        <x:f>'Current inventory'!A34</x:f>
        <x:v>30</x:v>
      </x:c>
      <x:c r="C286" s="1" t="str">
        <x:f>'Current inventory'!B34</x:f>
        <x:v>800BNAVISC</x:v>
      </x:c>
      <x:c r="D286" s="7" t="n">
        <x:f>A160</x:f>
        <x:v>46357</x:v>
      </x:c>
      <x:c r="E286" s="8" t="n">
        <x:f>L160</x:f>
        <x:v>0</x:v>
      </x:c>
      <x:c r="F286" s="8" t="n">
        <x:f>M160</x:f>
        <x:v>0</x:v>
      </x:c>
      <x:c r="G286" s="8" t="n">
        <x:f>N160</x:f>
        <x:v>0</x:v>
      </x:c>
      <x:c r="H286" s="8" t="n">
        <x:f>SUMIFS('PO detail'!$U$2:$U$672,'PO detail'!$A$2:$A$672,B286,'PO detail'!$B$2:$B$672,C286,'PO detail'!$G$2:$G$672,"&gt;="&amp;D286,'PO detail'!$G$2:$G$672,"&lt;"&amp;A286)</x:f>
        <x:v>0</x:v>
      </x:c>
      <x:c r="I286" s="8" t="n">
        <x:f>SUMIFS('PO detail'!$V$2:$V$672,'PO detail'!$A$2:$A$672,B286,'PO detail'!$B$2:$B$672,C286,'PO detail'!$G$2:$G$672,"&gt;="&amp;D286,'PO detail'!$G$2:$G$672,"&lt;"&amp;A286)</x:f>
        <x:v>0</x:v>
      </x:c>
      <x:c r="J286" s="8" t="n">
        <x:f>SUMIFS('PO detail'!$W$2:$W$672,'PO detail'!$A$2:$A$672,B286,'PO detail'!$B$2:$B$672,C286,'PO detail'!$G$2:$G$672,"&gt;="&amp;D286,'PO detail'!$G$2:$G$672,"&lt;"&amp;A286)</x:f>
        <x:v>0</x:v>
      </x:c>
      <x:c r="K286" s="8" t="n">
        <x:f>'Current inventory'!E34*Summary!$D$6*(A286-D286)/30.4375</x:f>
        <x:v>611.088295687885</x:v>
      </x:c>
      <x:c r="L286" s="8" t="n">
        <x:f>MAX(0,E286+H286-K286)</x:f>
        <x:v>0</x:v>
      </x:c>
      <x:c r="M286" s="8" t="n">
        <x:f>MAX(0,F286+I286-MAX(0,K286-E286-H286))</x:f>
        <x:v>0</x:v>
      </x:c>
      <x:c r="N286" s="8" t="n">
        <x:f>MAX(0,G286+J286-K286)</x:f>
        <x:v>0</x:v>
      </x:c>
      <x:c r="O286" s="8" t="n">
        <x:f>SUM(L286:N286)</x:f>
        <x:v>0</x:v>
      </x:c>
      <x:c r="P286" s="14" t="n">
        <x:f>'Current inventory'!V34</x:f>
        <x:v>0.16870000000000002</x:v>
      </x:c>
      <x:c r="Q286" s="14" t="str">
        <x:f>'Current inventory'!W34</x:f>
        <x:v>n.a.</x:v>
      </x:c>
      <x:c r="R286" s="10" t="n">
        <x:f>L286*P286</x:f>
        <x:v>0</x:v>
      </x:c>
      <x:c r="S286" s="10" t="n">
        <x:f>M286*P286</x:f>
        <x:v>0</x:v>
      </x:c>
      <x:c r="T286" s="10" t="n">
        <x:f>N286*P286</x:f>
        <x:v>0</x:v>
      </x:c>
      <x:c r="U286" s="10" t="n">
        <x:f>O286*P286</x:f>
        <x:v>0</x:v>
      </x:c>
      <x:c r="V286" s="10" t="str">
        <x:f>IF(ISNUMBER(Q286),O286*(Q286-P286),"n.a.")</x:f>
        <x:v>n.a.</x:v>
      </x:c>
      <x:c r="W286" s="10" t="n">
        <x:f>IF(ISNUMBER(Q286),U286,0)</x:f>
        <x:v>0</x:v>
      </x:c>
      <x:c r="X286" s="8" t="n">
        <x:f>MAX(0,K286-SUM(E286:J286))</x:f>
        <x:v>611.088295687885</x:v>
      </x:c>
      <x:c r="Y286" s="1" t="str">
        <x:f>IF(AND(O286&gt;0,NOT(ISNUMBER(Q286))),"No proposed replacement standard",IF(X286&gt;0,"Demand exceeds available stock",""))</x:f>
        <x:v>Demand exceeds available stock</x:v>
      </x:c>
      <x:c r="Z286" s="1" t="n">
        <x:f>IF(ISNUMBER(Q286),1,0)</x:f>
        <x:v>0</x:v>
      </x:c>
    </x:row>
    <x:row r="287" ht="21" customHeight="1">
      <x:c r="A287" s="17" t="n">
        <x:f>Summary!B17</x:f>
        <x:v>46388</x:v>
      </x:c>
      <x:c r="B287" s="1" t="str">
        <x:f>'Current inventory'!A35</x:f>
        <x:v>10</x:v>
      </x:c>
      <x:c r="C287" s="1" t="str">
        <x:f>'Current inventory'!B35</x:f>
        <x:v>800BMARDSC</x:v>
      </x:c>
      <x:c r="D287" s="7" t="n">
        <x:f>A161</x:f>
        <x:v>46357</x:v>
      </x:c>
      <x:c r="E287" s="8" t="n">
        <x:f>L161</x:f>
        <x:v>0</x:v>
      </x:c>
      <x:c r="F287" s="8" t="n">
        <x:f>M161</x:f>
        <x:v>0</x:v>
      </x:c>
      <x:c r="G287" s="8" t="n">
        <x:f>N161</x:f>
        <x:v>0</x:v>
      </x:c>
      <x:c r="H287" s="8" t="n">
        <x:f>SUMIFS('PO detail'!$U$2:$U$672,'PO detail'!$A$2:$A$672,B287,'PO detail'!$B$2:$B$672,C287,'PO detail'!$G$2:$G$672,"&gt;="&amp;D287,'PO detail'!$G$2:$G$672,"&lt;"&amp;A287)</x:f>
        <x:v>0</x:v>
      </x:c>
      <x:c r="I287" s="8" t="n">
        <x:f>SUMIFS('PO detail'!$V$2:$V$672,'PO detail'!$A$2:$A$672,B287,'PO detail'!$B$2:$B$672,C287,'PO detail'!$G$2:$G$672,"&gt;="&amp;D287,'PO detail'!$G$2:$G$672,"&lt;"&amp;A287)</x:f>
        <x:v>0</x:v>
      </x:c>
      <x:c r="J287" s="8" t="n">
        <x:f>SUMIFS('PO detail'!$W$2:$W$672,'PO detail'!$A$2:$A$672,B287,'PO detail'!$B$2:$B$672,C287,'PO detail'!$G$2:$G$672,"&gt;="&amp;D287,'PO detail'!$G$2:$G$672,"&lt;"&amp;A287)</x:f>
        <x:v>0</x:v>
      </x:c>
      <x:c r="K287" s="8" t="n">
        <x:f>'Current inventory'!E35*Summary!$D$6*(A287-D287)/30.4375</x:f>
        <x:v>466.81034907597535</x:v>
      </x:c>
      <x:c r="L287" s="8" t="n">
        <x:f>MAX(0,E287+H287-K287)</x:f>
        <x:v>0</x:v>
      </x:c>
      <x:c r="M287" s="8" t="n">
        <x:f>MAX(0,F287+I287-MAX(0,K287-E287-H287))</x:f>
        <x:v>0</x:v>
      </x:c>
      <x:c r="N287" s="8" t="n">
        <x:f>MAX(0,G287+J287-K287)</x:f>
        <x:v>0</x:v>
      </x:c>
      <x:c r="O287" s="8" t="n">
        <x:f>SUM(L287:N287)</x:f>
        <x:v>0</x:v>
      </x:c>
      <x:c r="P287" s="14" t="n">
        <x:f>'Current inventory'!V35</x:f>
        <x:v>0.3998</x:v>
      </x:c>
      <x:c r="Q287" s="14" t="str">
        <x:f>'Current inventory'!W35</x:f>
        <x:v>n.a.</x:v>
      </x:c>
      <x:c r="R287" s="10" t="n">
        <x:f>L287*P287</x:f>
        <x:v>0</x:v>
      </x:c>
      <x:c r="S287" s="10" t="n">
        <x:f>M287*P287</x:f>
        <x:v>0</x:v>
      </x:c>
      <x:c r="T287" s="10" t="n">
        <x:f>N287*P287</x:f>
        <x:v>0</x:v>
      </x:c>
      <x:c r="U287" s="10" t="n">
        <x:f>O287*P287</x:f>
        <x:v>0</x:v>
      </x:c>
      <x:c r="V287" s="10" t="str">
        <x:f>IF(ISNUMBER(Q287),O287*(Q287-P287),"n.a.")</x:f>
        <x:v>n.a.</x:v>
      </x:c>
      <x:c r="W287" s="10" t="n">
        <x:f>IF(ISNUMBER(Q287),U287,0)</x:f>
        <x:v>0</x:v>
      </x:c>
      <x:c r="X287" s="8" t="n">
        <x:f>MAX(0,K287-SUM(E287:J287))</x:f>
        <x:v>466.81034907597535</x:v>
      </x:c>
      <x:c r="Y287" s="1" t="str">
        <x:f>IF(AND(O287&gt;0,NOT(ISNUMBER(Q287))),"No proposed replacement standard",IF(X287&gt;0,"Demand exceeds available stock",""))</x:f>
        <x:v>Demand exceeds available stock</x:v>
      </x:c>
      <x:c r="Z287" s="1" t="n">
        <x:f>IF(ISNUMBER(Q287),1,0)</x:f>
        <x:v>0</x:v>
      </x:c>
    </x:row>
    <x:row r="288" ht="21" customHeight="1">
      <x:c r="A288" s="17" t="n">
        <x:f>Summary!B17</x:f>
        <x:v>46388</x:v>
      </x:c>
      <x:c r="B288" s="1" t="str">
        <x:f>'Current inventory'!A36</x:f>
        <x:v>10</x:v>
      </x:c>
      <x:c r="C288" s="1" t="str">
        <x:f>'Current inventory'!B36</x:f>
        <x:v>800BMARISC</x:v>
      </x:c>
      <x:c r="D288" s="7" t="n">
        <x:f>A162</x:f>
        <x:v>46357</x:v>
      </x:c>
      <x:c r="E288" s="8" t="n">
        <x:f>L162</x:f>
        <x:v>0</x:v>
      </x:c>
      <x:c r="F288" s="8" t="n">
        <x:f>M162</x:f>
        <x:v>0</x:v>
      </x:c>
      <x:c r="G288" s="8" t="n">
        <x:f>N162</x:f>
        <x:v>1116.4271047227926</x:v>
      </x:c>
      <x:c r="H288" s="8" t="n">
        <x:f>SUMIFS('PO detail'!$U$2:$U$672,'PO detail'!$A$2:$A$672,B288,'PO detail'!$B$2:$B$672,C288,'PO detail'!$G$2:$G$672,"&gt;="&amp;D288,'PO detail'!$G$2:$G$672,"&lt;"&amp;A288)</x:f>
        <x:v>0</x:v>
      </x:c>
      <x:c r="I288" s="8" t="n">
        <x:f>SUMIFS('PO detail'!$V$2:$V$672,'PO detail'!$A$2:$A$672,B288,'PO detail'!$B$2:$B$672,C288,'PO detail'!$G$2:$G$672,"&gt;="&amp;D288,'PO detail'!$G$2:$G$672,"&lt;"&amp;A288)</x:f>
        <x:v>0</x:v>
      </x:c>
      <x:c r="J288" s="8" t="n">
        <x:f>SUMIFS('PO detail'!$W$2:$W$672,'PO detail'!$A$2:$A$672,B288,'PO detail'!$B$2:$B$672,C288,'PO detail'!$G$2:$G$672,"&gt;="&amp;D288,'PO detail'!$G$2:$G$672,"&lt;"&amp;A288)</x:f>
        <x:v>0</x:v>
      </x:c>
      <x:c r="K288" s="8" t="n">
        <x:f>'Current inventory'!E36*Summary!$D$6*(A288-D288)/30.4375</x:f>
        <x:v>458.3162217659138</x:v>
      </x:c>
      <x:c r="L288" s="8" t="n">
        <x:f>MAX(0,E288+H288-K288)</x:f>
        <x:v>0</x:v>
      </x:c>
      <x:c r="M288" s="8" t="n">
        <x:f>MAX(0,F288+I288-MAX(0,K288-E288-H288))</x:f>
        <x:v>0</x:v>
      </x:c>
      <x:c r="N288" s="8" t="n">
        <x:f>MAX(0,G288+J288-K288)</x:f>
        <x:v>658.1108829568789</x:v>
      </x:c>
      <x:c r="O288" s="8" t="n">
        <x:f>SUM(L288:N288)</x:f>
        <x:v>658.1108829568789</x:v>
      </x:c>
      <x:c r="P288" s="14" t="n">
        <x:f>'Current inventory'!V36</x:f>
        <x:v>0.1946</x:v>
      </x:c>
      <x:c r="Q288" s="14" t="str">
        <x:f>'Current inventory'!W36</x:f>
        <x:v>n.a.</x:v>
      </x:c>
      <x:c r="R288" s="10" t="n">
        <x:f>L288*P288</x:f>
        <x:v>0</x:v>
      </x:c>
      <x:c r="S288" s="10" t="n">
        <x:f>M288*P288</x:f>
        <x:v>0</x:v>
      </x:c>
      <x:c r="T288" s="10" t="n">
        <x:f>N288*P288</x:f>
        <x:v>128.0683778234086</x:v>
      </x:c>
      <x:c r="U288" s="10" t="n">
        <x:f>O288*P288</x:f>
        <x:v>128.0683778234086</x:v>
      </x:c>
      <x:c r="V288" s="10" t="str">
        <x:f>IF(ISNUMBER(Q288),O288*(Q288-P288),"n.a.")</x:f>
        <x:v>n.a.</x:v>
      </x:c>
      <x:c r="W288" s="10" t="n">
        <x:f>IF(ISNUMBER(Q288),U288,0)</x:f>
        <x:v>0</x:v>
      </x:c>
      <x:c r="X288" s="8" t="n">
        <x:f>MAX(0,K288-SUM(E288:J288))</x:f>
        <x:v>0</x:v>
      </x:c>
      <x:c r="Y288" s="1" t="str">
        <x:f>IF(AND(O288&gt;0,NOT(ISNUMBER(Q288))),"No proposed replacement standard",IF(X288&gt;0,"Demand exceeds available stock",""))</x:f>
        <x:v>No proposed replacement standard</x:v>
      </x:c>
      <x:c r="Z288" s="1" t="n">
        <x:f>IF(ISNUMBER(Q288),1,0)</x:f>
        <x:v>0</x:v>
      </x:c>
    </x:row>
    <x:row r="289" ht="21" customHeight="1">
      <x:c r="A289" s="17" t="n">
        <x:f>Summary!B17</x:f>
        <x:v>46388</x:v>
      </x:c>
      <x:c r="B289" s="1" t="str">
        <x:f>'Current inventory'!A37</x:f>
        <x:v>30</x:v>
      </x:c>
      <x:c r="C289" s="1" t="str">
        <x:f>'Current inventory'!B37</x:f>
        <x:v>800BNAVBRC</x:v>
      </x:c>
      <x:c r="D289" s="7" t="n">
        <x:f>A163</x:f>
        <x:v>46357</x:v>
      </x:c>
      <x:c r="E289" s="8" t="n">
        <x:f>L163</x:f>
        <x:v>0</x:v>
      </x:c>
      <x:c r="F289" s="8" t="n">
        <x:f>M163</x:f>
        <x:v>0</x:v>
      </x:c>
      <x:c r="G289" s="8" t="n">
        <x:f>N163</x:f>
        <x:v>1003.4907597535935</x:v>
      </x:c>
      <x:c r="H289" s="8" t="n">
        <x:f>SUMIFS('PO detail'!$U$2:$U$672,'PO detail'!$A$2:$A$672,B289,'PO detail'!$B$2:$B$672,C289,'PO detail'!$G$2:$G$672,"&gt;="&amp;D289,'PO detail'!$G$2:$G$672,"&lt;"&amp;A289)</x:f>
        <x:v>0</x:v>
      </x:c>
      <x:c r="I289" s="8" t="n">
        <x:f>SUMIFS('PO detail'!$V$2:$V$672,'PO detail'!$A$2:$A$672,B289,'PO detail'!$B$2:$B$672,C289,'PO detail'!$G$2:$G$672,"&gt;="&amp;D289,'PO detail'!$G$2:$G$672,"&lt;"&amp;A289)</x:f>
        <x:v>0</x:v>
      </x:c>
      <x:c r="J289" s="8" t="n">
        <x:f>SUMIFS('PO detail'!$W$2:$W$672,'PO detail'!$A$2:$A$672,B289,'PO detail'!$B$2:$B$672,C289,'PO detail'!$G$2:$G$672,"&gt;="&amp;D289,'PO detail'!$G$2:$G$672,"&lt;"&amp;A289)</x:f>
        <x:v>0</x:v>
      </x:c>
      <x:c r="K289" s="8" t="n">
        <x:f>'Current inventory'!E37*Summary!$D$6*(A289-D289)/30.4375</x:f>
        <x:v>407.3921971252567</x:v>
      </x:c>
      <x:c r="L289" s="8" t="n">
        <x:f>MAX(0,E289+H289-K289)</x:f>
        <x:v>0</x:v>
      </x:c>
      <x:c r="M289" s="8" t="n">
        <x:f>MAX(0,F289+I289-MAX(0,K289-E289-H289))</x:f>
        <x:v>0</x:v>
      </x:c>
      <x:c r="N289" s="8" t="n">
        <x:f>MAX(0,G289+J289-K289)</x:f>
        <x:v>596.0985626283368</x:v>
      </x:c>
      <x:c r="O289" s="8" t="n">
        <x:f>SUM(L289:N289)</x:f>
        <x:v>596.0985626283368</x:v>
      </x:c>
      <x:c r="P289" s="14" t="n">
        <x:f>'Current inventory'!V37</x:f>
        <x:v>0.17370000000000002</x:v>
      </x:c>
      <x:c r="Q289" s="14" t="str">
        <x:f>'Current inventory'!W37</x:f>
        <x:v>n.a.</x:v>
      </x:c>
      <x:c r="R289" s="10" t="n">
        <x:f>L289*P289</x:f>
        <x:v>0</x:v>
      </x:c>
      <x:c r="S289" s="10" t="n">
        <x:f>M289*P289</x:f>
        <x:v>0</x:v>
      </x:c>
      <x:c r="T289" s="10" t="n">
        <x:f>N289*P289</x:f>
        <x:v>103.54232032854212</x:v>
      </x:c>
      <x:c r="U289" s="10" t="n">
        <x:f>O289*P289</x:f>
        <x:v>103.54232032854212</x:v>
      </x:c>
      <x:c r="V289" s="10" t="str">
        <x:f>IF(ISNUMBER(Q289),O289*(Q289-P289),"n.a.")</x:f>
        <x:v>n.a.</x:v>
      </x:c>
      <x:c r="W289" s="10" t="n">
        <x:f>IF(ISNUMBER(Q289),U289,0)</x:f>
        <x:v>0</x:v>
      </x:c>
      <x:c r="X289" s="8" t="n">
        <x:f>MAX(0,K289-SUM(E289:J289))</x:f>
        <x:v>0</x:v>
      </x:c>
      <x:c r="Y289" s="1" t="str">
        <x:f>IF(AND(O289&gt;0,NOT(ISNUMBER(Q289))),"No proposed replacement standard",IF(X289&gt;0,"Demand exceeds available stock",""))</x:f>
        <x:v>No proposed replacement standard</x:v>
      </x:c>
      <x:c r="Z289" s="1" t="n">
        <x:f>IF(ISNUMBER(Q289),1,0)</x:f>
        <x:v>0</x:v>
      </x:c>
    </x:row>
    <x:row r="290" ht="21" customHeight="1">
      <x:c r="A290" s="17" t="n">
        <x:f>Summary!B17</x:f>
        <x:v>46388</x:v>
      </x:c>
      <x:c r="B290" s="1" t="str">
        <x:f>'Current inventory'!A38</x:f>
        <x:v>10</x:v>
      </x:c>
      <x:c r="C290" s="1" t="str">
        <x:f>'Current inventory'!B38</x:f>
        <x:v>800BMARBRC</x:v>
      </x:c>
      <x:c r="D290" s="7" t="n">
        <x:f>A164</x:f>
        <x:v>46357</x:v>
      </x:c>
      <x:c r="E290" s="8" t="n">
        <x:f>L164</x:f>
        <x:v>0</x:v>
      </x:c>
      <x:c r="F290" s="8" t="n">
        <x:f>M164</x:f>
        <x:v>0</x:v>
      </x:c>
      <x:c r="G290" s="8" t="n">
        <x:f>N164</x:f>
        <x:v>2747.022587268994</x:v>
      </x:c>
      <x:c r="H290" s="8" t="n">
        <x:f>SUMIFS('PO detail'!$U$2:$U$672,'PO detail'!$A$2:$A$672,B290,'PO detail'!$B$2:$B$672,C290,'PO detail'!$G$2:$G$672,"&gt;="&amp;D290,'PO detail'!$G$2:$G$672,"&lt;"&amp;A290)</x:f>
        <x:v>0</x:v>
      </x:c>
      <x:c r="I290" s="8" t="n">
        <x:f>SUMIFS('PO detail'!$V$2:$V$672,'PO detail'!$A$2:$A$672,B290,'PO detail'!$B$2:$B$672,C290,'PO detail'!$G$2:$G$672,"&gt;="&amp;D290,'PO detail'!$G$2:$G$672,"&lt;"&amp;A290)</x:f>
        <x:v>0</x:v>
      </x:c>
      <x:c r="J290" s="8" t="n">
        <x:f>SUMIFS('PO detail'!$W$2:$W$672,'PO detail'!$A$2:$A$672,B290,'PO detail'!$B$2:$B$672,C290,'PO detail'!$G$2:$G$672,"&gt;="&amp;D290,'PO detail'!$G$2:$G$672,"&lt;"&amp;A290)</x:f>
        <x:v>0</x:v>
      </x:c>
      <x:c r="K290" s="8" t="n">
        <x:f>'Current inventory'!E38*Summary!$D$6*(A290-D290)/30.4375</x:f>
        <x:v>381.9301848049281</x:v>
      </x:c>
      <x:c r="L290" s="8" t="n">
        <x:f>MAX(0,E290+H290-K290)</x:f>
        <x:v>0</x:v>
      </x:c>
      <x:c r="M290" s="8" t="n">
        <x:f>MAX(0,F290+I290-MAX(0,K290-E290-H290))</x:f>
        <x:v>0</x:v>
      </x:c>
      <x:c r="N290" s="8" t="n">
        <x:f>MAX(0,G290+J290-K290)</x:f>
        <x:v>2365.092402464066</x:v>
      </x:c>
      <x:c r="O290" s="8" t="n">
        <x:f>SUM(L290:N290)</x:f>
        <x:v>2365.092402464066</x:v>
      </x:c>
      <x:c r="P290" s="14" t="n">
        <x:f>'Current inventory'!V38</x:f>
        <x:v>0.1996</x:v>
      </x:c>
      <x:c r="Q290" s="14" t="str">
        <x:f>'Current inventory'!W38</x:f>
        <x:v>n.a.</x:v>
      </x:c>
      <x:c r="R290" s="10" t="n">
        <x:f>L290*P290</x:f>
        <x:v>0</x:v>
      </x:c>
      <x:c r="S290" s="10" t="n">
        <x:f>M290*P290</x:f>
        <x:v>0</x:v>
      </x:c>
      <x:c r="T290" s="10" t="n">
        <x:f>N290*P290</x:f>
        <x:v>472.07244353182756</x:v>
      </x:c>
      <x:c r="U290" s="10" t="n">
        <x:f>O290*P290</x:f>
        <x:v>472.07244353182756</x:v>
      </x:c>
      <x:c r="V290" s="10" t="str">
        <x:f>IF(ISNUMBER(Q290),O290*(Q290-P290),"n.a.")</x:f>
        <x:v>n.a.</x:v>
      </x:c>
      <x:c r="W290" s="10" t="n">
        <x:f>IF(ISNUMBER(Q290),U290,0)</x:f>
        <x:v>0</x:v>
      </x:c>
      <x:c r="X290" s="8" t="n">
        <x:f>MAX(0,K290-SUM(E290:J290))</x:f>
        <x:v>0</x:v>
      </x:c>
      <x:c r="Y290" s="1" t="str">
        <x:f>IF(AND(O290&gt;0,NOT(ISNUMBER(Q290))),"No proposed replacement standard",IF(X290&gt;0,"Demand exceeds available stock",""))</x:f>
        <x:v>No proposed replacement standard</x:v>
      </x:c>
      <x:c r="Z290" s="1" t="n">
        <x:f>IF(ISNUMBER(Q290),1,0)</x:f>
        <x:v>0</x:v>
      </x:c>
    </x:row>
    <x:row r="291" ht="21" customHeight="1">
      <x:c r="A291" s="17" t="n">
        <x:f>Summary!B17</x:f>
        <x:v>46388</x:v>
      </x:c>
      <x:c r="B291" s="1" t="str">
        <x:f>'Current inventory'!A39</x:f>
        <x:v>30</x:v>
      </x:c>
      <x:c r="C291" s="1" t="str">
        <x:f>'Current inventory'!B39</x:f>
        <x:v>800BBLKBRC</x:v>
      </x:c>
      <x:c r="D291" s="7" t="n">
        <x:f>A165</x:f>
        <x:v>46357</x:v>
      </x:c>
      <x:c r="E291" s="8" t="n">
        <x:f>L165</x:f>
        <x:v>0</x:v>
      </x:c>
      <x:c r="F291" s="8" t="n">
        <x:f>M165</x:f>
        <x:v>0</x:v>
      </x:c>
      <x:c r="G291" s="8" t="n">
        <x:f>N165</x:f>
        <x:v>1551.7453798767967</x:v>
      </x:c>
      <x:c r="H291" s="8" t="n">
        <x:f>SUMIFS('PO detail'!$U$2:$U$672,'PO detail'!$A$2:$A$672,B291,'PO detail'!$B$2:$B$672,C291,'PO detail'!$G$2:$G$672,"&gt;="&amp;D291,'PO detail'!$G$2:$G$672,"&lt;"&amp;A291)</x:f>
        <x:v>0</x:v>
      </x:c>
      <x:c r="I291" s="8" t="n">
        <x:f>SUMIFS('PO detail'!$V$2:$V$672,'PO detail'!$A$2:$A$672,B291,'PO detail'!$B$2:$B$672,C291,'PO detail'!$G$2:$G$672,"&gt;="&amp;D291,'PO detail'!$G$2:$G$672,"&lt;"&amp;A291)</x:f>
        <x:v>0</x:v>
      </x:c>
      <x:c r="J291" s="8" t="n">
        <x:f>SUMIFS('PO detail'!$W$2:$W$672,'PO detail'!$A$2:$A$672,B291,'PO detail'!$B$2:$B$672,C291,'PO detail'!$G$2:$G$672,"&gt;="&amp;D291,'PO detail'!$G$2:$G$672,"&lt;"&amp;A291)</x:f>
        <x:v>0</x:v>
      </x:c>
      <x:c r="K291" s="8" t="n">
        <x:f>'Current inventory'!E39*Summary!$D$6*(A291-D291)/30.4375</x:f>
        <x:v>203.69609856262835</x:v>
      </x:c>
      <x:c r="L291" s="8" t="n">
        <x:f>MAX(0,E291+H291-K291)</x:f>
        <x:v>0</x:v>
      </x:c>
      <x:c r="M291" s="8" t="n">
        <x:f>MAX(0,F291+I291-MAX(0,K291-E291-H291))</x:f>
        <x:v>0</x:v>
      </x:c>
      <x:c r="N291" s="8" t="n">
        <x:f>MAX(0,G291+J291-K291)</x:f>
        <x:v>1348.0492813141684</x:v>
      </x:c>
      <x:c r="O291" s="8" t="n">
        <x:f>SUM(L291:N291)</x:f>
        <x:v>1348.0492813141684</x:v>
      </x:c>
      <x:c r="P291" s="14" t="n">
        <x:f>'Current inventory'!V39</x:f>
        <x:v>0.16829999999999998</x:v>
      </x:c>
      <x:c r="Q291" s="14" t="str">
        <x:f>'Current inventory'!W39</x:f>
        <x:v>n.a.</x:v>
      </x:c>
      <x:c r="R291" s="10" t="n">
        <x:f>L291*P291</x:f>
        <x:v>0</x:v>
      </x:c>
      <x:c r="S291" s="10" t="n">
        <x:f>M291*P291</x:f>
        <x:v>0</x:v>
      </x:c>
      <x:c r="T291" s="10" t="n">
        <x:f>N291*P291</x:f>
        <x:v>226.8766940451745</x:v>
      </x:c>
      <x:c r="U291" s="10" t="n">
        <x:f>O291*P291</x:f>
        <x:v>226.8766940451745</x:v>
      </x:c>
      <x:c r="V291" s="10" t="str">
        <x:f>IF(ISNUMBER(Q291),O291*(Q291-P291),"n.a.")</x:f>
        <x:v>n.a.</x:v>
      </x:c>
      <x:c r="W291" s="10" t="n">
        <x:f>IF(ISNUMBER(Q291),U291,0)</x:f>
        <x:v>0</x:v>
      </x:c>
      <x:c r="X291" s="8" t="n">
        <x:f>MAX(0,K291-SUM(E291:J291))</x:f>
        <x:v>0</x:v>
      </x:c>
      <x:c r="Y291" s="1" t="str">
        <x:f>IF(AND(O291&gt;0,NOT(ISNUMBER(Q291))),"No proposed replacement standard",IF(X291&gt;0,"Demand exceeds available stock",""))</x:f>
        <x:v>No proposed replacement standard</x:v>
      </x:c>
      <x:c r="Z291" s="1" t="n">
        <x:f>IF(ISNUMBER(Q291),1,0)</x:f>
        <x:v>0</x:v>
      </x:c>
    </x:row>
    <x:row r="292" ht="21" customHeight="1">
      <x:c r="A292" s="17" t="n">
        <x:f>Summary!B17</x:f>
        <x:v>46388</x:v>
      </x:c>
      <x:c r="B292" s="1" t="str">
        <x:f>'Current inventory'!A40</x:f>
        <x:v>30</x:v>
      </x:c>
      <x:c r="C292" s="1" t="str">
        <x:f>'Current inventory'!B40</x:f>
        <x:v>800BNAVCSC</x:v>
      </x:c>
      <x:c r="D292" s="7" t="n">
        <x:f>A166</x:f>
        <x:v>46357</x:v>
      </x:c>
      <x:c r="E292" s="8" t="n">
        <x:f>L166</x:f>
        <x:v>0</x:v>
      </x:c>
      <x:c r="F292" s="8" t="n">
        <x:f>M166</x:f>
        <x:v>0</x:v>
      </x:c>
      <x:c r="G292" s="8" t="n">
        <x:f>N166</x:f>
        <x:v>0</x:v>
      </x:c>
      <x:c r="H292" s="8" t="n">
        <x:f>SUMIFS('PO detail'!$U$2:$U$672,'PO detail'!$A$2:$A$672,B292,'PO detail'!$B$2:$B$672,C292,'PO detail'!$G$2:$G$672,"&gt;="&amp;D292,'PO detail'!$G$2:$G$672,"&lt;"&amp;A292)</x:f>
        <x:v>0</x:v>
      </x:c>
      <x:c r="I292" s="8" t="n">
        <x:f>SUMIFS('PO detail'!$V$2:$V$672,'PO detail'!$A$2:$A$672,B292,'PO detail'!$B$2:$B$672,C292,'PO detail'!$G$2:$G$672,"&gt;="&amp;D292,'PO detail'!$G$2:$G$672,"&lt;"&amp;A292)</x:f>
        <x:v>0</x:v>
      </x:c>
      <x:c r="J292" s="8" t="n">
        <x:f>SUMIFS('PO detail'!$W$2:$W$672,'PO detail'!$A$2:$A$672,B292,'PO detail'!$B$2:$B$672,C292,'PO detail'!$G$2:$G$672,"&gt;="&amp;D292,'PO detail'!$G$2:$G$672,"&lt;"&amp;A292)</x:f>
        <x:v>0</x:v>
      </x:c>
      <x:c r="K292" s="8" t="n">
        <x:f>'Current inventory'!E40*Summary!$D$6*(A292-D292)/30.4375</x:f>
        <x:v>186.7180287474333</x:v>
      </x:c>
      <x:c r="L292" s="8" t="n">
        <x:f>MAX(0,E292+H292-K292)</x:f>
        <x:v>0</x:v>
      </x:c>
      <x:c r="M292" s="8" t="n">
        <x:f>MAX(0,F292+I292-MAX(0,K292-E292-H292))</x:f>
        <x:v>0</x:v>
      </x:c>
      <x:c r="N292" s="8" t="n">
        <x:f>MAX(0,G292+J292-K292)</x:f>
        <x:v>0</x:v>
      </x:c>
      <x:c r="O292" s="8" t="n">
        <x:f>SUM(L292:N292)</x:f>
        <x:v>0</x:v>
      </x:c>
      <x:c r="P292" s="14" t="n">
        <x:f>'Current inventory'!V40</x:f>
        <x:v>0.2022</x:v>
      </x:c>
      <x:c r="Q292" s="14" t="str">
        <x:f>'Current inventory'!W40</x:f>
        <x:v>n.a.</x:v>
      </x:c>
      <x:c r="R292" s="10" t="n">
        <x:f>L292*P292</x:f>
        <x:v>0</x:v>
      </x:c>
      <x:c r="S292" s="10" t="n">
        <x:f>M292*P292</x:f>
        <x:v>0</x:v>
      </x:c>
      <x:c r="T292" s="10" t="n">
        <x:f>N292*P292</x:f>
        <x:v>0</x:v>
      </x:c>
      <x:c r="U292" s="10" t="n">
        <x:f>O292*P292</x:f>
        <x:v>0</x:v>
      </x:c>
      <x:c r="V292" s="10" t="str">
        <x:f>IF(ISNUMBER(Q292),O292*(Q292-P292),"n.a.")</x:f>
        <x:v>n.a.</x:v>
      </x:c>
      <x:c r="W292" s="10" t="n">
        <x:f>IF(ISNUMBER(Q292),U292,0)</x:f>
        <x:v>0</x:v>
      </x:c>
      <x:c r="X292" s="8" t="n">
        <x:f>MAX(0,K292-SUM(E292:J292))</x:f>
        <x:v>186.7180287474333</x:v>
      </x:c>
      <x:c r="Y292" s="1" t="str">
        <x:f>IF(AND(O292&gt;0,NOT(ISNUMBER(Q292))),"No proposed replacement standard",IF(X292&gt;0,"Demand exceeds available stock",""))</x:f>
        <x:v>Demand exceeds available stock</x:v>
      </x:c>
      <x:c r="Z292" s="1" t="n">
        <x:f>IF(ISNUMBER(Q292),1,0)</x:f>
        <x:v>0</x:v>
      </x:c>
    </x:row>
    <x:row r="293" ht="21" customHeight="1">
      <x:c r="A293" s="17" t="n">
        <x:f>Summary!B17</x:f>
        <x:v>46388</x:v>
      </x:c>
      <x:c r="B293" s="1" t="str">
        <x:f>'Current inventory'!A41</x:f>
        <x:v>10</x:v>
      </x:c>
      <x:c r="C293" s="1" t="str">
        <x:f>'Current inventory'!B41</x:f>
        <x:v>800MARE</x:v>
      </x:c>
      <x:c r="D293" s="7" t="n">
        <x:f>A167</x:f>
        <x:v>46357</x:v>
      </x:c>
      <x:c r="E293" s="8" t="n">
        <x:f>L167</x:f>
        <x:v>865.9264065708419</x:v>
      </x:c>
      <x:c r="F293" s="8" t="n">
        <x:f>M167</x:f>
        <x:v>0</x:v>
      </x:c>
      <x:c r="G293" s="8" t="n">
        <x:f>N167</x:f>
        <x:v>0</x:v>
      </x:c>
      <x:c r="H293" s="8" t="n">
        <x:f>SUMIFS('PO detail'!$U$2:$U$672,'PO detail'!$A$2:$A$672,B293,'PO detail'!$B$2:$B$672,C293,'PO detail'!$G$2:$G$672,"&gt;="&amp;D293,'PO detail'!$G$2:$G$672,"&lt;"&amp;A293)</x:f>
        <x:v>0</x:v>
      </x:c>
      <x:c r="I293" s="8" t="n">
        <x:f>SUMIFS('PO detail'!$V$2:$V$672,'PO detail'!$A$2:$A$672,B293,'PO detail'!$B$2:$B$672,C293,'PO detail'!$G$2:$G$672,"&gt;="&amp;D293,'PO detail'!$G$2:$G$672,"&lt;"&amp;A293)</x:f>
        <x:v>2500</x:v>
      </x:c>
      <x:c r="J293" s="8" t="n">
        <x:f>SUMIFS('PO detail'!$W$2:$W$672,'PO detail'!$A$2:$A$672,B293,'PO detail'!$B$2:$B$672,C293,'PO detail'!$G$2:$G$672,"&gt;="&amp;D293,'PO detail'!$G$2:$G$672,"&lt;"&amp;A293)</x:f>
        <x:v>0</x:v>
      </x:c>
      <x:c r="K293" s="8" t="n">
        <x:f>'Current inventory'!E41*Summary!$D$6*(A293-D293)/30.4375</x:f>
        <x:v>175.5147433264887</x:v>
      </x:c>
      <x:c r="L293" s="8" t="n">
        <x:f>MAX(0,E293+H293-K293)</x:f>
        <x:v>690.4116632443531</x:v>
      </x:c>
      <x:c r="M293" s="8" t="n">
        <x:f>MAX(0,F293+I293-MAX(0,K293-E293-H293))</x:f>
        <x:v>2500</x:v>
      </x:c>
      <x:c r="N293" s="8" t="n">
        <x:f>MAX(0,G293+J293-K293)</x:f>
        <x:v>0</x:v>
      </x:c>
      <x:c r="O293" s="8" t="n">
        <x:f>SUM(L293:N293)</x:f>
        <x:v>3190.411663244353</x:v>
      </x:c>
      <x:c r="P293" s="14" t="n">
        <x:f>'Current inventory'!V41</x:f>
        <x:v>1.29129</x:v>
      </x:c>
      <x:c r="Q293" s="14" t="n">
        <x:f>'Current inventory'!W41</x:f>
        <x:v>1.349355</x:v>
      </x:c>
      <x:c r="R293" s="10" t="n">
        <x:f>L293*P293</x:f>
        <x:v>891.5216766308008</x:v>
      </x:c>
      <x:c r="S293" s="10" t="n">
        <x:f>M293*P293</x:f>
        <x:v>3228.225</x:v>
      </x:c>
      <x:c r="T293" s="10" t="n">
        <x:f>N293*P293</x:f>
        <x:v>0</x:v>
      </x:c>
      <x:c r="U293" s="10" t="n">
        <x:f>O293*P293</x:f>
        <x:v>4119.746676630801</x:v>
      </x:c>
      <x:c r="V293" s="10" t="n">
        <x:f>IF(ISNUMBER(Q293),O293*(Q293-P293),"n.a.")</x:f>
        <x:v>185.25125322628347</x:v>
      </x:c>
      <x:c r="W293" s="10" t="n">
        <x:f>IF(ISNUMBER(Q293),U293,0)</x:f>
        <x:v>4119.746676630801</x:v>
      </x:c>
      <x:c r="X293" s="8" t="n">
        <x:f>MAX(0,K293-SUM(E293:J293))</x:f>
        <x:v>0</x:v>
      </x:c>
      <x:c r="Y293" s="1" t="str">
        <x:f>IF(AND(O293&gt;0,NOT(ISNUMBER(Q293))),"No proposed replacement standard",IF(X293&gt;0,"Demand exceeds available stock",""))</x:f>
      </x:c>
      <x:c r="Z293" s="1" t="n">
        <x:f>IF(ISNUMBER(Q293),1,0)</x:f>
        <x:v>1</x:v>
      </x:c>
    </x:row>
    <x:row r="294" ht="21" customHeight="1">
      <x:c r="A294" s="17" t="n">
        <x:f>Summary!B17</x:f>
        <x:v>46388</x:v>
      </x:c>
      <x:c r="B294" s="1" t="str">
        <x:f>'Current inventory'!A42</x:f>
        <x:v>30</x:v>
      </x:c>
      <x:c r="C294" s="1" t="str">
        <x:f>'Current inventory'!B42</x:f>
        <x:v>800BMARBRC</x:v>
      </x:c>
      <x:c r="D294" s="7" t="n">
        <x:f>A168</x:f>
        <x:v>46357</x:v>
      </x:c>
      <x:c r="E294" s="8" t="n">
        <x:f>L168</x:f>
        <x:v>0</x:v>
      </x:c>
      <x:c r="F294" s="8" t="n">
        <x:f>M168</x:f>
        <x:v>0</x:v>
      </x:c>
      <x:c r="G294" s="8" t="n">
        <x:f>N168</x:f>
        <x:v>409.7820123203286</x:v>
      </x:c>
      <x:c r="H294" s="8" t="n">
        <x:f>SUMIFS('PO detail'!$U$2:$U$672,'PO detail'!$A$2:$A$672,B294,'PO detail'!$B$2:$B$672,C294,'PO detail'!$G$2:$G$672,"&gt;="&amp;D294,'PO detail'!$G$2:$G$672,"&lt;"&amp;A294)</x:f>
        <x:v>0</x:v>
      </x:c>
      <x:c r="I294" s="8" t="n">
        <x:f>SUMIFS('PO detail'!$V$2:$V$672,'PO detail'!$A$2:$A$672,B294,'PO detail'!$B$2:$B$672,C294,'PO detail'!$G$2:$G$672,"&gt;="&amp;D294,'PO detail'!$G$2:$G$672,"&lt;"&amp;A294)</x:f>
        <x:v>0</x:v>
      </x:c>
      <x:c r="J294" s="8" t="n">
        <x:f>SUMIFS('PO detail'!$W$2:$W$672,'PO detail'!$A$2:$A$672,B294,'PO detail'!$B$2:$B$672,C294,'PO detail'!$G$2:$G$672,"&gt;="&amp;D294,'PO detail'!$G$2:$G$672,"&lt;"&amp;A294)</x:f>
        <x:v>0</x:v>
      </x:c>
      <x:c r="K294" s="8" t="n">
        <x:f>'Current inventory'!E42*Summary!$D$6*(A294-D294)/30.4375</x:f>
        <x:v>169.7501437371663</x:v>
      </x:c>
      <x:c r="L294" s="8" t="n">
        <x:f>MAX(0,E294+H294-K294)</x:f>
        <x:v>0</x:v>
      </x:c>
      <x:c r="M294" s="8" t="n">
        <x:f>MAX(0,F294+I294-MAX(0,K294-E294-H294))</x:f>
        <x:v>0</x:v>
      </x:c>
      <x:c r="N294" s="8" t="n">
        <x:f>MAX(0,G294+J294-K294)</x:f>
        <x:v>240.0318685831623</x:v>
      </x:c>
      <x:c r="O294" s="8" t="n">
        <x:f>SUM(L294:N294)</x:f>
        <x:v>240.0318685831623</x:v>
      </x:c>
      <x:c r="P294" s="14" t="n">
        <x:f>'Current inventory'!V42</x:f>
        <x:v>0.1996</x:v>
      </x:c>
      <x:c r="Q294" s="14" t="str">
        <x:f>'Current inventory'!W42</x:f>
        <x:v>n.a.</x:v>
      </x:c>
      <x:c r="R294" s="10" t="n">
        <x:f>L294*P294</x:f>
        <x:v>0</x:v>
      </x:c>
      <x:c r="S294" s="10" t="n">
        <x:f>M294*P294</x:f>
        <x:v>0</x:v>
      </x:c>
      <x:c r="T294" s="10" t="n">
        <x:f>N294*P294</x:f>
        <x:v>47.910360969199196</x:v>
      </x:c>
      <x:c r="U294" s="10" t="n">
        <x:f>O294*P294</x:f>
        <x:v>47.910360969199196</x:v>
      </x:c>
      <x:c r="V294" s="10" t="str">
        <x:f>IF(ISNUMBER(Q294),O294*(Q294-P294),"n.a.")</x:f>
        <x:v>n.a.</x:v>
      </x:c>
      <x:c r="W294" s="10" t="n">
        <x:f>IF(ISNUMBER(Q294),U294,0)</x:f>
        <x:v>0</x:v>
      </x:c>
      <x:c r="X294" s="8" t="n">
        <x:f>MAX(0,K294-SUM(E294:J294))</x:f>
        <x:v>0</x:v>
      </x:c>
      <x:c r="Y294" s="1" t="str">
        <x:f>IF(AND(O294&gt;0,NOT(ISNUMBER(Q294))),"No proposed replacement standard",IF(X294&gt;0,"Demand exceeds available stock",""))</x:f>
        <x:v>No proposed replacement standard</x:v>
      </x:c>
      <x:c r="Z294" s="1" t="n">
        <x:f>IF(ISNUMBER(Q294),1,0)</x:f>
        <x:v>0</x:v>
      </x:c>
    </x:row>
    <x:row r="295" ht="21" customHeight="1">
      <x:c r="A295" s="17" t="n">
        <x:f>Summary!B17</x:f>
        <x:v>46388</x:v>
      </x:c>
      <x:c r="B295" s="1" t="str">
        <x:f>'Current inventory'!A43</x:f>
        <x:v>10</x:v>
      </x:c>
      <x:c r="C295" s="1" t="str">
        <x:f>'Current inventory'!B43</x:f>
        <x:v>800BMARCSC</x:v>
      </x:c>
      <x:c r="D295" s="7" t="n">
        <x:f>A169</x:f>
        <x:v>46357</x:v>
      </x:c>
      <x:c r="E295" s="8" t="n">
        <x:f>L169</x:f>
        <x:v>0</x:v>
      </x:c>
      <x:c r="F295" s="8" t="n">
        <x:f>M169</x:f>
        <x:v>0</x:v>
      </x:c>
      <x:c r="G295" s="8" t="n">
        <x:f>N169</x:f>
        <x:v>1182.3408624229978</x:v>
      </x:c>
      <x:c r="H295" s="8" t="n">
        <x:f>SUMIFS('PO detail'!$U$2:$U$672,'PO detail'!$A$2:$A$672,B295,'PO detail'!$B$2:$B$672,C295,'PO detail'!$G$2:$G$672,"&gt;="&amp;D295,'PO detail'!$G$2:$G$672,"&lt;"&amp;A295)</x:f>
        <x:v>0</x:v>
      </x:c>
      <x:c r="I295" s="8" t="n">
        <x:f>SUMIFS('PO detail'!$V$2:$V$672,'PO detail'!$A$2:$A$672,B295,'PO detail'!$B$2:$B$672,C295,'PO detail'!$G$2:$G$672,"&gt;="&amp;D295,'PO detail'!$G$2:$G$672,"&lt;"&amp;A295)</x:f>
        <x:v>0</x:v>
      </x:c>
      <x:c r="J295" s="8" t="n">
        <x:f>SUMIFS('PO detail'!$W$2:$W$672,'PO detail'!$A$2:$A$672,B295,'PO detail'!$B$2:$B$672,C295,'PO detail'!$G$2:$G$672,"&gt;="&amp;D295,'PO detail'!$G$2:$G$672,"&lt;"&amp;A295)</x:f>
        <x:v>0</x:v>
      </x:c>
      <x:c r="K295" s="8" t="n">
        <x:f>'Current inventory'!E43*Summary!$D$6*(A295-D295)/30.4375</x:f>
        <x:v>127.31006160164272</x:v>
      </x:c>
      <x:c r="L295" s="8" t="n">
        <x:f>MAX(0,E295+H295-K295)</x:f>
        <x:v>0</x:v>
      </x:c>
      <x:c r="M295" s="8" t="n">
        <x:f>MAX(0,F295+I295-MAX(0,K295-E295-H295))</x:f>
        <x:v>0</x:v>
      </x:c>
      <x:c r="N295" s="8" t="n">
        <x:f>MAX(0,G295+J295-K295)</x:f>
        <x:v>1055.0308008213551</x:v>
      </x:c>
      <x:c r="O295" s="8" t="n">
        <x:f>SUM(L295:N295)</x:f>
        <x:v>1055.0308008213551</x:v>
      </x:c>
      <x:c r="P295" s="14" t="n">
        <x:f>'Current inventory'!V43</x:f>
        <x:v>0.23329999999999998</x:v>
      </x:c>
      <x:c r="Q295" s="14" t="str">
        <x:f>'Current inventory'!W43</x:f>
        <x:v>n.a.</x:v>
      </x:c>
      <x:c r="R295" s="10" t="n">
        <x:f>L295*P295</x:f>
        <x:v>0</x:v>
      </x:c>
      <x:c r="S295" s="10" t="n">
        <x:f>M295*P295</x:f>
        <x:v>0</x:v>
      </x:c>
      <x:c r="T295" s="10" t="n">
        <x:f>N295*P295</x:f>
        <x:v>246.13868583162213</x:v>
      </x:c>
      <x:c r="U295" s="10" t="n">
        <x:f>O295*P295</x:f>
        <x:v>246.13868583162213</x:v>
      </x:c>
      <x:c r="V295" s="10" t="str">
        <x:f>IF(ISNUMBER(Q295),O295*(Q295-P295),"n.a.")</x:f>
        <x:v>n.a.</x:v>
      </x:c>
      <x:c r="W295" s="10" t="n">
        <x:f>IF(ISNUMBER(Q295),U295,0)</x:f>
        <x:v>0</x:v>
      </x:c>
      <x:c r="X295" s="8" t="n">
        <x:f>MAX(0,K295-SUM(E295:J295))</x:f>
        <x:v>0</x:v>
      </x:c>
      <x:c r="Y295" s="1" t="str">
        <x:f>IF(AND(O295&gt;0,NOT(ISNUMBER(Q295))),"No proposed replacement standard",IF(X295&gt;0,"Demand exceeds available stock",""))</x:f>
        <x:v>No proposed replacement standard</x:v>
      </x:c>
      <x:c r="Z295" s="1" t="n">
        <x:f>IF(ISNUMBER(Q295),1,0)</x:f>
        <x:v>0</x:v>
      </x:c>
    </x:row>
    <x:row r="296" ht="21" customHeight="1">
      <x:c r="A296" s="17" t="n">
        <x:f>Summary!B17</x:f>
        <x:v>46388</x:v>
      </x:c>
      <x:c r="B296" s="1" t="str">
        <x:f>'Current inventory'!A44</x:f>
        <x:v>30</x:v>
      </x:c>
      <x:c r="C296" s="1" t="str">
        <x:f>'Current inventory'!B44</x:f>
        <x:v>800BMARISC</x:v>
      </x:c>
      <x:c r="D296" s="7" t="n">
        <x:f>A170</x:f>
        <x:v>46357</x:v>
      </x:c>
      <x:c r="E296" s="8" t="n">
        <x:f>L170</x:f>
        <x:v>0</x:v>
      </x:c>
      <x:c r="F296" s="8" t="n">
        <x:f>M170</x:f>
        <x:v>0</x:v>
      </x:c>
      <x:c r="G296" s="8" t="n">
        <x:f>N170</x:f>
        <x:v>2111.367885010267</x:v>
      </x:c>
      <x:c r="H296" s="8" t="n">
        <x:f>SUMIFS('PO detail'!$U$2:$U$672,'PO detail'!$A$2:$A$672,B296,'PO detail'!$B$2:$B$672,C296,'PO detail'!$G$2:$G$672,"&gt;="&amp;D296,'PO detail'!$G$2:$G$672,"&lt;"&amp;A296)</x:f>
        <x:v>0</x:v>
      </x:c>
      <x:c r="I296" s="8" t="n">
        <x:f>SUMIFS('PO detail'!$V$2:$V$672,'PO detail'!$A$2:$A$672,B296,'PO detail'!$B$2:$B$672,C296,'PO detail'!$G$2:$G$672,"&gt;="&amp;D296,'PO detail'!$G$2:$G$672,"&lt;"&amp;A296)</x:f>
        <x:v>0</x:v>
      </x:c>
      <x:c r="J296" s="8" t="n">
        <x:f>SUMIFS('PO detail'!$W$2:$W$672,'PO detail'!$A$2:$A$672,B296,'PO detail'!$B$2:$B$672,C296,'PO detail'!$G$2:$G$672,"&gt;="&amp;D296,'PO detail'!$G$2:$G$672,"&lt;"&amp;A296)</x:f>
        <x:v>0</x:v>
      </x:c>
      <x:c r="K296" s="8" t="n">
        <x:f>'Current inventory'!E44*Summary!$D$6*(A296-D296)/30.4375</x:f>
        <x:v>110.33199178644765</x:v>
      </x:c>
      <x:c r="L296" s="8" t="n">
        <x:f>MAX(0,E296+H296-K296)</x:f>
        <x:v>0</x:v>
      </x:c>
      <x:c r="M296" s="8" t="n">
        <x:f>MAX(0,F296+I296-MAX(0,K296-E296-H296))</x:f>
        <x:v>0</x:v>
      </x:c>
      <x:c r="N296" s="8" t="n">
        <x:f>MAX(0,G296+J296-K296)</x:f>
        <x:v>2001.0358932238194</x:v>
      </x:c>
      <x:c r="O296" s="8" t="n">
        <x:f>SUM(L296:N296)</x:f>
        <x:v>2001.0358932238194</x:v>
      </x:c>
      <x:c r="P296" s="14" t="n">
        <x:f>'Current inventory'!V44</x:f>
        <x:v>0.1946</x:v>
      </x:c>
      <x:c r="Q296" s="14" t="str">
        <x:f>'Current inventory'!W44</x:f>
        <x:v>n.a.</x:v>
      </x:c>
      <x:c r="R296" s="10" t="n">
        <x:f>L296*P296</x:f>
        <x:v>0</x:v>
      </x:c>
      <x:c r="S296" s="10" t="n">
        <x:f>M296*P296</x:f>
        <x:v>0</x:v>
      </x:c>
      <x:c r="T296" s="10" t="n">
        <x:f>N296*P296</x:f>
        <x:v>389.40158482135524</x:v>
      </x:c>
      <x:c r="U296" s="10" t="n">
        <x:f>O296*P296</x:f>
        <x:v>389.40158482135524</x:v>
      </x:c>
      <x:c r="V296" s="10" t="str">
        <x:f>IF(ISNUMBER(Q296),O296*(Q296-P296),"n.a.")</x:f>
        <x:v>n.a.</x:v>
      </x:c>
      <x:c r="W296" s="10" t="n">
        <x:f>IF(ISNUMBER(Q296),U296,0)</x:f>
        <x:v>0</x:v>
      </x:c>
      <x:c r="X296" s="8" t="n">
        <x:f>MAX(0,K296-SUM(E296:J296))</x:f>
        <x:v>0</x:v>
      </x:c>
      <x:c r="Y296" s="1" t="str">
        <x:f>IF(AND(O296&gt;0,NOT(ISNUMBER(Q296))),"No proposed replacement standard",IF(X296&gt;0,"Demand exceeds available stock",""))</x:f>
        <x:v>No proposed replacement standard</x:v>
      </x:c>
      <x:c r="Z296" s="1" t="n">
        <x:f>IF(ISNUMBER(Q296),1,0)</x:f>
        <x:v>0</x:v>
      </x:c>
    </x:row>
    <x:row r="297" ht="21" customHeight="1">
      <x:c r="A297" s="17" t="n">
        <x:f>Summary!B17</x:f>
        <x:v>46388</x:v>
      </x:c>
      <x:c r="B297" s="1" t="str">
        <x:f>'Current inventory'!A45</x:f>
        <x:v>30</x:v>
      </x:c>
      <x:c r="C297" s="1" t="str">
        <x:f>'Current inventory'!B45</x:f>
        <x:v>800BNAVDSC</x:v>
      </x:c>
      <x:c r="D297" s="7" t="n">
        <x:f>A171</x:f>
        <x:v>46357</x:v>
      </x:c>
      <x:c r="E297" s="8" t="n">
        <x:f>L171</x:f>
        <x:v>0</x:v>
      </x:c>
      <x:c r="F297" s="8" t="n">
        <x:f>M171</x:f>
        <x:v>0</x:v>
      </x:c>
      <x:c r="G297" s="8" t="n">
        <x:f>N171</x:f>
        <x:v>1011.367885010267</x:v>
      </x:c>
      <x:c r="H297" s="8" t="n">
        <x:f>SUMIFS('PO detail'!$U$2:$U$672,'PO detail'!$A$2:$A$672,B297,'PO detail'!$B$2:$B$672,C297,'PO detail'!$G$2:$G$672,"&gt;="&amp;D297,'PO detail'!$G$2:$G$672,"&lt;"&amp;A297)</x:f>
        <x:v>0</x:v>
      </x:c>
      <x:c r="I297" s="8" t="n">
        <x:f>SUMIFS('PO detail'!$V$2:$V$672,'PO detail'!$A$2:$A$672,B297,'PO detail'!$B$2:$B$672,C297,'PO detail'!$G$2:$G$672,"&gt;="&amp;D297,'PO detail'!$G$2:$G$672,"&lt;"&amp;A297)</x:f>
        <x:v>0</x:v>
      </x:c>
      <x:c r="J297" s="8" t="n">
        <x:f>SUMIFS('PO detail'!$W$2:$W$672,'PO detail'!$A$2:$A$672,B297,'PO detail'!$B$2:$B$672,C297,'PO detail'!$G$2:$G$672,"&gt;="&amp;D297,'PO detail'!$G$2:$G$672,"&lt;"&amp;A297)</x:f>
        <x:v>0</x:v>
      </x:c>
      <x:c r="K297" s="8" t="n">
        <x:f>'Current inventory'!E45*Summary!$D$6*(A297-D297)/30.4375</x:f>
        <x:v>110.33199178644765</x:v>
      </x:c>
      <x:c r="L297" s="8" t="n">
        <x:f>MAX(0,E297+H297-K297)</x:f>
        <x:v>0</x:v>
      </x:c>
      <x:c r="M297" s="8" t="n">
        <x:f>MAX(0,F297+I297-MAX(0,K297-E297-H297))</x:f>
        <x:v>0</x:v>
      </x:c>
      <x:c r="N297" s="8" t="n">
        <x:f>MAX(0,G297+J297-K297)</x:f>
        <x:v>901.0358932238194</x:v>
      </x:c>
      <x:c r="O297" s="8" t="n">
        <x:f>SUM(L297:N297)</x:f>
        <x:v>901.0358932238194</x:v>
      </x:c>
      <x:c r="P297" s="14" t="n">
        <x:f>'Current inventory'!V45</x:f>
        <x:v>0.34509999999999996</x:v>
      </x:c>
      <x:c r="Q297" s="14" t="str">
        <x:f>'Current inventory'!W45</x:f>
        <x:v>n.a.</x:v>
      </x:c>
      <x:c r="R297" s="10" t="n">
        <x:f>L297*P297</x:f>
        <x:v>0</x:v>
      </x:c>
      <x:c r="S297" s="10" t="n">
        <x:f>M297*P297</x:f>
        <x:v>0</x:v>
      </x:c>
      <x:c r="T297" s="10" t="n">
        <x:f>N297*P297</x:f>
        <x:v>310.94748675154005</x:v>
      </x:c>
      <x:c r="U297" s="10" t="n">
        <x:f>O297*P297</x:f>
        <x:v>310.94748675154005</x:v>
      </x:c>
      <x:c r="V297" s="10" t="str">
        <x:f>IF(ISNUMBER(Q297),O297*(Q297-P297),"n.a.")</x:f>
        <x:v>n.a.</x:v>
      </x:c>
      <x:c r="W297" s="10" t="n">
        <x:f>IF(ISNUMBER(Q297),U297,0)</x:f>
        <x:v>0</x:v>
      </x:c>
      <x:c r="X297" s="8" t="n">
        <x:f>MAX(0,K297-SUM(E297:J297))</x:f>
        <x:v>0</x:v>
      </x:c>
      <x:c r="Y297" s="1" t="str">
        <x:f>IF(AND(O297&gt;0,NOT(ISNUMBER(Q297))),"No proposed replacement standard",IF(X297&gt;0,"Demand exceeds available stock",""))</x:f>
        <x:v>No proposed replacement standard</x:v>
      </x:c>
      <x:c r="Z297" s="1" t="n">
        <x:f>IF(ISNUMBER(Q297),1,0)</x:f>
        <x:v>0</x:v>
      </x:c>
    </x:row>
    <x:row r="298" ht="21" customHeight="1">
      <x:c r="A298" s="17" t="n">
        <x:f>Summary!B17</x:f>
        <x:v>46388</x:v>
      </x:c>
      <x:c r="B298" s="1" t="str">
        <x:f>'Current inventory'!A46</x:f>
        <x:v>60</x:v>
      </x:c>
      <x:c r="C298" s="1" t="str">
        <x:f>'Current inventory'!B46</x:f>
        <x:v>800BMARBRC</x:v>
      </x:c>
      <x:c r="D298" s="7" t="n">
        <x:f>A172</x:f>
        <x:v>46357</x:v>
      </x:c>
      <x:c r="E298" s="8" t="n">
        <x:f>L172</x:f>
        <x:v>0</x:v>
      </x:c>
      <x:c r="F298" s="8" t="n">
        <x:f>M172</x:f>
        <x:v>0</x:v>
      </x:c>
      <x:c r="G298" s="8" t="n">
        <x:f>N172</x:f>
        <x:v>1211.367885010267</x:v>
      </x:c>
      <x:c r="H298" s="8" t="n">
        <x:f>SUMIFS('PO detail'!$U$2:$U$672,'PO detail'!$A$2:$A$672,B298,'PO detail'!$B$2:$B$672,C298,'PO detail'!$G$2:$G$672,"&gt;="&amp;D298,'PO detail'!$G$2:$G$672,"&lt;"&amp;A298)</x:f>
        <x:v>0</x:v>
      </x:c>
      <x:c r="I298" s="8" t="n">
        <x:f>SUMIFS('PO detail'!$V$2:$V$672,'PO detail'!$A$2:$A$672,B298,'PO detail'!$B$2:$B$672,C298,'PO detail'!$G$2:$G$672,"&gt;="&amp;D298,'PO detail'!$G$2:$G$672,"&lt;"&amp;A298)</x:f>
        <x:v>0</x:v>
      </x:c>
      <x:c r="J298" s="8" t="n">
        <x:f>SUMIFS('PO detail'!$W$2:$W$672,'PO detail'!$A$2:$A$672,B298,'PO detail'!$B$2:$B$672,C298,'PO detail'!$G$2:$G$672,"&gt;="&amp;D298,'PO detail'!$G$2:$G$672,"&lt;"&amp;A298)</x:f>
        <x:v>0</x:v>
      </x:c>
      <x:c r="K298" s="8" t="n">
        <x:f>'Current inventory'!E46*Summary!$D$6*(A298-D298)/30.4375</x:f>
        <x:v>110.33199178644765</x:v>
      </x:c>
      <x:c r="L298" s="8" t="n">
        <x:f>MAX(0,E298+H298-K298)</x:f>
        <x:v>0</x:v>
      </x:c>
      <x:c r="M298" s="8" t="n">
        <x:f>MAX(0,F298+I298-MAX(0,K298-E298-H298))</x:f>
        <x:v>0</x:v>
      </x:c>
      <x:c r="N298" s="8" t="n">
        <x:f>MAX(0,G298+J298-K298)</x:f>
        <x:v>1101.0358932238194</x:v>
      </x:c>
      <x:c r="O298" s="8" t="n">
        <x:f>SUM(L298:N298)</x:f>
        <x:v>1101.0358932238194</x:v>
      </x:c>
      <x:c r="P298" s="14" t="n">
        <x:f>'Current inventory'!V46</x:f>
        <x:v>0.1996</x:v>
      </x:c>
      <x:c r="Q298" s="14" t="str">
        <x:f>'Current inventory'!W46</x:f>
        <x:v>n.a.</x:v>
      </x:c>
      <x:c r="R298" s="10" t="n">
        <x:f>L298*P298</x:f>
        <x:v>0</x:v>
      </x:c>
      <x:c r="S298" s="10" t="n">
        <x:f>M298*P298</x:f>
        <x:v>0</x:v>
      </x:c>
      <x:c r="T298" s="10" t="n">
        <x:f>N298*P298</x:f>
        <x:v>219.76676428747433</x:v>
      </x:c>
      <x:c r="U298" s="10" t="n">
        <x:f>O298*P298</x:f>
        <x:v>219.76676428747433</x:v>
      </x:c>
      <x:c r="V298" s="10" t="str">
        <x:f>IF(ISNUMBER(Q298),O298*(Q298-P298),"n.a.")</x:f>
        <x:v>n.a.</x:v>
      </x:c>
      <x:c r="W298" s="10" t="n">
        <x:f>IF(ISNUMBER(Q298),U298,0)</x:f>
        <x:v>0</x:v>
      </x:c>
      <x:c r="X298" s="8" t="n">
        <x:f>MAX(0,K298-SUM(E298:J298))</x:f>
        <x:v>0</x:v>
      </x:c>
      <x:c r="Y298" s="1" t="str">
        <x:f>IF(AND(O298&gt;0,NOT(ISNUMBER(Q298))),"No proposed replacement standard",IF(X298&gt;0,"Demand exceeds available stock",""))</x:f>
        <x:v>No proposed replacement standard</x:v>
      </x:c>
      <x:c r="Z298" s="1" t="n">
        <x:f>IF(ISNUMBER(Q298),1,0)</x:f>
        <x:v>0</x:v>
      </x:c>
    </x:row>
    <x:row r="299" ht="21" customHeight="1">
      <x:c r="A299" s="17" t="n">
        <x:f>Summary!B17</x:f>
        <x:v>46388</x:v>
      </x:c>
      <x:c r="B299" s="1" t="str">
        <x:f>'Current inventory'!A47</x:f>
        <x:v>60</x:v>
      </x:c>
      <x:c r="C299" s="1" t="str">
        <x:f>'Current inventory'!B47</x:f>
        <x:v>800MARE</x:v>
      </x:c>
      <x:c r="D299" s="7" t="n">
        <x:f>A173</x:f>
        <x:v>46357</x:v>
      </x:c>
      <x:c r="E299" s="8" t="n">
        <x:f>L173</x:f>
        <x:v>2507.8726899383983</x:v>
      </x:c>
      <x:c r="F299" s="8" t="n">
        <x:f>M173</x:f>
        <x:v>0</x:v>
      </x:c>
      <x:c r="G299" s="8" t="n">
        <x:f>N173</x:f>
        <x:v>0</x:v>
      </x:c>
      <x:c r="H299" s="8" t="n">
        <x:f>SUMIFS('PO detail'!$U$2:$U$672,'PO detail'!$A$2:$A$672,B299,'PO detail'!$B$2:$B$672,C299,'PO detail'!$G$2:$G$672,"&gt;="&amp;D299,'PO detail'!$G$2:$G$672,"&lt;"&amp;A299)</x:f>
        <x:v>0</x:v>
      </x:c>
      <x:c r="I299" s="8" t="n">
        <x:f>SUMIFS('PO detail'!$V$2:$V$672,'PO detail'!$A$2:$A$672,B299,'PO detail'!$B$2:$B$672,C299,'PO detail'!$G$2:$G$672,"&gt;="&amp;D299,'PO detail'!$G$2:$G$672,"&lt;"&amp;A299)</x:f>
        <x:v>0</x:v>
      </x:c>
      <x:c r="J299" s="8" t="n">
        <x:f>SUMIFS('PO detail'!$W$2:$W$672,'PO detail'!$A$2:$A$672,B299,'PO detail'!$B$2:$B$672,C299,'PO detail'!$G$2:$G$672,"&gt;="&amp;D299,'PO detail'!$G$2:$G$672,"&lt;"&amp;A299)</x:f>
        <x:v>0</x:v>
      </x:c>
      <x:c r="K299" s="8" t="n">
        <x:f>'Current inventory'!E47*Summary!$D$6*(A299-D299)/30.4375</x:f>
        <x:v>101.84804928131418</x:v>
      </x:c>
      <x:c r="L299" s="8" t="n">
        <x:f>MAX(0,E299+H299-K299)</x:f>
        <x:v>2406.024640657084</x:v>
      </x:c>
      <x:c r="M299" s="8" t="n">
        <x:f>MAX(0,F299+I299-MAX(0,K299-E299-H299))</x:f>
        <x:v>0</x:v>
      </x:c>
      <x:c r="N299" s="8" t="n">
        <x:f>MAX(0,G299+J299-K299)</x:f>
        <x:v>0</x:v>
      </x:c>
      <x:c r="O299" s="8" t="n">
        <x:f>SUM(L299:N299)</x:f>
        <x:v>2406.024640657084</x:v>
      </x:c>
      <x:c r="P299" s="14" t="n">
        <x:f>'Current inventory'!V47</x:f>
        <x:v>1.29129</x:v>
      </x:c>
      <x:c r="Q299" s="14" t="n">
        <x:f>'Current inventory'!W47</x:f>
        <x:v>1.349355</x:v>
      </x:c>
      <x:c r="R299" s="10" t="n">
        <x:f>L299*P299</x:f>
        <x:v>3106.8755582340864</x:v>
      </x:c>
      <x:c r="S299" s="10" t="n">
        <x:f>M299*P299</x:f>
        <x:v>0</x:v>
      </x:c>
      <x:c r="T299" s="10" t="n">
        <x:f>N299*P299</x:f>
        <x:v>0</x:v>
      </x:c>
      <x:c r="U299" s="10" t="n">
        <x:f>O299*P299</x:f>
        <x:v>3106.8755582340864</x:v>
      </x:c>
      <x:c r="V299" s="10" t="n">
        <x:f>IF(ISNUMBER(Q299),O299*(Q299-P299),"n.a.")</x:f>
        <x:v>139.70582075975366</x:v>
      </x:c>
      <x:c r="W299" s="10" t="n">
        <x:f>IF(ISNUMBER(Q299),U299,0)</x:f>
        <x:v>3106.8755582340864</x:v>
      </x:c>
      <x:c r="X299" s="8" t="n">
        <x:f>MAX(0,K299-SUM(E299:J299))</x:f>
        <x:v>0</x:v>
      </x:c>
      <x:c r="Y299" s="1" t="str">
        <x:f>IF(AND(O299&gt;0,NOT(ISNUMBER(Q299))),"No proposed replacement standard",IF(X299&gt;0,"Demand exceeds available stock",""))</x:f>
      </x:c>
      <x:c r="Z299" s="1" t="n">
        <x:f>IF(ISNUMBER(Q299),1,0)</x:f>
        <x:v>1</x:v>
      </x:c>
    </x:row>
    <x:row r="300" ht="21" customHeight="1">
      <x:c r="A300" s="17" t="n">
        <x:f>Summary!B17</x:f>
        <x:v>46388</x:v>
      </x:c>
      <x:c r="B300" s="1" t="str">
        <x:f>'Current inventory'!A48</x:f>
        <x:v>60</x:v>
      </x:c>
      <x:c r="C300" s="1" t="str">
        <x:f>'Current inventory'!B48</x:f>
        <x:v>800BMARISC</x:v>
      </x:c>
      <x:c r="D300" s="7" t="n">
        <x:f>A174</x:f>
        <x:v>46357</x:v>
      </x:c>
      <x:c r="E300" s="8" t="n">
        <x:f>L174</x:f>
        <x:v>0</x:v>
      </x:c>
      <x:c r="F300" s="8" t="n">
        <x:f>M174</x:f>
        <x:v>0</x:v>
      </x:c>
      <x:c r="G300" s="8" t="n">
        <x:f>N174</x:f>
        <x:v>698.4315400410678</x:v>
      </x:c>
      <x:c r="H300" s="8" t="n">
        <x:f>SUMIFS('PO detail'!$U$2:$U$672,'PO detail'!$A$2:$A$672,B300,'PO detail'!$B$2:$B$672,C300,'PO detail'!$G$2:$G$672,"&gt;="&amp;D300,'PO detail'!$G$2:$G$672,"&lt;"&amp;A300)</x:f>
        <x:v>0</x:v>
      </x:c>
      <x:c r="I300" s="8" t="n">
        <x:f>SUMIFS('PO detail'!$V$2:$V$672,'PO detail'!$A$2:$A$672,B300,'PO detail'!$B$2:$B$672,C300,'PO detail'!$G$2:$G$672,"&gt;="&amp;D300,'PO detail'!$G$2:$G$672,"&lt;"&amp;A300)</x:f>
        <x:v>0</x:v>
      </x:c>
      <x:c r="J300" s="8" t="n">
        <x:f>SUMIFS('PO detail'!$W$2:$W$672,'PO detail'!$A$2:$A$672,B300,'PO detail'!$B$2:$B$672,C300,'PO detail'!$G$2:$G$672,"&gt;="&amp;D300,'PO detail'!$G$2:$G$672,"&lt;"&amp;A300)</x:f>
        <x:v>0</x:v>
      </x:c>
      <x:c r="K300" s="8" t="n">
        <x:f>'Current inventory'!E48*Summary!$D$6*(A300-D300)/30.4375</x:f>
        <x:v>59.40796714579056</x:v>
      </x:c>
      <x:c r="L300" s="8" t="n">
        <x:f>MAX(0,E300+H300-K300)</x:f>
        <x:v>0</x:v>
      </x:c>
      <x:c r="M300" s="8" t="n">
        <x:f>MAX(0,F300+I300-MAX(0,K300-E300-H300))</x:f>
        <x:v>0</x:v>
      </x:c>
      <x:c r="N300" s="8" t="n">
        <x:f>MAX(0,G300+J300-K300)</x:f>
        <x:v>639.0235728952773</x:v>
      </x:c>
      <x:c r="O300" s="8" t="n">
        <x:f>SUM(L300:N300)</x:f>
        <x:v>639.0235728952773</x:v>
      </x:c>
      <x:c r="P300" s="14" t="n">
        <x:f>'Current inventory'!V48</x:f>
        <x:v>0.1946</x:v>
      </x:c>
      <x:c r="Q300" s="14" t="str">
        <x:f>'Current inventory'!W48</x:f>
        <x:v>n.a.</x:v>
      </x:c>
      <x:c r="R300" s="10" t="n">
        <x:f>L300*P300</x:f>
        <x:v>0</x:v>
      </x:c>
      <x:c r="S300" s="10" t="n">
        <x:f>M300*P300</x:f>
        <x:v>0</x:v>
      </x:c>
      <x:c r="T300" s="10" t="n">
        <x:f>N300*P300</x:f>
        <x:v>124.35398728542096</x:v>
      </x:c>
      <x:c r="U300" s="10" t="n">
        <x:f>O300*P300</x:f>
        <x:v>124.35398728542096</x:v>
      </x:c>
      <x:c r="V300" s="10" t="str">
        <x:f>IF(ISNUMBER(Q300),O300*(Q300-P300),"n.a.")</x:f>
        <x:v>n.a.</x:v>
      </x:c>
      <x:c r="W300" s="10" t="n">
        <x:f>IF(ISNUMBER(Q300),U300,0)</x:f>
        <x:v>0</x:v>
      </x:c>
      <x:c r="X300" s="8" t="n">
        <x:f>MAX(0,K300-SUM(E300:J300))</x:f>
        <x:v>0</x:v>
      </x:c>
      <x:c r="Y300" s="1" t="str">
        <x:f>IF(AND(O300&gt;0,NOT(ISNUMBER(Q300))),"No proposed replacement standard",IF(X300&gt;0,"Demand exceeds available stock",""))</x:f>
        <x:v>No proposed replacement standard</x:v>
      </x:c>
      <x:c r="Z300" s="1" t="n">
        <x:f>IF(ISNUMBER(Q300),1,0)</x:f>
        <x:v>0</x:v>
      </x:c>
    </x:row>
    <x:row r="301" ht="21" customHeight="1">
      <x:c r="A301" s="17" t="n">
        <x:f>Summary!B17</x:f>
        <x:v>46388</x:v>
      </x:c>
      <x:c r="B301" s="1" t="str">
        <x:f>'Current inventory'!A49</x:f>
        <x:v>10</x:v>
      </x:c>
      <x:c r="C301" s="1" t="str">
        <x:f>'Current inventory'!B49</x:f>
        <x:v>800WBLKASC</x:v>
      </x:c>
      <x:c r="D301" s="7" t="n">
        <x:f>A175</x:f>
        <x:v>46357</x:v>
      </x:c>
      <x:c r="E301" s="8" t="n">
        <x:f>L175</x:f>
        <x:v>0</x:v>
      </x:c>
      <x:c r="F301" s="8" t="n">
        <x:f>M175</x:f>
        <x:v>0</x:v>
      </x:c>
      <x:c r="G301" s="8" t="n">
        <x:f>N175</x:f>
        <x:v>1212.9363449691991</x:v>
      </x:c>
      <x:c r="H301" s="8" t="n">
        <x:f>SUMIFS('PO detail'!$U$2:$U$672,'PO detail'!$A$2:$A$672,B301,'PO detail'!$B$2:$B$672,C301,'PO detail'!$G$2:$G$672,"&gt;="&amp;D301,'PO detail'!$G$2:$G$672,"&lt;"&amp;A301)</x:f>
        <x:v>0</x:v>
      </x:c>
      <x:c r="I301" s="8" t="n">
        <x:f>SUMIFS('PO detail'!$V$2:$V$672,'PO detail'!$A$2:$A$672,B301,'PO detail'!$B$2:$B$672,C301,'PO detail'!$G$2:$G$672,"&gt;="&amp;D301,'PO detail'!$G$2:$G$672,"&lt;"&amp;A301)</x:f>
        <x:v>0</x:v>
      </x:c>
      <x:c r="J301" s="8" t="n">
        <x:f>SUMIFS('PO detail'!$W$2:$W$672,'PO detail'!$A$2:$A$672,B301,'PO detail'!$B$2:$B$672,C301,'PO detail'!$G$2:$G$672,"&gt;="&amp;D301,'PO detail'!$G$2:$G$672,"&lt;"&amp;A301)</x:f>
        <x:v>0</x:v>
      </x:c>
      <x:c r="K301" s="8" t="n">
        <x:f>'Current inventory'!E49*Summary!$D$6*(A301-D301)/30.4375</x:f>
        <x:v>50.92402464065709</x:v>
      </x:c>
      <x:c r="L301" s="8" t="n">
        <x:f>MAX(0,E301+H301-K301)</x:f>
        <x:v>0</x:v>
      </x:c>
      <x:c r="M301" s="8" t="n">
        <x:f>MAX(0,F301+I301-MAX(0,K301-E301-H301))</x:f>
        <x:v>0</x:v>
      </x:c>
      <x:c r="N301" s="8" t="n">
        <x:f>MAX(0,G301+J301-K301)</x:f>
        <x:v>1162.012320328542</x:v>
      </x:c>
      <x:c r="O301" s="8" t="n">
        <x:f>SUM(L301:N301)</x:f>
        <x:v>1162.012320328542</x:v>
      </x:c>
      <x:c r="P301" s="14" t="n">
        <x:f>'Current inventory'!V49</x:f>
        <x:v>0.111</x:v>
      </x:c>
      <x:c r="Q301" s="14" t="str">
        <x:f>'Current inventory'!W49</x:f>
        <x:v>n.a.</x:v>
      </x:c>
      <x:c r="R301" s="10" t="n">
        <x:f>L301*P301</x:f>
        <x:v>0</x:v>
      </x:c>
      <x:c r="S301" s="10" t="n">
        <x:f>M301*P301</x:f>
        <x:v>0</x:v>
      </x:c>
      <x:c r="T301" s="10" t="n">
        <x:f>N301*P301</x:f>
        <x:v>128.98336755646818</x:v>
      </x:c>
      <x:c r="U301" s="10" t="n">
        <x:f>O301*P301</x:f>
        <x:v>128.98336755646818</x:v>
      </x:c>
      <x:c r="V301" s="10" t="str">
        <x:f>IF(ISNUMBER(Q301),O301*(Q301-P301),"n.a.")</x:f>
        <x:v>n.a.</x:v>
      </x:c>
      <x:c r="W301" s="10" t="n">
        <x:f>IF(ISNUMBER(Q301),U301,0)</x:f>
        <x:v>0</x:v>
      </x:c>
      <x:c r="X301" s="8" t="n">
        <x:f>MAX(0,K301-SUM(E301:J301))</x:f>
        <x:v>0</x:v>
      </x:c>
      <x:c r="Y301" s="1" t="str">
        <x:f>IF(AND(O301&gt;0,NOT(ISNUMBER(Q301))),"No proposed replacement standard",IF(X301&gt;0,"Demand exceeds available stock",""))</x:f>
        <x:v>No proposed replacement standard</x:v>
      </x:c>
      <x:c r="Z301" s="1" t="n">
        <x:f>IF(ISNUMBER(Q301),1,0)</x:f>
        <x:v>0</x:v>
      </x:c>
    </x:row>
    <x:row r="302" ht="21" customHeight="1">
      <x:c r="A302" s="17" t="n">
        <x:f>Summary!B17</x:f>
        <x:v>46388</x:v>
      </x:c>
      <x:c r="B302" s="1" t="str">
        <x:f>'Current inventory'!A50</x:f>
        <x:v>30</x:v>
      </x:c>
      <x:c r="C302" s="1" t="str">
        <x:f>'Current inventory'!B50</x:f>
        <x:v>800BMARCSC</x:v>
      </x:c>
      <x:c r="D302" s="7" t="n">
        <x:f>A176</x:f>
        <x:v>46357</x:v>
      </x:c>
      <x:c r="E302" s="8" t="n">
        <x:f>L176</x:f>
        <x:v>0</x:v>
      </x:c>
      <x:c r="F302" s="8" t="n">
        <x:f>M176</x:f>
        <x:v>0</x:v>
      </x:c>
      <x:c r="G302" s="8" t="n">
        <x:f>N176</x:f>
        <x:v>1041.9633675564683</x:v>
      </x:c>
      <x:c r="H302" s="8" t="n">
        <x:f>SUMIFS('PO detail'!$U$2:$U$672,'PO detail'!$A$2:$A$672,B302,'PO detail'!$B$2:$B$672,C302,'PO detail'!$G$2:$G$672,"&gt;="&amp;D302,'PO detail'!$G$2:$G$672,"&lt;"&amp;A302)</x:f>
        <x:v>0</x:v>
      </x:c>
      <x:c r="I302" s="8" t="n">
        <x:f>SUMIFS('PO detail'!$V$2:$V$672,'PO detail'!$A$2:$A$672,B302,'PO detail'!$B$2:$B$672,C302,'PO detail'!$G$2:$G$672,"&gt;="&amp;D302,'PO detail'!$G$2:$G$672,"&lt;"&amp;A302)</x:f>
        <x:v>0</x:v>
      </x:c>
      <x:c r="J302" s="8" t="n">
        <x:f>SUMIFS('PO detail'!$W$2:$W$672,'PO detail'!$A$2:$A$672,B302,'PO detail'!$B$2:$B$672,C302,'PO detail'!$G$2:$G$672,"&gt;="&amp;D302,'PO detail'!$G$2:$G$672,"&lt;"&amp;A302)</x:f>
        <x:v>0</x:v>
      </x:c>
      <x:c r="K302" s="8" t="n">
        <x:f>'Current inventory'!E50*Summary!$D$6*(A302-D302)/30.4375</x:f>
        <x:v>33.94595482546201</x:v>
      </x:c>
      <x:c r="L302" s="8" t="n">
        <x:f>MAX(0,E302+H302-K302)</x:f>
        <x:v>0</x:v>
      </x:c>
      <x:c r="M302" s="8" t="n">
        <x:f>MAX(0,F302+I302-MAX(0,K302-E302-H302))</x:f>
        <x:v>0</x:v>
      </x:c>
      <x:c r="N302" s="8" t="n">
        <x:f>MAX(0,G302+J302-K302)</x:f>
        <x:v>1008.0174127310063</x:v>
      </x:c>
      <x:c r="O302" s="8" t="n">
        <x:f>SUM(L302:N302)</x:f>
        <x:v>1008.0174127310063</x:v>
      </x:c>
      <x:c r="P302" s="14" t="n">
        <x:f>'Current inventory'!V50</x:f>
        <x:v>0.23329999999999998</x:v>
      </x:c>
      <x:c r="Q302" s="14" t="str">
        <x:f>'Current inventory'!W50</x:f>
        <x:v>n.a.</x:v>
      </x:c>
      <x:c r="R302" s="10" t="n">
        <x:f>L302*P302</x:f>
        <x:v>0</x:v>
      </x:c>
      <x:c r="S302" s="10" t="n">
        <x:f>M302*P302</x:f>
        <x:v>0</x:v>
      </x:c>
      <x:c r="T302" s="10" t="n">
        <x:f>N302*P302</x:f>
        <x:v>235.17046239014374</x:v>
      </x:c>
      <x:c r="U302" s="10" t="n">
        <x:f>O302*P302</x:f>
        <x:v>235.17046239014374</x:v>
      </x:c>
      <x:c r="V302" s="10" t="str">
        <x:f>IF(ISNUMBER(Q302),O302*(Q302-P302),"n.a.")</x:f>
        <x:v>n.a.</x:v>
      </x:c>
      <x:c r="W302" s="10" t="n">
        <x:f>IF(ISNUMBER(Q302),U302,0)</x:f>
        <x:v>0</x:v>
      </x:c>
      <x:c r="X302" s="8" t="n">
        <x:f>MAX(0,K302-SUM(E302:J302))</x:f>
        <x:v>0</x:v>
      </x:c>
      <x:c r="Y302" s="1" t="str">
        <x:f>IF(AND(O302&gt;0,NOT(ISNUMBER(Q302))),"No proposed replacement standard",IF(X302&gt;0,"Demand exceeds available stock",""))</x:f>
        <x:v>No proposed replacement standard</x:v>
      </x:c>
      <x:c r="Z302" s="1" t="n">
        <x:f>IF(ISNUMBER(Q302),1,0)</x:f>
        <x:v>0</x:v>
      </x:c>
    </x:row>
    <x:row r="303" ht="21" customHeight="1">
      <x:c r="A303" s="17" t="n">
        <x:f>Summary!B17</x:f>
        <x:v>46388</x:v>
      </x:c>
      <x:c r="B303" s="1" t="str">
        <x:f>'Current inventory'!A51</x:f>
        <x:v>60</x:v>
      </x:c>
      <x:c r="C303" s="1" t="str">
        <x:f>'Current inventory'!B51</x:f>
        <x:v>800WBLKASC</x:v>
      </x:c>
      <x:c r="D303" s="7" t="n">
        <x:f>A177</x:f>
        <x:v>46357</x:v>
      </x:c>
      <x:c r="E303" s="8" t="n">
        <x:f>L177</x:f>
        <x:v>0</x:v>
      </x:c>
      <x:c r="F303" s="8" t="n">
        <x:f>M177</x:f>
        <x:v>0</x:v>
      </x:c>
      <x:c r="G303" s="8" t="n">
        <x:f>N177</x:f>
        <x:v>1441.9633675564683</x:v>
      </x:c>
      <x:c r="H303" s="8" t="n">
        <x:f>SUMIFS('PO detail'!$U$2:$U$672,'PO detail'!$A$2:$A$672,B303,'PO detail'!$B$2:$B$672,C303,'PO detail'!$G$2:$G$672,"&gt;="&amp;D303,'PO detail'!$G$2:$G$672,"&lt;"&amp;A303)</x:f>
        <x:v>0</x:v>
      </x:c>
      <x:c r="I303" s="8" t="n">
        <x:f>SUMIFS('PO detail'!$V$2:$V$672,'PO detail'!$A$2:$A$672,B303,'PO detail'!$B$2:$B$672,C303,'PO detail'!$G$2:$G$672,"&gt;="&amp;D303,'PO detail'!$G$2:$G$672,"&lt;"&amp;A303)</x:f>
        <x:v>0</x:v>
      </x:c>
      <x:c r="J303" s="8" t="n">
        <x:f>SUMIFS('PO detail'!$W$2:$W$672,'PO detail'!$A$2:$A$672,B303,'PO detail'!$B$2:$B$672,C303,'PO detail'!$G$2:$G$672,"&gt;="&amp;D303,'PO detail'!$G$2:$G$672,"&lt;"&amp;A303)</x:f>
        <x:v>0</x:v>
      </x:c>
      <x:c r="K303" s="8" t="n">
        <x:f>'Current inventory'!E51*Summary!$D$6*(A303-D303)/30.4375</x:f>
        <x:v>33.94595482546201</x:v>
      </x:c>
      <x:c r="L303" s="8" t="n">
        <x:f>MAX(0,E303+H303-K303)</x:f>
        <x:v>0</x:v>
      </x:c>
      <x:c r="M303" s="8" t="n">
        <x:f>MAX(0,F303+I303-MAX(0,K303-E303-H303))</x:f>
        <x:v>0</x:v>
      </x:c>
      <x:c r="N303" s="8" t="n">
        <x:f>MAX(0,G303+J303-K303)</x:f>
        <x:v>1408.0174127310063</x:v>
      </x:c>
      <x:c r="O303" s="8" t="n">
        <x:f>SUM(L303:N303)</x:f>
        <x:v>1408.0174127310063</x:v>
      </x:c>
      <x:c r="P303" s="14" t="n">
        <x:f>'Current inventory'!V51</x:f>
        <x:v>0.111</x:v>
      </x:c>
      <x:c r="Q303" s="14" t="str">
        <x:f>'Current inventory'!W51</x:f>
        <x:v>n.a.</x:v>
      </x:c>
      <x:c r="R303" s="10" t="n">
        <x:f>L303*P303</x:f>
        <x:v>0</x:v>
      </x:c>
      <x:c r="S303" s="10" t="n">
        <x:f>M303*P303</x:f>
        <x:v>0</x:v>
      </x:c>
      <x:c r="T303" s="10" t="n">
        <x:f>N303*P303</x:f>
        <x:v>156.2899328131417</x:v>
      </x:c>
      <x:c r="U303" s="10" t="n">
        <x:f>O303*P303</x:f>
        <x:v>156.2899328131417</x:v>
      </x:c>
      <x:c r="V303" s="10" t="str">
        <x:f>IF(ISNUMBER(Q303),O303*(Q303-P303),"n.a.")</x:f>
        <x:v>n.a.</x:v>
      </x:c>
      <x:c r="W303" s="10" t="n">
        <x:f>IF(ISNUMBER(Q303),U303,0)</x:f>
        <x:v>0</x:v>
      </x:c>
      <x:c r="X303" s="8" t="n">
        <x:f>MAX(0,K303-SUM(E303:J303))</x:f>
        <x:v>0</x:v>
      </x:c>
      <x:c r="Y303" s="1" t="str">
        <x:f>IF(AND(O303&gt;0,NOT(ISNUMBER(Q303))),"No proposed replacement standard",IF(X303&gt;0,"Demand exceeds available stock",""))</x:f>
        <x:v>No proposed replacement standard</x:v>
      </x:c>
      <x:c r="Z303" s="1" t="n">
        <x:f>IF(ISNUMBER(Q303),1,0)</x:f>
        <x:v>0</x:v>
      </x:c>
    </x:row>
    <x:row r="304" ht="21" customHeight="1">
      <x:c r="A304" s="17" t="n">
        <x:f>Summary!B17</x:f>
        <x:v>46388</x:v>
      </x:c>
      <x:c r="B304" s="1" t="str">
        <x:f>'Current inventory'!A52</x:f>
        <x:v>10</x:v>
      </x:c>
      <x:c r="C304" s="1" t="str">
        <x:f>'Current inventory'!B52</x:f>
        <x:v>800WMARASC</x:v>
      </x:c>
      <x:c r="D304" s="7" t="n">
        <x:f>A178</x:f>
        <x:v>46357</x:v>
      </x:c>
      <x:c r="E304" s="8" t="n">
        <x:f>L178</x:f>
        <x:v>0</x:v>
      </x:c>
      <x:c r="F304" s="8" t="n">
        <x:f>M178</x:f>
        <x:v>0</x:v>
      </x:c>
      <x:c r="G304" s="8" t="n">
        <x:f>N178</x:f>
        <x:v>270.97297741273104</x:v>
      </x:c>
      <x:c r="H304" s="8" t="n">
        <x:f>SUMIFS('PO detail'!$U$2:$U$672,'PO detail'!$A$2:$A$672,B304,'PO detail'!$B$2:$B$672,C304,'PO detail'!$G$2:$G$672,"&gt;="&amp;D304,'PO detail'!$G$2:$G$672,"&lt;"&amp;A304)</x:f>
        <x:v>0</x:v>
      </x:c>
      <x:c r="I304" s="8" t="n">
        <x:f>SUMIFS('PO detail'!$V$2:$V$672,'PO detail'!$A$2:$A$672,B304,'PO detail'!$B$2:$B$672,C304,'PO detail'!$G$2:$G$672,"&gt;="&amp;D304,'PO detail'!$G$2:$G$672,"&lt;"&amp;A304)</x:f>
        <x:v>0</x:v>
      </x:c>
      <x:c r="J304" s="8" t="n">
        <x:f>SUMIFS('PO detail'!$W$2:$W$672,'PO detail'!$A$2:$A$672,B304,'PO detail'!$B$2:$B$672,C304,'PO detail'!$G$2:$G$672,"&gt;="&amp;D304,'PO detail'!$G$2:$G$672,"&lt;"&amp;A304)</x:f>
        <x:v>0</x:v>
      </x:c>
      <x:c r="K304" s="8" t="n">
        <x:f>'Current inventory'!E52*Summary!$D$6*(A304-D304)/30.4375</x:f>
        <x:v>16.978069815195074</x:v>
      </x:c>
      <x:c r="L304" s="8" t="n">
        <x:f>MAX(0,E304+H304-K304)</x:f>
        <x:v>0</x:v>
      </x:c>
      <x:c r="M304" s="8" t="n">
        <x:f>MAX(0,F304+I304-MAX(0,K304-E304-H304))</x:f>
        <x:v>0</x:v>
      </x:c>
      <x:c r="N304" s="8" t="n">
        <x:f>MAX(0,G304+J304-K304)</x:f>
        <x:v>253.99490759753596</x:v>
      </x:c>
      <x:c r="O304" s="8" t="n">
        <x:f>SUM(L304:N304)</x:f>
        <x:v>253.99490759753596</x:v>
      </x:c>
      <x:c r="P304" s="14" t="n">
        <x:f>'Current inventory'!V52</x:f>
        <x:v>0.1383</x:v>
      </x:c>
      <x:c r="Q304" s="14" t="str">
        <x:f>'Current inventory'!W52</x:f>
        <x:v>n.a.</x:v>
      </x:c>
      <x:c r="R304" s="10" t="n">
        <x:f>L304*P304</x:f>
        <x:v>0</x:v>
      </x:c>
      <x:c r="S304" s="10" t="n">
        <x:f>M304*P304</x:f>
        <x:v>0</x:v>
      </x:c>
      <x:c r="T304" s="10" t="n">
        <x:f>N304*P304</x:f>
        <x:v>35.127495720739226</x:v>
      </x:c>
      <x:c r="U304" s="10" t="n">
        <x:f>O304*P304</x:f>
        <x:v>35.127495720739226</x:v>
      </x:c>
      <x:c r="V304" s="10" t="str">
        <x:f>IF(ISNUMBER(Q304),O304*(Q304-P304),"n.a.")</x:f>
        <x:v>n.a.</x:v>
      </x:c>
      <x:c r="W304" s="10" t="n">
        <x:f>IF(ISNUMBER(Q304),U304,0)</x:f>
        <x:v>0</x:v>
      </x:c>
      <x:c r="X304" s="8" t="n">
        <x:f>MAX(0,K304-SUM(E304:J304))</x:f>
        <x:v>0</x:v>
      </x:c>
      <x:c r="Y304" s="1" t="str">
        <x:f>IF(AND(O304&gt;0,NOT(ISNUMBER(Q304))),"No proposed replacement standard",IF(X304&gt;0,"Demand exceeds available stock",""))</x:f>
        <x:v>No proposed replacement standard</x:v>
      </x:c>
      <x:c r="Z304" s="1" t="n">
        <x:f>IF(ISNUMBER(Q304),1,0)</x:f>
        <x:v>0</x:v>
      </x:c>
    </x:row>
    <x:row r="305" ht="21" customHeight="1">
      <x:c r="A305" s="17" t="n">
        <x:f>Summary!B17</x:f>
        <x:v>46388</x:v>
      </x:c>
      <x:c r="B305" s="1" t="str">
        <x:f>'Current inventory'!A53</x:f>
        <x:v>10</x:v>
      </x:c>
      <x:c r="C305" s="1" t="str">
        <x:f>'Current inventory'!B53</x:f>
        <x:v>800WNAVASC</x:v>
      </x:c>
      <x:c r="D305" s="7" t="n">
        <x:f>A179</x:f>
        <x:v>46357</x:v>
      </x:c>
      <x:c r="E305" s="8" t="n">
        <x:f>L179</x:f>
        <x:v>0</x:v>
      </x:c>
      <x:c r="F305" s="8" t="n">
        <x:f>M179</x:f>
        <x:v>0</x:v>
      </x:c>
      <x:c r="G305" s="8" t="n">
        <x:f>N179</x:f>
        <x:v>670.972977412731</x:v>
      </x:c>
      <x:c r="H305" s="8" t="n">
        <x:f>SUMIFS('PO detail'!$U$2:$U$672,'PO detail'!$A$2:$A$672,B305,'PO detail'!$B$2:$B$672,C305,'PO detail'!$G$2:$G$672,"&gt;="&amp;D305,'PO detail'!$G$2:$G$672,"&lt;"&amp;A305)</x:f>
        <x:v>0</x:v>
      </x:c>
      <x:c r="I305" s="8" t="n">
        <x:f>SUMIFS('PO detail'!$V$2:$V$672,'PO detail'!$A$2:$A$672,B305,'PO detail'!$B$2:$B$672,C305,'PO detail'!$G$2:$G$672,"&gt;="&amp;D305,'PO detail'!$G$2:$G$672,"&lt;"&amp;A305)</x:f>
        <x:v>0</x:v>
      </x:c>
      <x:c r="J305" s="8" t="n">
        <x:f>SUMIFS('PO detail'!$W$2:$W$672,'PO detail'!$A$2:$A$672,B305,'PO detail'!$B$2:$B$672,C305,'PO detail'!$G$2:$G$672,"&gt;="&amp;D305,'PO detail'!$G$2:$G$672,"&lt;"&amp;A305)</x:f>
        <x:v>0</x:v>
      </x:c>
      <x:c r="K305" s="8" t="n">
        <x:f>'Current inventory'!E53*Summary!$D$6*(A305-D305)/30.4375</x:f>
        <x:v>16.978069815195074</x:v>
      </x:c>
      <x:c r="L305" s="8" t="n">
        <x:f>MAX(0,E305+H305-K305)</x:f>
        <x:v>0</x:v>
      </x:c>
      <x:c r="M305" s="8" t="n">
        <x:f>MAX(0,F305+I305-MAX(0,K305-E305-H305))</x:f>
        <x:v>0</x:v>
      </x:c>
      <x:c r="N305" s="8" t="n">
        <x:f>MAX(0,G305+J305-K305)</x:f>
        <x:v>653.9949075975359</x:v>
      </x:c>
      <x:c r="O305" s="8" t="n">
        <x:f>SUM(L305:N305)</x:f>
        <x:v>653.9949075975359</x:v>
      </x:c>
      <x:c r="P305" s="14" t="n">
        <x:f>'Current inventory'!V53</x:f>
        <x:v>0.13570000000000002</x:v>
      </x:c>
      <x:c r="Q305" s="14" t="str">
        <x:f>'Current inventory'!W53</x:f>
        <x:v>n.a.</x:v>
      </x:c>
      <x:c r="R305" s="10" t="n">
        <x:f>L305*P305</x:f>
        <x:v>0</x:v>
      </x:c>
      <x:c r="S305" s="10" t="n">
        <x:f>M305*P305</x:f>
        <x:v>0</x:v>
      </x:c>
      <x:c r="T305" s="10" t="n">
        <x:f>N305*P305</x:f>
        <x:v>88.74710896098563</x:v>
      </x:c>
      <x:c r="U305" s="10" t="n">
        <x:f>O305*P305</x:f>
        <x:v>88.74710896098563</x:v>
      </x:c>
      <x:c r="V305" s="10" t="str">
        <x:f>IF(ISNUMBER(Q305),O305*(Q305-P305),"n.a.")</x:f>
        <x:v>n.a.</x:v>
      </x:c>
      <x:c r="W305" s="10" t="n">
        <x:f>IF(ISNUMBER(Q305),U305,0)</x:f>
        <x:v>0</x:v>
      </x:c>
      <x:c r="X305" s="8" t="n">
        <x:f>MAX(0,K305-SUM(E305:J305))</x:f>
        <x:v>0</x:v>
      </x:c>
      <x:c r="Y305" s="1" t="str">
        <x:f>IF(AND(O305&gt;0,NOT(ISNUMBER(Q305))),"No proposed replacement standard",IF(X305&gt;0,"Demand exceeds available stock",""))</x:f>
        <x:v>No proposed replacement standard</x:v>
      </x:c>
      <x:c r="Z305" s="1" t="n">
        <x:f>IF(ISNUMBER(Q305),1,0)</x:f>
        <x:v>0</x:v>
      </x:c>
    </x:row>
    <x:row r="306" ht="21" customHeight="1">
      <x:c r="A306" s="17" t="n">
        <x:f>Summary!B17</x:f>
        <x:v>46388</x:v>
      </x:c>
      <x:c r="B306" s="1" t="str">
        <x:f>'Current inventory'!A54</x:f>
        <x:v>30</x:v>
      </x:c>
      <x:c r="C306" s="1" t="str">
        <x:f>'Current inventory'!B54</x:f>
        <x:v>800BMARDSC</x:v>
      </x:c>
      <x:c r="D306" s="7" t="n">
        <x:f>A180</x:f>
        <x:v>46357</x:v>
      </x:c>
      <x:c r="E306" s="8" t="n">
        <x:f>L180</x:f>
        <x:v>0</x:v>
      </x:c>
      <x:c r="F306" s="8" t="n">
        <x:f>M180</x:f>
        <x:v>0</x:v>
      </x:c>
      <x:c r="G306" s="8" t="n">
        <x:f>N180</x:f>
        <x:v>2670.9729774127313</x:v>
      </x:c>
      <x:c r="H306" s="8" t="n">
        <x:f>SUMIFS('PO detail'!$U$2:$U$672,'PO detail'!$A$2:$A$672,B306,'PO detail'!$B$2:$B$672,C306,'PO detail'!$G$2:$G$672,"&gt;="&amp;D306,'PO detail'!$G$2:$G$672,"&lt;"&amp;A306)</x:f>
        <x:v>0</x:v>
      </x:c>
      <x:c r="I306" s="8" t="n">
        <x:f>SUMIFS('PO detail'!$V$2:$V$672,'PO detail'!$A$2:$A$672,B306,'PO detail'!$B$2:$B$672,C306,'PO detail'!$G$2:$G$672,"&gt;="&amp;D306,'PO detail'!$G$2:$G$672,"&lt;"&amp;A306)</x:f>
        <x:v>0</x:v>
      </x:c>
      <x:c r="J306" s="8" t="n">
        <x:f>SUMIFS('PO detail'!$W$2:$W$672,'PO detail'!$A$2:$A$672,B306,'PO detail'!$B$2:$B$672,C306,'PO detail'!$G$2:$G$672,"&gt;="&amp;D306,'PO detail'!$G$2:$G$672,"&lt;"&amp;A306)</x:f>
        <x:v>0</x:v>
      </x:c>
      <x:c r="K306" s="8" t="n">
        <x:f>'Current inventory'!E54*Summary!$D$6*(A306-D306)/30.4375</x:f>
        <x:v>16.978069815195074</x:v>
      </x:c>
      <x:c r="L306" s="8" t="n">
        <x:f>MAX(0,E306+H306-K306)</x:f>
        <x:v>0</x:v>
      </x:c>
      <x:c r="M306" s="8" t="n">
        <x:f>MAX(0,F306+I306-MAX(0,K306-E306-H306))</x:f>
        <x:v>0</x:v>
      </x:c>
      <x:c r="N306" s="8" t="n">
        <x:f>MAX(0,G306+J306-K306)</x:f>
        <x:v>2653.9949075975364</x:v>
      </x:c>
      <x:c r="O306" s="8" t="n">
        <x:f>SUM(L306:N306)</x:f>
        <x:v>2653.9949075975364</x:v>
      </x:c>
      <x:c r="P306" s="14" t="n">
        <x:f>'Current inventory'!V54</x:f>
        <x:v>0.3998</x:v>
      </x:c>
      <x:c r="Q306" s="14" t="str">
        <x:f>'Current inventory'!W54</x:f>
        <x:v>n.a.</x:v>
      </x:c>
      <x:c r="R306" s="10" t="n">
        <x:f>L306*P306</x:f>
        <x:v>0</x:v>
      </x:c>
      <x:c r="S306" s="10" t="n">
        <x:f>M306*P306</x:f>
        <x:v>0</x:v>
      </x:c>
      <x:c r="T306" s="10" t="n">
        <x:f>N306*P306</x:f>
        <x:v>1061.0671640574951</x:v>
      </x:c>
      <x:c r="U306" s="10" t="n">
        <x:f>O306*P306</x:f>
        <x:v>1061.0671640574951</x:v>
      </x:c>
      <x:c r="V306" s="10" t="str">
        <x:f>IF(ISNUMBER(Q306),O306*(Q306-P306),"n.a.")</x:f>
        <x:v>n.a.</x:v>
      </x:c>
      <x:c r="W306" s="10" t="n">
        <x:f>IF(ISNUMBER(Q306),U306,0)</x:f>
        <x:v>0</x:v>
      </x:c>
      <x:c r="X306" s="8" t="n">
        <x:f>MAX(0,K306-SUM(E306:J306))</x:f>
        <x:v>0</x:v>
      </x:c>
      <x:c r="Y306" s="1" t="str">
        <x:f>IF(AND(O306&gt;0,NOT(ISNUMBER(Q306))),"No proposed replacement standard",IF(X306&gt;0,"Demand exceeds available stock",""))</x:f>
        <x:v>No proposed replacement standard</x:v>
      </x:c>
      <x:c r="Z306" s="1" t="n">
        <x:f>IF(ISNUMBER(Q306),1,0)</x:f>
        <x:v>0</x:v>
      </x:c>
    </x:row>
    <x:row r="307" ht="21" customHeight="1">
      <x:c r="A307" s="17" t="n">
        <x:f>Summary!B17</x:f>
        <x:v>46388</x:v>
      </x:c>
      <x:c r="B307" s="1" t="str">
        <x:f>'Current inventory'!A55</x:f>
        <x:v>60</x:v>
      </x:c>
      <x:c r="C307" s="1" t="str">
        <x:f>'Current inventory'!B55</x:f>
        <x:v>800WNAVASC</x:v>
      </x:c>
      <x:c r="D307" s="7" t="n">
        <x:f>A181</x:f>
        <x:v>46357</x:v>
      </x:c>
      <x:c r="E307" s="8" t="n">
        <x:f>L181</x:f>
        <x:v>0</x:v>
      </x:c>
      <x:c r="F307" s="8" t="n">
        <x:f>M181</x:f>
        <x:v>0</x:v>
      </x:c>
      <x:c r="G307" s="8" t="n">
        <x:f>N181</x:f>
        <x:v>970.972977412731</x:v>
      </x:c>
      <x:c r="H307" s="8" t="n">
        <x:f>SUMIFS('PO detail'!$U$2:$U$672,'PO detail'!$A$2:$A$672,B307,'PO detail'!$B$2:$B$672,C307,'PO detail'!$G$2:$G$672,"&gt;="&amp;D307,'PO detail'!$G$2:$G$672,"&lt;"&amp;A307)</x:f>
        <x:v>0</x:v>
      </x:c>
      <x:c r="I307" s="8" t="n">
        <x:f>SUMIFS('PO detail'!$V$2:$V$672,'PO detail'!$A$2:$A$672,B307,'PO detail'!$B$2:$B$672,C307,'PO detail'!$G$2:$G$672,"&gt;="&amp;D307,'PO detail'!$G$2:$G$672,"&lt;"&amp;A307)</x:f>
        <x:v>0</x:v>
      </x:c>
      <x:c r="J307" s="8" t="n">
        <x:f>SUMIFS('PO detail'!$W$2:$W$672,'PO detail'!$A$2:$A$672,B307,'PO detail'!$B$2:$B$672,C307,'PO detail'!$G$2:$G$672,"&gt;="&amp;D307,'PO detail'!$G$2:$G$672,"&lt;"&amp;A307)</x:f>
        <x:v>0</x:v>
      </x:c>
      <x:c r="K307" s="8" t="n">
        <x:f>'Current inventory'!E55*Summary!$D$6*(A307-D307)/30.4375</x:f>
        <x:v>16.978069815195074</x:v>
      </x:c>
      <x:c r="L307" s="8" t="n">
        <x:f>MAX(0,E307+H307-K307)</x:f>
        <x:v>0</x:v>
      </x:c>
      <x:c r="M307" s="8" t="n">
        <x:f>MAX(0,F307+I307-MAX(0,K307-E307-H307))</x:f>
        <x:v>0</x:v>
      </x:c>
      <x:c r="N307" s="8" t="n">
        <x:f>MAX(0,G307+J307-K307)</x:f>
        <x:v>953.9949075975359</x:v>
      </x:c>
      <x:c r="O307" s="8" t="n">
        <x:f>SUM(L307:N307)</x:f>
        <x:v>953.9949075975359</x:v>
      </x:c>
      <x:c r="P307" s="14" t="n">
        <x:f>'Current inventory'!V55</x:f>
        <x:v>0.13570000000000002</x:v>
      </x:c>
      <x:c r="Q307" s="14" t="str">
        <x:f>'Current inventory'!W55</x:f>
        <x:v>n.a.</x:v>
      </x:c>
      <x:c r="R307" s="10" t="n">
        <x:f>L307*P307</x:f>
        <x:v>0</x:v>
      </x:c>
      <x:c r="S307" s="10" t="n">
        <x:f>M307*P307</x:f>
        <x:v>0</x:v>
      </x:c>
      <x:c r="T307" s="10" t="n">
        <x:f>N307*P307</x:f>
        <x:v>129.45710896098564</x:v>
      </x:c>
      <x:c r="U307" s="10" t="n">
        <x:f>O307*P307</x:f>
        <x:v>129.45710896098564</x:v>
      </x:c>
      <x:c r="V307" s="10" t="str">
        <x:f>IF(ISNUMBER(Q307),O307*(Q307-P307),"n.a.")</x:f>
        <x:v>n.a.</x:v>
      </x:c>
      <x:c r="W307" s="10" t="n">
        <x:f>IF(ISNUMBER(Q307),U307,0)</x:f>
        <x:v>0</x:v>
      </x:c>
      <x:c r="X307" s="8" t="n">
        <x:f>MAX(0,K307-SUM(E307:J307))</x:f>
        <x:v>0</x:v>
      </x:c>
      <x:c r="Y307" s="1" t="str">
        <x:f>IF(AND(O307&gt;0,NOT(ISNUMBER(Q307))),"No proposed replacement standard",IF(X307&gt;0,"Demand exceeds available stock",""))</x:f>
        <x:v>No proposed replacement standard</x:v>
      </x:c>
      <x:c r="Z307" s="1" t="n">
        <x:f>IF(ISNUMBER(Q307),1,0)</x:f>
        <x:v>0</x:v>
      </x:c>
    </x:row>
    <x:row r="308" ht="21" customHeight="1">
      <x:c r="A308" s="17" t="n">
        <x:f>Summary!B17</x:f>
        <x:v>46388</x:v>
      </x:c>
      <x:c r="B308" s="1" t="str">
        <x:f>'Current inventory'!A56</x:f>
        <x:v>60</x:v>
      </x:c>
      <x:c r="C308" s="1" t="str">
        <x:f>'Current inventory'!B56</x:f>
        <x:v>800BMARDSC</x:v>
      </x:c>
      <x:c r="D308" s="7" t="n">
        <x:f>A182</x:f>
        <x:v>46357</x:v>
      </x:c>
      <x:c r="E308" s="8" t="n">
        <x:f>L182</x:f>
        <x:v>0</x:v>
      </x:c>
      <x:c r="F308" s="8" t="n">
        <x:f>M182</x:f>
        <x:v>0</x:v>
      </x:c>
      <x:c r="G308" s="8" t="n">
        <x:f>N182</x:f>
        <x:v>585.4951950718686</x:v>
      </x:c>
      <x:c r="H308" s="8" t="n">
        <x:f>SUMIFS('PO detail'!$U$2:$U$672,'PO detail'!$A$2:$A$672,B308,'PO detail'!$B$2:$B$672,C308,'PO detail'!$G$2:$G$672,"&gt;="&amp;D308,'PO detail'!$G$2:$G$672,"&lt;"&amp;A308)</x:f>
        <x:v>0</x:v>
      </x:c>
      <x:c r="I308" s="8" t="n">
        <x:f>SUMIFS('PO detail'!$V$2:$V$672,'PO detail'!$A$2:$A$672,B308,'PO detail'!$B$2:$B$672,C308,'PO detail'!$G$2:$G$672,"&gt;="&amp;D308,'PO detail'!$G$2:$G$672,"&lt;"&amp;A308)</x:f>
        <x:v>0</x:v>
      </x:c>
      <x:c r="J308" s="8" t="n">
        <x:f>SUMIFS('PO detail'!$W$2:$W$672,'PO detail'!$A$2:$A$672,B308,'PO detail'!$B$2:$B$672,C308,'PO detail'!$G$2:$G$672,"&gt;="&amp;D308,'PO detail'!$G$2:$G$672,"&lt;"&amp;A308)</x:f>
        <x:v>0</x:v>
      </x:c>
      <x:c r="K308" s="8" t="n">
        <x:f>'Current inventory'!E56*Summary!$D$6*(A308-D308)/30.4375</x:f>
        <x:v>8.48394250513347</x:v>
      </x:c>
      <x:c r="L308" s="8" t="n">
        <x:f>MAX(0,E308+H308-K308)</x:f>
        <x:v>0</x:v>
      </x:c>
      <x:c r="M308" s="8" t="n">
        <x:f>MAX(0,F308+I308-MAX(0,K308-E308-H308))</x:f>
        <x:v>0</x:v>
      </x:c>
      <x:c r="N308" s="8" t="n">
        <x:f>MAX(0,G308+J308-K308)</x:f>
        <x:v>577.0112525667352</x:v>
      </x:c>
      <x:c r="O308" s="8" t="n">
        <x:f>SUM(L308:N308)</x:f>
        <x:v>577.0112525667352</x:v>
      </x:c>
      <x:c r="P308" s="14" t="n">
        <x:f>'Current inventory'!V56</x:f>
        <x:v>0.3998</x:v>
      </x:c>
      <x:c r="Q308" s="14" t="str">
        <x:f>'Current inventory'!W56</x:f>
        <x:v>n.a.</x:v>
      </x:c>
      <x:c r="R308" s="10" t="n">
        <x:f>L308*P308</x:f>
        <x:v>0</x:v>
      </x:c>
      <x:c r="S308" s="10" t="n">
        <x:f>M308*P308</x:f>
        <x:v>0</x:v>
      </x:c>
      <x:c r="T308" s="10" t="n">
        <x:f>N308*P308</x:f>
        <x:v>230.6890987761807</x:v>
      </x:c>
      <x:c r="U308" s="10" t="n">
        <x:f>O308*P308</x:f>
        <x:v>230.6890987761807</x:v>
      </x:c>
      <x:c r="V308" s="10" t="str">
        <x:f>IF(ISNUMBER(Q308),O308*(Q308-P308),"n.a.")</x:f>
        <x:v>n.a.</x:v>
      </x:c>
      <x:c r="W308" s="10" t="n">
        <x:f>IF(ISNUMBER(Q308),U308,0)</x:f>
        <x:v>0</x:v>
      </x:c>
      <x:c r="X308" s="8" t="n">
        <x:f>MAX(0,K308-SUM(E308:J308))</x:f>
        <x:v>0</x:v>
      </x:c>
      <x:c r="Y308" s="1" t="str">
        <x:f>IF(AND(O308&gt;0,NOT(ISNUMBER(Q308))),"No proposed replacement standard",IF(X308&gt;0,"Demand exceeds available stock",""))</x:f>
        <x:v>No proposed replacement standard</x:v>
      </x:c>
      <x:c r="Z308" s="1" t="n">
        <x:f>IF(ISNUMBER(Q308),1,0)</x:f>
        <x:v>0</x:v>
      </x:c>
    </x:row>
    <x:row r="309" ht="21" customHeight="1">
      <x:c r="A309" s="17" t="n">
        <x:f>Summary!B17</x:f>
        <x:v>46388</x:v>
      </x:c>
      <x:c r="B309" s="1" t="str">
        <x:f>'Current inventory'!A57</x:f>
        <x:v>10</x:v>
      </x:c>
      <x:c r="C309" s="1" t="str">
        <x:f>'Current inventory'!B57</x:f>
        <x:v>800BFGASC</x:v>
      </x:c>
      <x:c r="D309" s="7" t="n">
        <x:f>A183</x:f>
        <x:v>46357</x:v>
      </x:c>
      <x:c r="E309" s="8" t="n">
        <x:f>L183</x:f>
        <x:v>0</x:v>
      </x:c>
      <x:c r="F309" s="8" t="n">
        <x:f>M183</x:f>
        <x:v>0</x:v>
      </x:c>
      <x:c r="G309" s="8" t="n">
        <x:f>N183</x:f>
        <x:v>0</x:v>
      </x:c>
      <x:c r="H309" s="8" t="n">
        <x:f>SUMIFS('PO detail'!$U$2:$U$672,'PO detail'!$A$2:$A$672,B309,'PO detail'!$B$2:$B$672,C309,'PO detail'!$G$2:$G$672,"&gt;="&amp;D309,'PO detail'!$G$2:$G$672,"&lt;"&amp;A309)</x:f>
        <x:v>0</x:v>
      </x:c>
      <x:c r="I309" s="8" t="n">
        <x:f>SUMIFS('PO detail'!$V$2:$V$672,'PO detail'!$A$2:$A$672,B309,'PO detail'!$B$2:$B$672,C309,'PO detail'!$G$2:$G$672,"&gt;="&amp;D309,'PO detail'!$G$2:$G$672,"&lt;"&amp;A309)</x:f>
        <x:v>0</x:v>
      </x:c>
      <x:c r="J309" s="8" t="n">
        <x:f>SUMIFS('PO detail'!$W$2:$W$672,'PO detail'!$A$2:$A$672,B309,'PO detail'!$B$2:$B$672,C309,'PO detail'!$G$2:$G$672,"&gt;="&amp;D309,'PO detail'!$G$2:$G$672,"&lt;"&amp;A309)</x:f>
        <x:v>0</x:v>
      </x:c>
      <x:c r="K309" s="8" t="n">
        <x:f>'Current inventory'!E57*Summary!$D$6*(A309-D309)/30.4375</x:f>
        <x:v>0</x:v>
      </x:c>
      <x:c r="L309" s="8" t="n">
        <x:f>MAX(0,E309+H309-K309)</x:f>
        <x:v>0</x:v>
      </x:c>
      <x:c r="M309" s="8" t="n">
        <x:f>MAX(0,F309+I309-MAX(0,K309-E309-H309))</x:f>
        <x:v>0</x:v>
      </x:c>
      <x:c r="N309" s="8" t="n">
        <x:f>MAX(0,G309+J309-K309)</x:f>
        <x:v>0</x:v>
      </x:c>
      <x:c r="O309" s="8" t="n">
        <x:f>SUM(L309:N309)</x:f>
        <x:v>0</x:v>
      </x:c>
      <x:c r="P309" s="14" t="n">
        <x:f>'Current inventory'!V57</x:f>
        <x:v>0.1456</x:v>
      </x:c>
      <x:c r="Q309" s="14" t="str">
        <x:f>'Current inventory'!W57</x:f>
        <x:v>n.a.</x:v>
      </x:c>
      <x:c r="R309" s="10" t="n">
        <x:f>L309*P309</x:f>
        <x:v>0</x:v>
      </x:c>
      <x:c r="S309" s="10" t="n">
        <x:f>M309*P309</x:f>
        <x:v>0</x:v>
      </x:c>
      <x:c r="T309" s="10" t="n">
        <x:f>N309*P309</x:f>
        <x:v>0</x:v>
      </x:c>
      <x:c r="U309" s="10" t="n">
        <x:f>O309*P309</x:f>
        <x:v>0</x:v>
      </x:c>
      <x:c r="V309" s="10" t="str">
        <x:f>IF(ISNUMBER(Q309),O309*(Q309-P309),"n.a.")</x:f>
        <x:v>n.a.</x:v>
      </x:c>
      <x:c r="W309" s="10" t="n">
        <x:f>IF(ISNUMBER(Q309),U309,0)</x:f>
        <x:v>0</x:v>
      </x:c>
      <x:c r="X309" s="8" t="n">
        <x:f>MAX(0,K309-SUM(E309:J309))</x:f>
        <x:v>0</x:v>
      </x:c>
      <x:c r="Y309" s="1" t="str">
        <x:f>IF(AND(O309&gt;0,NOT(ISNUMBER(Q309))),"No proposed replacement standard",IF(X309&gt;0,"Demand exceeds available stock",""))</x:f>
      </x:c>
      <x:c r="Z309" s="1" t="n">
        <x:f>IF(ISNUMBER(Q309),1,0)</x:f>
        <x:v>0</x:v>
      </x:c>
    </x:row>
    <x:row r="310" ht="21" customHeight="1">
      <x:c r="A310" s="17" t="n">
        <x:f>Summary!B17</x:f>
        <x:v>46388</x:v>
      </x:c>
      <x:c r="B310" s="1" t="str">
        <x:f>'Current inventory'!A58</x:f>
        <x:v>10</x:v>
      </x:c>
      <x:c r="C310" s="1" t="str">
        <x:f>'Current inventory'!B58</x:f>
        <x:v>800BFGBRC</x:v>
      </x:c>
      <x:c r="D310" s="7" t="n">
        <x:f>A184</x:f>
        <x:v>46357</x:v>
      </x:c>
      <x:c r="E310" s="8" t="n">
        <x:f>L184</x:f>
        <x:v>0</x:v>
      </x:c>
      <x:c r="F310" s="8" t="n">
        <x:f>M184</x:f>
        <x:v>0</x:v>
      </x:c>
      <x:c r="G310" s="8" t="n">
        <x:f>N184</x:f>
        <x:v>0</x:v>
      </x:c>
      <x:c r="H310" s="8" t="n">
        <x:f>SUMIFS('PO detail'!$U$2:$U$672,'PO detail'!$A$2:$A$672,B310,'PO detail'!$B$2:$B$672,C310,'PO detail'!$G$2:$G$672,"&gt;="&amp;D310,'PO detail'!$G$2:$G$672,"&lt;"&amp;A310)</x:f>
        <x:v>0</x:v>
      </x:c>
      <x:c r="I310" s="8" t="n">
        <x:f>SUMIFS('PO detail'!$V$2:$V$672,'PO detail'!$A$2:$A$672,B310,'PO detail'!$B$2:$B$672,C310,'PO detail'!$G$2:$G$672,"&gt;="&amp;D310,'PO detail'!$G$2:$G$672,"&lt;"&amp;A310)</x:f>
        <x:v>0</x:v>
      </x:c>
      <x:c r="J310" s="8" t="n">
        <x:f>SUMIFS('PO detail'!$W$2:$W$672,'PO detail'!$A$2:$A$672,B310,'PO detail'!$B$2:$B$672,C310,'PO detail'!$G$2:$G$672,"&gt;="&amp;D310,'PO detail'!$G$2:$G$672,"&lt;"&amp;A310)</x:f>
        <x:v>0</x:v>
      </x:c>
      <x:c r="K310" s="8" t="n">
        <x:f>'Current inventory'!E58*Summary!$D$6*(A310-D310)/30.4375</x:f>
        <x:v>0</x:v>
      </x:c>
      <x:c r="L310" s="8" t="n">
        <x:f>MAX(0,E310+H310-K310)</x:f>
        <x:v>0</x:v>
      </x:c>
      <x:c r="M310" s="8" t="n">
        <x:f>MAX(0,F310+I310-MAX(0,K310-E310-H310))</x:f>
        <x:v>0</x:v>
      </x:c>
      <x:c r="N310" s="8" t="n">
        <x:f>MAX(0,G310+J310-K310)</x:f>
        <x:v>0</x:v>
      </x:c>
      <x:c r="O310" s="8" t="n">
        <x:f>SUM(L310:N310)</x:f>
        <x:v>0</x:v>
      </x:c>
      <x:c r="P310" s="14" t="n">
        <x:f>'Current inventory'!V58</x:f>
        <x:v>0.18469999999999998</x:v>
      </x:c>
      <x:c r="Q310" s="14" t="str">
        <x:f>'Current inventory'!W58</x:f>
        <x:v>n.a.</x:v>
      </x:c>
      <x:c r="R310" s="10" t="n">
        <x:f>L310*P310</x:f>
        <x:v>0</x:v>
      </x:c>
      <x:c r="S310" s="10" t="n">
        <x:f>M310*P310</x:f>
        <x:v>0</x:v>
      </x:c>
      <x:c r="T310" s="10" t="n">
        <x:f>N310*P310</x:f>
        <x:v>0</x:v>
      </x:c>
      <x:c r="U310" s="10" t="n">
        <x:f>O310*P310</x:f>
        <x:v>0</x:v>
      </x:c>
      <x:c r="V310" s="10" t="str">
        <x:f>IF(ISNUMBER(Q310),O310*(Q310-P310),"n.a.")</x:f>
        <x:v>n.a.</x:v>
      </x:c>
      <x:c r="W310" s="10" t="n">
        <x:f>IF(ISNUMBER(Q310),U310,0)</x:f>
        <x:v>0</x:v>
      </x:c>
      <x:c r="X310" s="8" t="n">
        <x:f>MAX(0,K310-SUM(E310:J310))</x:f>
        <x:v>0</x:v>
      </x:c>
      <x:c r="Y310" s="1" t="str">
        <x:f>IF(AND(O310&gt;0,NOT(ISNUMBER(Q310))),"No proposed replacement standard",IF(X310&gt;0,"Demand exceeds available stock",""))</x:f>
      </x:c>
      <x:c r="Z310" s="1" t="n">
        <x:f>IF(ISNUMBER(Q310),1,0)</x:f>
        <x:v>0</x:v>
      </x:c>
    </x:row>
    <x:row r="311" ht="21" customHeight="1">
      <x:c r="A311" s="17" t="n">
        <x:f>Summary!B17</x:f>
        <x:v>46388</x:v>
      </x:c>
      <x:c r="B311" s="1" t="str">
        <x:f>'Current inventory'!A59</x:f>
        <x:v>10</x:v>
      </x:c>
      <x:c r="C311" s="1" t="str">
        <x:f>'Current inventory'!B59</x:f>
        <x:v>800BFGCSC</x:v>
      </x:c>
      <x:c r="D311" s="7" t="n">
        <x:f>A185</x:f>
        <x:v>46357</x:v>
      </x:c>
      <x:c r="E311" s="8" t="n">
        <x:f>L185</x:f>
        <x:v>0</x:v>
      </x:c>
      <x:c r="F311" s="8" t="n">
        <x:f>M185</x:f>
        <x:v>0</x:v>
      </x:c>
      <x:c r="G311" s="8" t="n">
        <x:f>N185</x:f>
        <x:v>0</x:v>
      </x:c>
      <x:c r="H311" s="8" t="n">
        <x:f>SUMIFS('PO detail'!$U$2:$U$672,'PO detail'!$A$2:$A$672,B311,'PO detail'!$B$2:$B$672,C311,'PO detail'!$G$2:$G$672,"&gt;="&amp;D311,'PO detail'!$G$2:$G$672,"&lt;"&amp;A311)</x:f>
        <x:v>0</x:v>
      </x:c>
      <x:c r="I311" s="8" t="n">
        <x:f>SUMIFS('PO detail'!$V$2:$V$672,'PO detail'!$A$2:$A$672,B311,'PO detail'!$B$2:$B$672,C311,'PO detail'!$G$2:$G$672,"&gt;="&amp;D311,'PO detail'!$G$2:$G$672,"&lt;"&amp;A311)</x:f>
        <x:v>0</x:v>
      </x:c>
      <x:c r="J311" s="8" t="n">
        <x:f>SUMIFS('PO detail'!$W$2:$W$672,'PO detail'!$A$2:$A$672,B311,'PO detail'!$B$2:$B$672,C311,'PO detail'!$G$2:$G$672,"&gt;="&amp;D311,'PO detail'!$G$2:$G$672,"&lt;"&amp;A311)</x:f>
        <x:v>0</x:v>
      </x:c>
      <x:c r="K311" s="8" t="n">
        <x:f>'Current inventory'!E59*Summary!$D$6*(A311-D311)/30.4375</x:f>
        <x:v>0</x:v>
      </x:c>
      <x:c r="L311" s="8" t="n">
        <x:f>MAX(0,E311+H311-K311)</x:f>
        <x:v>0</x:v>
      </x:c>
      <x:c r="M311" s="8" t="n">
        <x:f>MAX(0,F311+I311-MAX(0,K311-E311-H311))</x:f>
        <x:v>0</x:v>
      </x:c>
      <x:c r="N311" s="8" t="n">
        <x:f>MAX(0,G311+J311-K311)</x:f>
        <x:v>0</x:v>
      </x:c>
      <x:c r="O311" s="8" t="n">
        <x:f>SUM(L311:N311)</x:f>
        <x:v>0</x:v>
      </x:c>
      <x:c r="P311" s="14" t="n">
        <x:f>'Current inventory'!V59</x:f>
        <x:v>0.21559999999999999</x:v>
      </x:c>
      <x:c r="Q311" s="14" t="str">
        <x:f>'Current inventory'!W59</x:f>
        <x:v>n.a.</x:v>
      </x:c>
      <x:c r="R311" s="10" t="n">
        <x:f>L311*P311</x:f>
        <x:v>0</x:v>
      </x:c>
      <x:c r="S311" s="10" t="n">
        <x:f>M311*P311</x:f>
        <x:v>0</x:v>
      </x:c>
      <x:c r="T311" s="10" t="n">
        <x:f>N311*P311</x:f>
        <x:v>0</x:v>
      </x:c>
      <x:c r="U311" s="10" t="n">
        <x:f>O311*P311</x:f>
        <x:v>0</x:v>
      </x:c>
      <x:c r="V311" s="10" t="str">
        <x:f>IF(ISNUMBER(Q311),O311*(Q311-P311),"n.a.")</x:f>
        <x:v>n.a.</x:v>
      </x:c>
      <x:c r="W311" s="10" t="n">
        <x:f>IF(ISNUMBER(Q311),U311,0)</x:f>
        <x:v>0</x:v>
      </x:c>
      <x:c r="X311" s="8" t="n">
        <x:f>MAX(0,K311-SUM(E311:J311))</x:f>
        <x:v>0</x:v>
      </x:c>
      <x:c r="Y311" s="1" t="str">
        <x:f>IF(AND(O311&gt;0,NOT(ISNUMBER(Q311))),"No proposed replacement standard",IF(X311&gt;0,"Demand exceeds available stock",""))</x:f>
      </x:c>
      <x:c r="Z311" s="1" t="n">
        <x:f>IF(ISNUMBER(Q311),1,0)</x:f>
        <x:v>0</x:v>
      </x:c>
    </x:row>
    <x:row r="312" ht="21" customHeight="1">
      <x:c r="A312" s="17" t="n">
        <x:f>Summary!B17</x:f>
        <x:v>46388</x:v>
      </x:c>
      <x:c r="B312" s="1" t="str">
        <x:f>'Current inventory'!A60</x:f>
        <x:v>10</x:v>
      </x:c>
      <x:c r="C312" s="1" t="str">
        <x:f>'Current inventory'!B60</x:f>
        <x:v>800BFGDSC</x:v>
      </x:c>
      <x:c r="D312" s="7" t="n">
        <x:f>A186</x:f>
        <x:v>46357</x:v>
      </x:c>
      <x:c r="E312" s="8" t="n">
        <x:f>L186</x:f>
        <x:v>0</x:v>
      </x:c>
      <x:c r="F312" s="8" t="n">
        <x:f>M186</x:f>
        <x:v>0</x:v>
      </x:c>
      <x:c r="G312" s="8" t="n">
        <x:f>N186</x:f>
        <x:v>0</x:v>
      </x:c>
      <x:c r="H312" s="8" t="n">
        <x:f>SUMIFS('PO detail'!$U$2:$U$672,'PO detail'!$A$2:$A$672,B312,'PO detail'!$B$2:$B$672,C312,'PO detail'!$G$2:$G$672,"&gt;="&amp;D312,'PO detail'!$G$2:$G$672,"&lt;"&amp;A312)</x:f>
        <x:v>0</x:v>
      </x:c>
      <x:c r="I312" s="8" t="n">
        <x:f>SUMIFS('PO detail'!$V$2:$V$672,'PO detail'!$A$2:$A$672,B312,'PO detail'!$B$2:$B$672,C312,'PO detail'!$G$2:$G$672,"&gt;="&amp;D312,'PO detail'!$G$2:$G$672,"&lt;"&amp;A312)</x:f>
        <x:v>0</x:v>
      </x:c>
      <x:c r="J312" s="8" t="n">
        <x:f>SUMIFS('PO detail'!$W$2:$W$672,'PO detail'!$A$2:$A$672,B312,'PO detail'!$B$2:$B$672,C312,'PO detail'!$G$2:$G$672,"&gt;="&amp;D312,'PO detail'!$G$2:$G$672,"&lt;"&amp;A312)</x:f>
        <x:v>0</x:v>
      </x:c>
      <x:c r="K312" s="8" t="n">
        <x:f>'Current inventory'!E60*Summary!$D$6*(A312-D312)/30.4375</x:f>
        <x:v>0</x:v>
      </x:c>
      <x:c r="L312" s="8" t="n">
        <x:f>MAX(0,E312+H312-K312)</x:f>
        <x:v>0</x:v>
      </x:c>
      <x:c r="M312" s="8" t="n">
        <x:f>MAX(0,F312+I312-MAX(0,K312-E312-H312))</x:f>
        <x:v>0</x:v>
      </x:c>
      <x:c r="N312" s="8" t="n">
        <x:f>MAX(0,G312+J312-K312)</x:f>
        <x:v>0</x:v>
      </x:c>
      <x:c r="O312" s="8" t="n">
        <x:f>SUM(L312:N312)</x:f>
        <x:v>0</x:v>
      </x:c>
      <x:c r="P312" s="14" t="n">
        <x:f>'Current inventory'!V60</x:f>
        <x:v>0.38</x:v>
      </x:c>
      <x:c r="Q312" s="14" t="str">
        <x:f>'Current inventory'!W60</x:f>
        <x:v>n.a.</x:v>
      </x:c>
      <x:c r="R312" s="10" t="n">
        <x:f>L312*P312</x:f>
        <x:v>0</x:v>
      </x:c>
      <x:c r="S312" s="10" t="n">
        <x:f>M312*P312</x:f>
        <x:v>0</x:v>
      </x:c>
      <x:c r="T312" s="10" t="n">
        <x:f>N312*P312</x:f>
        <x:v>0</x:v>
      </x:c>
      <x:c r="U312" s="10" t="n">
        <x:f>O312*P312</x:f>
        <x:v>0</x:v>
      </x:c>
      <x:c r="V312" s="10" t="str">
        <x:f>IF(ISNUMBER(Q312),O312*(Q312-P312),"n.a.")</x:f>
        <x:v>n.a.</x:v>
      </x:c>
      <x:c r="W312" s="10" t="n">
        <x:f>IF(ISNUMBER(Q312),U312,0)</x:f>
        <x:v>0</x:v>
      </x:c>
      <x:c r="X312" s="8" t="n">
        <x:f>MAX(0,K312-SUM(E312:J312))</x:f>
        <x:v>0</x:v>
      </x:c>
      <x:c r="Y312" s="1" t="str">
        <x:f>IF(AND(O312&gt;0,NOT(ISNUMBER(Q312))),"No proposed replacement standard",IF(X312&gt;0,"Demand exceeds available stock",""))</x:f>
      </x:c>
      <x:c r="Z312" s="1" t="n">
        <x:f>IF(ISNUMBER(Q312),1,0)</x:f>
        <x:v>0</x:v>
      </x:c>
    </x:row>
    <x:row r="313" ht="21" customHeight="1">
      <x:c r="A313" s="17" t="n">
        <x:f>Summary!B17</x:f>
        <x:v>46388</x:v>
      </x:c>
      <x:c r="B313" s="1" t="str">
        <x:f>'Current inventory'!A61</x:f>
        <x:v>10</x:v>
      </x:c>
      <x:c r="C313" s="1" t="str">
        <x:f>'Current inventory'!B61</x:f>
        <x:v>800BFGISC</x:v>
      </x:c>
      <x:c r="D313" s="7" t="n">
        <x:f>A187</x:f>
        <x:v>46357</x:v>
      </x:c>
      <x:c r="E313" s="8" t="n">
        <x:f>L187</x:f>
        <x:v>0</x:v>
      </x:c>
      <x:c r="F313" s="8" t="n">
        <x:f>M187</x:f>
        <x:v>0</x:v>
      </x:c>
      <x:c r="G313" s="8" t="n">
        <x:f>N187</x:f>
        <x:v>0</x:v>
      </x:c>
      <x:c r="H313" s="8" t="n">
        <x:f>SUMIFS('PO detail'!$U$2:$U$672,'PO detail'!$A$2:$A$672,B313,'PO detail'!$B$2:$B$672,C313,'PO detail'!$G$2:$G$672,"&gt;="&amp;D313,'PO detail'!$G$2:$G$672,"&lt;"&amp;A313)</x:f>
        <x:v>0</x:v>
      </x:c>
      <x:c r="I313" s="8" t="n">
        <x:f>SUMIFS('PO detail'!$V$2:$V$672,'PO detail'!$A$2:$A$672,B313,'PO detail'!$B$2:$B$672,C313,'PO detail'!$G$2:$G$672,"&gt;="&amp;D313,'PO detail'!$G$2:$G$672,"&lt;"&amp;A313)</x:f>
        <x:v>0</x:v>
      </x:c>
      <x:c r="J313" s="8" t="n">
        <x:f>SUMIFS('PO detail'!$W$2:$W$672,'PO detail'!$A$2:$A$672,B313,'PO detail'!$B$2:$B$672,C313,'PO detail'!$G$2:$G$672,"&gt;="&amp;D313,'PO detail'!$G$2:$G$672,"&lt;"&amp;A313)</x:f>
        <x:v>0</x:v>
      </x:c>
      <x:c r="K313" s="8" t="n">
        <x:f>'Current inventory'!E61*Summary!$D$6*(A313-D313)/30.4375</x:f>
        <x:v>0</x:v>
      </x:c>
      <x:c r="L313" s="8" t="n">
        <x:f>MAX(0,E313+H313-K313)</x:f>
        <x:v>0</x:v>
      </x:c>
      <x:c r="M313" s="8" t="n">
        <x:f>MAX(0,F313+I313-MAX(0,K313-E313-H313))</x:f>
        <x:v>0</x:v>
      </x:c>
      <x:c r="N313" s="8" t="n">
        <x:f>MAX(0,G313+J313-K313)</x:f>
        <x:v>0</x:v>
      </x:c>
      <x:c r="O313" s="8" t="n">
        <x:f>SUM(L313:N313)</x:f>
        <x:v>0</x:v>
      </x:c>
      <x:c r="P313" s="14" t="n">
        <x:f>'Current inventory'!V61</x:f>
        <x:v>0.1797</x:v>
      </x:c>
      <x:c r="Q313" s="14" t="str">
        <x:f>'Current inventory'!W61</x:f>
        <x:v>n.a.</x:v>
      </x:c>
      <x:c r="R313" s="10" t="n">
        <x:f>L313*P313</x:f>
        <x:v>0</x:v>
      </x:c>
      <x:c r="S313" s="10" t="n">
        <x:f>M313*P313</x:f>
        <x:v>0</x:v>
      </x:c>
      <x:c r="T313" s="10" t="n">
        <x:f>N313*P313</x:f>
        <x:v>0</x:v>
      </x:c>
      <x:c r="U313" s="10" t="n">
        <x:f>O313*P313</x:f>
        <x:v>0</x:v>
      </x:c>
      <x:c r="V313" s="10" t="str">
        <x:f>IF(ISNUMBER(Q313),O313*(Q313-P313),"n.a.")</x:f>
        <x:v>n.a.</x:v>
      </x:c>
      <x:c r="W313" s="10" t="n">
        <x:f>IF(ISNUMBER(Q313),U313,0)</x:f>
        <x:v>0</x:v>
      </x:c>
      <x:c r="X313" s="8" t="n">
        <x:f>MAX(0,K313-SUM(E313:J313))</x:f>
        <x:v>0</x:v>
      </x:c>
      <x:c r="Y313" s="1" t="str">
        <x:f>IF(AND(O313&gt;0,NOT(ISNUMBER(Q313))),"No proposed replacement standard",IF(X313&gt;0,"Demand exceeds available stock",""))</x:f>
      </x:c>
      <x:c r="Z313" s="1" t="n">
        <x:f>IF(ISNUMBER(Q313),1,0)</x:f>
        <x:v>0</x:v>
      </x:c>
    </x:row>
    <x:row r="314" ht="21" customHeight="1">
      <x:c r="A314" s="17" t="n">
        <x:f>Summary!B17</x:f>
        <x:v>46388</x:v>
      </x:c>
      <x:c r="B314" s="1" t="str">
        <x:f>'Current inventory'!A62</x:f>
        <x:v>10</x:v>
      </x:c>
      <x:c r="C314" s="1" t="str">
        <x:f>'Current inventory'!B62</x:f>
        <x:v>800BLKF</x:v>
      </x:c>
      <x:c r="D314" s="7" t="n">
        <x:f>A188</x:f>
        <x:v>46357</x:v>
      </x:c>
      <x:c r="E314" s="8" t="n">
        <x:f>L188</x:f>
        <x:v>0</x:v>
      </x:c>
      <x:c r="F314" s="8" t="n">
        <x:f>M188</x:f>
        <x:v>0</x:v>
      </x:c>
      <x:c r="G314" s="8" t="n">
        <x:f>N188</x:f>
        <x:v>0</x:v>
      </x:c>
      <x:c r="H314" s="8" t="n">
        <x:f>SUMIFS('PO detail'!$U$2:$U$672,'PO detail'!$A$2:$A$672,B314,'PO detail'!$B$2:$B$672,C314,'PO detail'!$G$2:$G$672,"&gt;="&amp;D314,'PO detail'!$G$2:$G$672,"&lt;"&amp;A314)</x:f>
        <x:v>0</x:v>
      </x:c>
      <x:c r="I314" s="8" t="n">
        <x:f>SUMIFS('PO detail'!$V$2:$V$672,'PO detail'!$A$2:$A$672,B314,'PO detail'!$B$2:$B$672,C314,'PO detail'!$G$2:$G$672,"&gt;="&amp;D314,'PO detail'!$G$2:$G$672,"&lt;"&amp;A314)</x:f>
        <x:v>0</x:v>
      </x:c>
      <x:c r="J314" s="8" t="n">
        <x:f>SUMIFS('PO detail'!$W$2:$W$672,'PO detail'!$A$2:$A$672,B314,'PO detail'!$B$2:$B$672,C314,'PO detail'!$G$2:$G$672,"&gt;="&amp;D314,'PO detail'!$G$2:$G$672,"&lt;"&amp;A314)</x:f>
        <x:v>0</x:v>
      </x:c>
      <x:c r="K314" s="8" t="n">
        <x:f>'Current inventory'!E62*Summary!$D$6*(A314-D314)/30.4375</x:f>
        <x:v>0</x:v>
      </x:c>
      <x:c r="L314" s="8" t="n">
        <x:f>MAX(0,E314+H314-K314)</x:f>
        <x:v>0</x:v>
      </x:c>
      <x:c r="M314" s="8" t="n">
        <x:f>MAX(0,F314+I314-MAX(0,K314-E314-H314))</x:f>
        <x:v>0</x:v>
      </x:c>
      <x:c r="N314" s="8" t="n">
        <x:f>MAX(0,G314+J314-K314)</x:f>
        <x:v>0</x:v>
      </x:c>
      <x:c r="O314" s="8" t="n">
        <x:f>SUM(L314:N314)</x:f>
        <x:v>0</x:v>
      </x:c>
      <x:c r="P314" s="14" t="n">
        <x:f>'Current inventory'!V62</x:f>
        <x:v>7.03</x:v>
      </x:c>
      <x:c r="Q314" s="14" t="str">
        <x:f>'Current inventory'!W62</x:f>
        <x:v>n.a.</x:v>
      </x:c>
      <x:c r="R314" s="10" t="n">
        <x:f>L314*P314</x:f>
        <x:v>0</x:v>
      </x:c>
      <x:c r="S314" s="10" t="n">
        <x:f>M314*P314</x:f>
        <x:v>0</x:v>
      </x:c>
      <x:c r="T314" s="10" t="n">
        <x:f>N314*P314</x:f>
        <x:v>0</x:v>
      </x:c>
      <x:c r="U314" s="10" t="n">
        <x:f>O314*P314</x:f>
        <x:v>0</x:v>
      </x:c>
      <x:c r="V314" s="10" t="str">
        <x:f>IF(ISNUMBER(Q314),O314*(Q314-P314),"n.a.")</x:f>
        <x:v>n.a.</x:v>
      </x:c>
      <x:c r="W314" s="10" t="n">
        <x:f>IF(ISNUMBER(Q314),U314,0)</x:f>
        <x:v>0</x:v>
      </x:c>
      <x:c r="X314" s="8" t="n">
        <x:f>MAX(0,K314-SUM(E314:J314))</x:f>
        <x:v>0</x:v>
      </x:c>
      <x:c r="Y314" s="1" t="str">
        <x:f>IF(AND(O314&gt;0,NOT(ISNUMBER(Q314))),"No proposed replacement standard",IF(X314&gt;0,"Demand exceeds available stock",""))</x:f>
      </x:c>
      <x:c r="Z314" s="1" t="n">
        <x:f>IF(ISNUMBER(Q314),1,0)</x:f>
        <x:v>0</x:v>
      </x:c>
    </x:row>
    <x:row r="315" ht="21" customHeight="1">
      <x:c r="A315" s="17" t="n">
        <x:f>Summary!B17</x:f>
        <x:v>46388</x:v>
      </x:c>
      <x:c r="B315" s="1" t="str">
        <x:f>'Current inventory'!A63</x:f>
        <x:v>10</x:v>
      </x:c>
      <x:c r="C315" s="1" t="str">
        <x:f>'Current inventory'!B63</x:f>
        <x:v>800BWHTASC</x:v>
      </x:c>
      <x:c r="D315" s="7" t="n">
        <x:f>A189</x:f>
        <x:v>46357</x:v>
      </x:c>
      <x:c r="E315" s="8" t="n">
        <x:f>L189</x:f>
        <x:v>0</x:v>
      </x:c>
      <x:c r="F315" s="8" t="n">
        <x:f>M189</x:f>
        <x:v>0</x:v>
      </x:c>
      <x:c r="G315" s="8" t="n">
        <x:f>N189</x:f>
        <x:v>0</x:v>
      </x:c>
      <x:c r="H315" s="8" t="n">
        <x:f>SUMIFS('PO detail'!$U$2:$U$672,'PO detail'!$A$2:$A$672,B315,'PO detail'!$B$2:$B$672,C315,'PO detail'!$G$2:$G$672,"&gt;="&amp;D315,'PO detail'!$G$2:$G$672,"&lt;"&amp;A315)</x:f>
        <x:v>0</x:v>
      </x:c>
      <x:c r="I315" s="8" t="n">
        <x:f>SUMIFS('PO detail'!$V$2:$V$672,'PO detail'!$A$2:$A$672,B315,'PO detail'!$B$2:$B$672,C315,'PO detail'!$G$2:$G$672,"&gt;="&amp;D315,'PO detail'!$G$2:$G$672,"&lt;"&amp;A315)</x:f>
        <x:v>0</x:v>
      </x:c>
      <x:c r="J315" s="8" t="n">
        <x:f>SUMIFS('PO detail'!$W$2:$W$672,'PO detail'!$A$2:$A$672,B315,'PO detail'!$B$2:$B$672,C315,'PO detail'!$G$2:$G$672,"&gt;="&amp;D315,'PO detail'!$G$2:$G$672,"&lt;"&amp;A315)</x:f>
        <x:v>0</x:v>
      </x:c>
      <x:c r="K315" s="8" t="n">
        <x:f>'Current inventory'!E63*Summary!$D$6*(A315-D315)/30.4375</x:f>
        <x:v>0</x:v>
      </x:c>
      <x:c r="L315" s="8" t="n">
        <x:f>MAX(0,E315+H315-K315)</x:f>
        <x:v>0</x:v>
      </x:c>
      <x:c r="M315" s="8" t="n">
        <x:f>MAX(0,F315+I315-MAX(0,K315-E315-H315))</x:f>
        <x:v>0</x:v>
      </x:c>
      <x:c r="N315" s="8" t="n">
        <x:f>MAX(0,G315+J315-K315)</x:f>
        <x:v>0</x:v>
      </x:c>
      <x:c r="O315" s="8" t="n">
        <x:f>SUM(L315:N315)</x:f>
        <x:v>0</x:v>
      </x:c>
      <x:c r="P315" s="14" t="n">
        <x:f>'Current inventory'!V63</x:f>
        <x:v>0.1456</x:v>
      </x:c>
      <x:c r="Q315" s="14" t="str">
        <x:f>'Current inventory'!W63</x:f>
        <x:v>n.a.</x:v>
      </x:c>
      <x:c r="R315" s="10" t="n">
        <x:f>L315*P315</x:f>
        <x:v>0</x:v>
      </x:c>
      <x:c r="S315" s="10" t="n">
        <x:f>M315*P315</x:f>
        <x:v>0</x:v>
      </x:c>
      <x:c r="T315" s="10" t="n">
        <x:f>N315*P315</x:f>
        <x:v>0</x:v>
      </x:c>
      <x:c r="U315" s="10" t="n">
        <x:f>O315*P315</x:f>
        <x:v>0</x:v>
      </x:c>
      <x:c r="V315" s="10" t="str">
        <x:f>IF(ISNUMBER(Q315),O315*(Q315-P315),"n.a.")</x:f>
        <x:v>n.a.</x:v>
      </x:c>
      <x:c r="W315" s="10" t="n">
        <x:f>IF(ISNUMBER(Q315),U315,0)</x:f>
        <x:v>0</x:v>
      </x:c>
      <x:c r="X315" s="8" t="n">
        <x:f>MAX(0,K315-SUM(E315:J315))</x:f>
        <x:v>0</x:v>
      </x:c>
      <x:c r="Y315" s="1" t="str">
        <x:f>IF(AND(O315&gt;0,NOT(ISNUMBER(Q315))),"No proposed replacement standard",IF(X315&gt;0,"Demand exceeds available stock",""))</x:f>
      </x:c>
      <x:c r="Z315" s="1" t="n">
        <x:f>IF(ISNUMBER(Q315),1,0)</x:f>
        <x:v>0</x:v>
      </x:c>
    </x:row>
    <x:row r="316" ht="21" customHeight="1">
      <x:c r="A316" s="17" t="n">
        <x:f>Summary!B17</x:f>
        <x:v>46388</x:v>
      </x:c>
      <x:c r="B316" s="1" t="str">
        <x:f>'Current inventory'!A64</x:f>
        <x:v>10</x:v>
      </x:c>
      <x:c r="C316" s="1" t="str">
        <x:f>'Current inventory'!B64</x:f>
        <x:v>800BWHTBRC</x:v>
      </x:c>
      <x:c r="D316" s="7" t="n">
        <x:f>A190</x:f>
        <x:v>46357</x:v>
      </x:c>
      <x:c r="E316" s="8" t="n">
        <x:f>L190</x:f>
        <x:v>0</x:v>
      </x:c>
      <x:c r="F316" s="8" t="n">
        <x:f>M190</x:f>
        <x:v>0</x:v>
      </x:c>
      <x:c r="G316" s="8" t="n">
        <x:f>N190</x:f>
        <x:v>0</x:v>
      </x:c>
      <x:c r="H316" s="8" t="n">
        <x:f>SUMIFS('PO detail'!$U$2:$U$672,'PO detail'!$A$2:$A$672,B316,'PO detail'!$B$2:$B$672,C316,'PO detail'!$G$2:$G$672,"&gt;="&amp;D316,'PO detail'!$G$2:$G$672,"&lt;"&amp;A316)</x:f>
        <x:v>0</x:v>
      </x:c>
      <x:c r="I316" s="8" t="n">
        <x:f>SUMIFS('PO detail'!$V$2:$V$672,'PO detail'!$A$2:$A$672,B316,'PO detail'!$B$2:$B$672,C316,'PO detail'!$G$2:$G$672,"&gt;="&amp;D316,'PO detail'!$G$2:$G$672,"&lt;"&amp;A316)</x:f>
        <x:v>0</x:v>
      </x:c>
      <x:c r="J316" s="8" t="n">
        <x:f>SUMIFS('PO detail'!$W$2:$W$672,'PO detail'!$A$2:$A$672,B316,'PO detail'!$B$2:$B$672,C316,'PO detail'!$G$2:$G$672,"&gt;="&amp;D316,'PO detail'!$G$2:$G$672,"&lt;"&amp;A316)</x:f>
        <x:v>0</x:v>
      </x:c>
      <x:c r="K316" s="8" t="n">
        <x:f>'Current inventory'!E64*Summary!$D$6*(A316-D316)/30.4375</x:f>
        <x:v>0</x:v>
      </x:c>
      <x:c r="L316" s="8" t="n">
        <x:f>MAX(0,E316+H316-K316)</x:f>
        <x:v>0</x:v>
      </x:c>
      <x:c r="M316" s="8" t="n">
        <x:f>MAX(0,F316+I316-MAX(0,K316-E316-H316))</x:f>
        <x:v>0</x:v>
      </x:c>
      <x:c r="N316" s="8" t="n">
        <x:f>MAX(0,G316+J316-K316)</x:f>
        <x:v>0</x:v>
      </x:c>
      <x:c r="O316" s="8" t="n">
        <x:f>SUM(L316:N316)</x:f>
        <x:v>0</x:v>
      </x:c>
      <x:c r="P316" s="14" t="n">
        <x:f>'Current inventory'!V64</x:f>
        <x:v>0.18469999999999998</x:v>
      </x:c>
      <x:c r="Q316" s="14" t="str">
        <x:f>'Current inventory'!W64</x:f>
        <x:v>n.a.</x:v>
      </x:c>
      <x:c r="R316" s="10" t="n">
        <x:f>L316*P316</x:f>
        <x:v>0</x:v>
      </x:c>
      <x:c r="S316" s="10" t="n">
        <x:f>M316*P316</x:f>
        <x:v>0</x:v>
      </x:c>
      <x:c r="T316" s="10" t="n">
        <x:f>N316*P316</x:f>
        <x:v>0</x:v>
      </x:c>
      <x:c r="U316" s="10" t="n">
        <x:f>O316*P316</x:f>
        <x:v>0</x:v>
      </x:c>
      <x:c r="V316" s="10" t="str">
        <x:f>IF(ISNUMBER(Q316),O316*(Q316-P316),"n.a.")</x:f>
        <x:v>n.a.</x:v>
      </x:c>
      <x:c r="W316" s="10" t="n">
        <x:f>IF(ISNUMBER(Q316),U316,0)</x:f>
        <x:v>0</x:v>
      </x:c>
      <x:c r="X316" s="8" t="n">
        <x:f>MAX(0,K316-SUM(E316:J316))</x:f>
        <x:v>0</x:v>
      </x:c>
      <x:c r="Y316" s="1" t="str">
        <x:f>IF(AND(O316&gt;0,NOT(ISNUMBER(Q316))),"No proposed replacement standard",IF(X316&gt;0,"Demand exceeds available stock",""))</x:f>
      </x:c>
      <x:c r="Z316" s="1" t="n">
        <x:f>IF(ISNUMBER(Q316),1,0)</x:f>
        <x:v>0</x:v>
      </x:c>
    </x:row>
    <x:row r="317" ht="21" customHeight="1">
      <x:c r="A317" s="17" t="n">
        <x:f>Summary!B17</x:f>
        <x:v>46388</x:v>
      </x:c>
      <x:c r="B317" s="1" t="str">
        <x:f>'Current inventory'!A65</x:f>
        <x:v>10</x:v>
      </x:c>
      <x:c r="C317" s="1" t="str">
        <x:f>'Current inventory'!B65</x:f>
        <x:v>800BWHTCSC</x:v>
      </x:c>
      <x:c r="D317" s="7" t="n">
        <x:f>A191</x:f>
        <x:v>46357</x:v>
      </x:c>
      <x:c r="E317" s="8" t="n">
        <x:f>L191</x:f>
        <x:v>0</x:v>
      </x:c>
      <x:c r="F317" s="8" t="n">
        <x:f>M191</x:f>
        <x:v>0</x:v>
      </x:c>
      <x:c r="G317" s="8" t="n">
        <x:f>N191</x:f>
        <x:v>0</x:v>
      </x:c>
      <x:c r="H317" s="8" t="n">
        <x:f>SUMIFS('PO detail'!$U$2:$U$672,'PO detail'!$A$2:$A$672,B317,'PO detail'!$B$2:$B$672,C317,'PO detail'!$G$2:$G$672,"&gt;="&amp;D317,'PO detail'!$G$2:$G$672,"&lt;"&amp;A317)</x:f>
        <x:v>0</x:v>
      </x:c>
      <x:c r="I317" s="8" t="n">
        <x:f>SUMIFS('PO detail'!$V$2:$V$672,'PO detail'!$A$2:$A$672,B317,'PO detail'!$B$2:$B$672,C317,'PO detail'!$G$2:$G$672,"&gt;="&amp;D317,'PO detail'!$G$2:$G$672,"&lt;"&amp;A317)</x:f>
        <x:v>0</x:v>
      </x:c>
      <x:c r="J317" s="8" t="n">
        <x:f>SUMIFS('PO detail'!$W$2:$W$672,'PO detail'!$A$2:$A$672,B317,'PO detail'!$B$2:$B$672,C317,'PO detail'!$G$2:$G$672,"&gt;="&amp;D317,'PO detail'!$G$2:$G$672,"&lt;"&amp;A317)</x:f>
        <x:v>0</x:v>
      </x:c>
      <x:c r="K317" s="8" t="n">
        <x:f>'Current inventory'!E65*Summary!$D$6*(A317-D317)/30.4375</x:f>
        <x:v>0</x:v>
      </x:c>
      <x:c r="L317" s="8" t="n">
        <x:f>MAX(0,E317+H317-K317)</x:f>
        <x:v>0</x:v>
      </x:c>
      <x:c r="M317" s="8" t="n">
        <x:f>MAX(0,F317+I317-MAX(0,K317-E317-H317))</x:f>
        <x:v>0</x:v>
      </x:c>
      <x:c r="N317" s="8" t="n">
        <x:f>MAX(0,G317+J317-K317)</x:f>
        <x:v>0</x:v>
      </x:c>
      <x:c r="O317" s="8" t="n">
        <x:f>SUM(L317:N317)</x:f>
        <x:v>0</x:v>
      </x:c>
      <x:c r="P317" s="14" t="n">
        <x:f>'Current inventory'!V65</x:f>
        <x:v>0.21559999999999999</x:v>
      </x:c>
      <x:c r="Q317" s="14" t="str">
        <x:f>'Current inventory'!W65</x:f>
        <x:v>n.a.</x:v>
      </x:c>
      <x:c r="R317" s="10" t="n">
        <x:f>L317*P317</x:f>
        <x:v>0</x:v>
      </x:c>
      <x:c r="S317" s="10" t="n">
        <x:f>M317*P317</x:f>
        <x:v>0</x:v>
      </x:c>
      <x:c r="T317" s="10" t="n">
        <x:f>N317*P317</x:f>
        <x:v>0</x:v>
      </x:c>
      <x:c r="U317" s="10" t="n">
        <x:f>O317*P317</x:f>
        <x:v>0</x:v>
      </x:c>
      <x:c r="V317" s="10" t="str">
        <x:f>IF(ISNUMBER(Q317),O317*(Q317-P317),"n.a.")</x:f>
        <x:v>n.a.</x:v>
      </x:c>
      <x:c r="W317" s="10" t="n">
        <x:f>IF(ISNUMBER(Q317),U317,0)</x:f>
        <x:v>0</x:v>
      </x:c>
      <x:c r="X317" s="8" t="n">
        <x:f>MAX(0,K317-SUM(E317:J317))</x:f>
        <x:v>0</x:v>
      </x:c>
      <x:c r="Y317" s="1" t="str">
        <x:f>IF(AND(O317&gt;0,NOT(ISNUMBER(Q317))),"No proposed replacement standard",IF(X317&gt;0,"Demand exceeds available stock",""))</x:f>
      </x:c>
      <x:c r="Z317" s="1" t="n">
        <x:f>IF(ISNUMBER(Q317),1,0)</x:f>
        <x:v>0</x:v>
      </x:c>
    </x:row>
    <x:row r="318" ht="21" customHeight="1">
      <x:c r="A318" s="17" t="n">
        <x:f>Summary!B17</x:f>
        <x:v>46388</x:v>
      </x:c>
      <x:c r="B318" s="1" t="str">
        <x:f>'Current inventory'!A66</x:f>
        <x:v>10</x:v>
      </x:c>
      <x:c r="C318" s="1" t="str">
        <x:f>'Current inventory'!B66</x:f>
        <x:v>800BWHTDSC</x:v>
      </x:c>
      <x:c r="D318" s="7" t="n">
        <x:f>A192</x:f>
        <x:v>46357</x:v>
      </x:c>
      <x:c r="E318" s="8" t="n">
        <x:f>L192</x:f>
        <x:v>0</x:v>
      </x:c>
      <x:c r="F318" s="8" t="n">
        <x:f>M192</x:f>
        <x:v>0</x:v>
      </x:c>
      <x:c r="G318" s="8" t="n">
        <x:f>N192</x:f>
        <x:v>0</x:v>
      </x:c>
      <x:c r="H318" s="8" t="n">
        <x:f>SUMIFS('PO detail'!$U$2:$U$672,'PO detail'!$A$2:$A$672,B318,'PO detail'!$B$2:$B$672,C318,'PO detail'!$G$2:$G$672,"&gt;="&amp;D318,'PO detail'!$G$2:$G$672,"&lt;"&amp;A318)</x:f>
        <x:v>0</x:v>
      </x:c>
      <x:c r="I318" s="8" t="n">
        <x:f>SUMIFS('PO detail'!$V$2:$V$672,'PO detail'!$A$2:$A$672,B318,'PO detail'!$B$2:$B$672,C318,'PO detail'!$G$2:$G$672,"&gt;="&amp;D318,'PO detail'!$G$2:$G$672,"&lt;"&amp;A318)</x:f>
        <x:v>0</x:v>
      </x:c>
      <x:c r="J318" s="8" t="n">
        <x:f>SUMIFS('PO detail'!$W$2:$W$672,'PO detail'!$A$2:$A$672,B318,'PO detail'!$B$2:$B$672,C318,'PO detail'!$G$2:$G$672,"&gt;="&amp;D318,'PO detail'!$G$2:$G$672,"&lt;"&amp;A318)</x:f>
        <x:v>0</x:v>
      </x:c>
      <x:c r="K318" s="8" t="n">
        <x:f>'Current inventory'!E66*Summary!$D$6*(A318-D318)/30.4375</x:f>
        <x:v>0</x:v>
      </x:c>
      <x:c r="L318" s="8" t="n">
        <x:f>MAX(0,E318+H318-K318)</x:f>
        <x:v>0</x:v>
      </x:c>
      <x:c r="M318" s="8" t="n">
        <x:f>MAX(0,F318+I318-MAX(0,K318-E318-H318))</x:f>
        <x:v>0</x:v>
      </x:c>
      <x:c r="N318" s="8" t="n">
        <x:f>MAX(0,G318+J318-K318)</x:f>
        <x:v>0</x:v>
      </x:c>
      <x:c r="O318" s="8" t="n">
        <x:f>SUM(L318:N318)</x:f>
        <x:v>0</x:v>
      </x:c>
      <x:c r="P318" s="14" t="n">
        <x:f>'Current inventory'!V66</x:f>
        <x:v>0.38</x:v>
      </x:c>
      <x:c r="Q318" s="14" t="str">
        <x:f>'Current inventory'!W66</x:f>
        <x:v>n.a.</x:v>
      </x:c>
      <x:c r="R318" s="10" t="n">
        <x:f>L318*P318</x:f>
        <x:v>0</x:v>
      </x:c>
      <x:c r="S318" s="10" t="n">
        <x:f>M318*P318</x:f>
        <x:v>0</x:v>
      </x:c>
      <x:c r="T318" s="10" t="n">
        <x:f>N318*P318</x:f>
        <x:v>0</x:v>
      </x:c>
      <x:c r="U318" s="10" t="n">
        <x:f>O318*P318</x:f>
        <x:v>0</x:v>
      </x:c>
      <x:c r="V318" s="10" t="str">
        <x:f>IF(ISNUMBER(Q318),O318*(Q318-P318),"n.a.")</x:f>
        <x:v>n.a.</x:v>
      </x:c>
      <x:c r="W318" s="10" t="n">
        <x:f>IF(ISNUMBER(Q318),U318,0)</x:f>
        <x:v>0</x:v>
      </x:c>
      <x:c r="X318" s="8" t="n">
        <x:f>MAX(0,K318-SUM(E318:J318))</x:f>
        <x:v>0</x:v>
      </x:c>
      <x:c r="Y318" s="1" t="str">
        <x:f>IF(AND(O318&gt;0,NOT(ISNUMBER(Q318))),"No proposed replacement standard",IF(X318&gt;0,"Demand exceeds available stock",""))</x:f>
      </x:c>
      <x:c r="Z318" s="1" t="n">
        <x:f>IF(ISNUMBER(Q318),1,0)</x:f>
        <x:v>0</x:v>
      </x:c>
    </x:row>
    <x:row r="319" ht="21" customHeight="1">
      <x:c r="A319" s="17" t="n">
        <x:f>Summary!B17</x:f>
        <x:v>46388</x:v>
      </x:c>
      <x:c r="B319" s="1" t="str">
        <x:f>'Current inventory'!A67</x:f>
        <x:v>10</x:v>
      </x:c>
      <x:c r="C319" s="1" t="str">
        <x:f>'Current inventory'!B67</x:f>
        <x:v>800BWHTISC</x:v>
      </x:c>
      <x:c r="D319" s="7" t="n">
        <x:f>A193</x:f>
        <x:v>46357</x:v>
      </x:c>
      <x:c r="E319" s="8" t="n">
        <x:f>L193</x:f>
        <x:v>0</x:v>
      </x:c>
      <x:c r="F319" s="8" t="n">
        <x:f>M193</x:f>
        <x:v>0</x:v>
      </x:c>
      <x:c r="G319" s="8" t="n">
        <x:f>N193</x:f>
        <x:v>0</x:v>
      </x:c>
      <x:c r="H319" s="8" t="n">
        <x:f>SUMIFS('PO detail'!$U$2:$U$672,'PO detail'!$A$2:$A$672,B319,'PO detail'!$B$2:$B$672,C319,'PO detail'!$G$2:$G$672,"&gt;="&amp;D319,'PO detail'!$G$2:$G$672,"&lt;"&amp;A319)</x:f>
        <x:v>0</x:v>
      </x:c>
      <x:c r="I319" s="8" t="n">
        <x:f>SUMIFS('PO detail'!$V$2:$V$672,'PO detail'!$A$2:$A$672,B319,'PO detail'!$B$2:$B$672,C319,'PO detail'!$G$2:$G$672,"&gt;="&amp;D319,'PO detail'!$G$2:$G$672,"&lt;"&amp;A319)</x:f>
        <x:v>0</x:v>
      </x:c>
      <x:c r="J319" s="8" t="n">
        <x:f>SUMIFS('PO detail'!$W$2:$W$672,'PO detail'!$A$2:$A$672,B319,'PO detail'!$B$2:$B$672,C319,'PO detail'!$G$2:$G$672,"&gt;="&amp;D319,'PO detail'!$G$2:$G$672,"&lt;"&amp;A319)</x:f>
        <x:v>0</x:v>
      </x:c>
      <x:c r="K319" s="8" t="n">
        <x:f>'Current inventory'!E67*Summary!$D$6*(A319-D319)/30.4375</x:f>
        <x:v>0</x:v>
      </x:c>
      <x:c r="L319" s="8" t="n">
        <x:f>MAX(0,E319+H319-K319)</x:f>
        <x:v>0</x:v>
      </x:c>
      <x:c r="M319" s="8" t="n">
        <x:f>MAX(0,F319+I319-MAX(0,K319-E319-H319))</x:f>
        <x:v>0</x:v>
      </x:c>
      <x:c r="N319" s="8" t="n">
        <x:f>MAX(0,G319+J319-K319)</x:f>
        <x:v>0</x:v>
      </x:c>
      <x:c r="O319" s="8" t="n">
        <x:f>SUM(L319:N319)</x:f>
        <x:v>0</x:v>
      </x:c>
      <x:c r="P319" s="14" t="n">
        <x:f>'Current inventory'!V67</x:f>
        <x:v>0.1797</x:v>
      </x:c>
      <x:c r="Q319" s="14" t="str">
        <x:f>'Current inventory'!W67</x:f>
        <x:v>n.a.</x:v>
      </x:c>
      <x:c r="R319" s="10" t="n">
        <x:f>L319*P319</x:f>
        <x:v>0</x:v>
      </x:c>
      <x:c r="S319" s="10" t="n">
        <x:f>M319*P319</x:f>
        <x:v>0</x:v>
      </x:c>
      <x:c r="T319" s="10" t="n">
        <x:f>N319*P319</x:f>
        <x:v>0</x:v>
      </x:c>
      <x:c r="U319" s="10" t="n">
        <x:f>O319*P319</x:f>
        <x:v>0</x:v>
      </x:c>
      <x:c r="V319" s="10" t="str">
        <x:f>IF(ISNUMBER(Q319),O319*(Q319-P319),"n.a.")</x:f>
        <x:v>n.a.</x:v>
      </x:c>
      <x:c r="W319" s="10" t="n">
        <x:f>IF(ISNUMBER(Q319),U319,0)</x:f>
        <x:v>0</x:v>
      </x:c>
      <x:c r="X319" s="8" t="n">
        <x:f>MAX(0,K319-SUM(E319:J319))</x:f>
        <x:v>0</x:v>
      </x:c>
      <x:c r="Y319" s="1" t="str">
        <x:f>IF(AND(O319&gt;0,NOT(ISNUMBER(Q319))),"No proposed replacement standard",IF(X319&gt;0,"Demand exceeds available stock",""))</x:f>
      </x:c>
      <x:c r="Z319" s="1" t="n">
        <x:f>IF(ISNUMBER(Q319),1,0)</x:f>
        <x:v>0</x:v>
      </x:c>
    </x:row>
    <x:row r="320" ht="21" customHeight="1">
      <x:c r="A320" s="17" t="n">
        <x:f>Summary!B17</x:f>
        <x:v>46388</x:v>
      </x:c>
      <x:c r="B320" s="1" t="str">
        <x:f>'Current inventory'!A68</x:f>
        <x:v>10</x:v>
      </x:c>
      <x:c r="C320" s="1" t="str">
        <x:f>'Current inventory'!B68</x:f>
        <x:v>800FGE</x:v>
      </x:c>
      <x:c r="D320" s="7" t="n">
        <x:f>A194</x:f>
        <x:v>46357</x:v>
      </x:c>
      <x:c r="E320" s="8" t="n">
        <x:f>L194</x:f>
        <x:v>0</x:v>
      </x:c>
      <x:c r="F320" s="8" t="n">
        <x:f>M194</x:f>
        <x:v>0</x:v>
      </x:c>
      <x:c r="G320" s="8" t="n">
        <x:f>N194</x:f>
        <x:v>0</x:v>
      </x:c>
      <x:c r="H320" s="8" t="n">
        <x:f>SUMIFS('PO detail'!$U$2:$U$672,'PO detail'!$A$2:$A$672,B320,'PO detail'!$B$2:$B$672,C320,'PO detail'!$G$2:$G$672,"&gt;="&amp;D320,'PO detail'!$G$2:$G$672,"&lt;"&amp;A320)</x:f>
        <x:v>0</x:v>
      </x:c>
      <x:c r="I320" s="8" t="n">
        <x:f>SUMIFS('PO detail'!$V$2:$V$672,'PO detail'!$A$2:$A$672,B320,'PO detail'!$B$2:$B$672,C320,'PO detail'!$G$2:$G$672,"&gt;="&amp;D320,'PO detail'!$G$2:$G$672,"&lt;"&amp;A320)</x:f>
        <x:v>0</x:v>
      </x:c>
      <x:c r="J320" s="8" t="n">
        <x:f>SUMIFS('PO detail'!$W$2:$W$672,'PO detail'!$A$2:$A$672,B320,'PO detail'!$B$2:$B$672,C320,'PO detail'!$G$2:$G$672,"&gt;="&amp;D320,'PO detail'!$G$2:$G$672,"&lt;"&amp;A320)</x:f>
        <x:v>0</x:v>
      </x:c>
      <x:c r="K320" s="8" t="n">
        <x:f>'Current inventory'!E68*Summary!$D$6*(A320-D320)/30.4375</x:f>
        <x:v>0</x:v>
      </x:c>
      <x:c r="L320" s="8" t="n">
        <x:f>MAX(0,E320+H320-K320)</x:f>
        <x:v>0</x:v>
      </x:c>
      <x:c r="M320" s="8" t="n">
        <x:f>MAX(0,F320+I320-MAX(0,K320-E320-H320))</x:f>
        <x:v>0</x:v>
      </x:c>
      <x:c r="N320" s="8" t="n">
        <x:f>MAX(0,G320+J320-K320)</x:f>
        <x:v>0</x:v>
      </x:c>
      <x:c r="O320" s="8" t="n">
        <x:f>SUM(L320:N320)</x:f>
        <x:v>0</x:v>
      </x:c>
      <x:c r="P320" s="14" t="n">
        <x:f>'Current inventory'!V68</x:f>
        <x:v>10.78</x:v>
      </x:c>
      <x:c r="Q320" s="14" t="str">
        <x:f>'Current inventory'!W68</x:f>
        <x:v>n.a.</x:v>
      </x:c>
      <x:c r="R320" s="10" t="n">
        <x:f>L320*P320</x:f>
        <x:v>0</x:v>
      </x:c>
      <x:c r="S320" s="10" t="n">
        <x:f>M320*P320</x:f>
        <x:v>0</x:v>
      </x:c>
      <x:c r="T320" s="10" t="n">
        <x:f>N320*P320</x:f>
        <x:v>0</x:v>
      </x:c>
      <x:c r="U320" s="10" t="n">
        <x:f>O320*P320</x:f>
        <x:v>0</x:v>
      </x:c>
      <x:c r="V320" s="10" t="str">
        <x:f>IF(ISNUMBER(Q320),O320*(Q320-P320),"n.a.")</x:f>
        <x:v>n.a.</x:v>
      </x:c>
      <x:c r="W320" s="10" t="n">
        <x:f>IF(ISNUMBER(Q320),U320,0)</x:f>
        <x:v>0</x:v>
      </x:c>
      <x:c r="X320" s="8" t="n">
        <x:f>MAX(0,K320-SUM(E320:J320))</x:f>
        <x:v>0</x:v>
      </x:c>
      <x:c r="Y320" s="1" t="str">
        <x:f>IF(AND(O320&gt;0,NOT(ISNUMBER(Q320))),"No proposed replacement standard",IF(X320&gt;0,"Demand exceeds available stock",""))</x:f>
      </x:c>
      <x:c r="Z320" s="1" t="n">
        <x:f>IF(ISNUMBER(Q320),1,0)</x:f>
        <x:v>0</x:v>
      </x:c>
    </x:row>
    <x:row r="321" ht="21" customHeight="1">
      <x:c r="A321" s="17" t="n">
        <x:f>Summary!B17</x:f>
        <x:v>46388</x:v>
      </x:c>
      <x:c r="B321" s="1" t="str">
        <x:f>'Current inventory'!A69</x:f>
        <x:v>10</x:v>
      </x:c>
      <x:c r="C321" s="1" t="str">
        <x:f>'Current inventory'!B69</x:f>
        <x:v>800NAVF</x:v>
      </x:c>
      <x:c r="D321" s="7" t="n">
        <x:f>A195</x:f>
        <x:v>46357</x:v>
      </x:c>
      <x:c r="E321" s="8" t="n">
        <x:f>L195</x:f>
        <x:v>0</x:v>
      </x:c>
      <x:c r="F321" s="8" t="n">
        <x:f>M195</x:f>
        <x:v>0</x:v>
      </x:c>
      <x:c r="G321" s="8" t="n">
        <x:f>N195</x:f>
        <x:v>0</x:v>
      </x:c>
      <x:c r="H321" s="8" t="n">
        <x:f>SUMIFS('PO detail'!$U$2:$U$672,'PO detail'!$A$2:$A$672,B321,'PO detail'!$B$2:$B$672,C321,'PO detail'!$G$2:$G$672,"&gt;="&amp;D321,'PO detail'!$G$2:$G$672,"&lt;"&amp;A321)</x:f>
        <x:v>0</x:v>
      </x:c>
      <x:c r="I321" s="8" t="n">
        <x:f>SUMIFS('PO detail'!$V$2:$V$672,'PO detail'!$A$2:$A$672,B321,'PO detail'!$B$2:$B$672,C321,'PO detail'!$G$2:$G$672,"&gt;="&amp;D321,'PO detail'!$G$2:$G$672,"&lt;"&amp;A321)</x:f>
        <x:v>0</x:v>
      </x:c>
      <x:c r="J321" s="8" t="n">
        <x:f>SUMIFS('PO detail'!$W$2:$W$672,'PO detail'!$A$2:$A$672,B321,'PO detail'!$B$2:$B$672,C321,'PO detail'!$G$2:$G$672,"&gt;="&amp;D321,'PO detail'!$G$2:$G$672,"&lt;"&amp;A321)</x:f>
        <x:v>0</x:v>
      </x:c>
      <x:c r="K321" s="8" t="n">
        <x:f>'Current inventory'!E69*Summary!$D$6*(A321-D321)/30.4375</x:f>
        <x:v>0</x:v>
      </x:c>
      <x:c r="L321" s="8" t="n">
        <x:f>MAX(0,E321+H321-K321)</x:f>
        <x:v>0</x:v>
      </x:c>
      <x:c r="M321" s="8" t="n">
        <x:f>MAX(0,F321+I321-MAX(0,K321-E321-H321))</x:f>
        <x:v>0</x:v>
      </x:c>
      <x:c r="N321" s="8" t="n">
        <x:f>MAX(0,G321+J321-K321)</x:f>
        <x:v>0</x:v>
      </x:c>
      <x:c r="O321" s="8" t="n">
        <x:f>SUM(L321:N321)</x:f>
        <x:v>0</x:v>
      </x:c>
      <x:c r="P321" s="14" t="n">
        <x:f>'Current inventory'!V69</x:f>
        <x:v>7.03</x:v>
      </x:c>
      <x:c r="Q321" s="14" t="str">
        <x:f>'Current inventory'!W69</x:f>
        <x:v>n.a.</x:v>
      </x:c>
      <x:c r="R321" s="10" t="n">
        <x:f>L321*P321</x:f>
        <x:v>0</x:v>
      </x:c>
      <x:c r="S321" s="10" t="n">
        <x:f>M321*P321</x:f>
        <x:v>0</x:v>
      </x:c>
      <x:c r="T321" s="10" t="n">
        <x:f>N321*P321</x:f>
        <x:v>0</x:v>
      </x:c>
      <x:c r="U321" s="10" t="n">
        <x:f>O321*P321</x:f>
        <x:v>0</x:v>
      </x:c>
      <x:c r="V321" s="10" t="str">
        <x:f>IF(ISNUMBER(Q321),O321*(Q321-P321),"n.a.")</x:f>
        <x:v>n.a.</x:v>
      </x:c>
      <x:c r="W321" s="10" t="n">
        <x:f>IF(ISNUMBER(Q321),U321,0)</x:f>
        <x:v>0</x:v>
      </x:c>
      <x:c r="X321" s="8" t="n">
        <x:f>MAX(0,K321-SUM(E321:J321))</x:f>
        <x:v>0</x:v>
      </x:c>
      <x:c r="Y321" s="1" t="str">
        <x:f>IF(AND(O321&gt;0,NOT(ISNUMBER(Q321))),"No proposed replacement standard",IF(X321&gt;0,"Demand exceeds available stock",""))</x:f>
      </x:c>
      <x:c r="Z321" s="1" t="n">
        <x:f>IF(ISNUMBER(Q321),1,0)</x:f>
        <x:v>0</x:v>
      </x:c>
    </x:row>
    <x:row r="322" ht="21" customHeight="1">
      <x:c r="A322" s="17" t="n">
        <x:f>Summary!B17</x:f>
        <x:v>46388</x:v>
      </x:c>
      <x:c r="B322" s="1" t="str">
        <x:f>'Current inventory'!A70</x:f>
        <x:v>10</x:v>
      </x:c>
      <x:c r="C322" s="1" t="str">
        <x:f>'Current inventory'!B70</x:f>
        <x:v>800WHTE</x:v>
      </x:c>
      <x:c r="D322" s="7" t="n">
        <x:f>A196</x:f>
        <x:v>46357</x:v>
      </x:c>
      <x:c r="E322" s="8" t="n">
        <x:f>L196</x:f>
        <x:v>0</x:v>
      </x:c>
      <x:c r="F322" s="8" t="n">
        <x:f>M196</x:f>
        <x:v>0</x:v>
      </x:c>
      <x:c r="G322" s="8" t="n">
        <x:f>N196</x:f>
        <x:v>0</x:v>
      </x:c>
      <x:c r="H322" s="8" t="n">
        <x:f>SUMIFS('PO detail'!$U$2:$U$672,'PO detail'!$A$2:$A$672,B322,'PO detail'!$B$2:$B$672,C322,'PO detail'!$G$2:$G$672,"&gt;="&amp;D322,'PO detail'!$G$2:$G$672,"&lt;"&amp;A322)</x:f>
        <x:v>0</x:v>
      </x:c>
      <x:c r="I322" s="8" t="n">
        <x:f>SUMIFS('PO detail'!$V$2:$V$672,'PO detail'!$A$2:$A$672,B322,'PO detail'!$B$2:$B$672,C322,'PO detail'!$G$2:$G$672,"&gt;="&amp;D322,'PO detail'!$G$2:$G$672,"&lt;"&amp;A322)</x:f>
        <x:v>0</x:v>
      </x:c>
      <x:c r="J322" s="8" t="n">
        <x:f>SUMIFS('PO detail'!$W$2:$W$672,'PO detail'!$A$2:$A$672,B322,'PO detail'!$B$2:$B$672,C322,'PO detail'!$G$2:$G$672,"&gt;="&amp;D322,'PO detail'!$G$2:$G$672,"&lt;"&amp;A322)</x:f>
        <x:v>0</x:v>
      </x:c>
      <x:c r="K322" s="8" t="n">
        <x:f>'Current inventory'!E70*Summary!$D$6*(A322-D322)/30.4375</x:f>
        <x:v>0</x:v>
      </x:c>
      <x:c r="L322" s="8" t="n">
        <x:f>MAX(0,E322+H322-K322)</x:f>
        <x:v>0</x:v>
      </x:c>
      <x:c r="M322" s="8" t="n">
        <x:f>MAX(0,F322+I322-MAX(0,K322-E322-H322))</x:f>
        <x:v>0</x:v>
      </x:c>
      <x:c r="N322" s="8" t="n">
        <x:f>MAX(0,G322+J322-K322)</x:f>
        <x:v>0</x:v>
      </x:c>
      <x:c r="O322" s="8" t="n">
        <x:f>SUM(L322:N322)</x:f>
        <x:v>0</x:v>
      </x:c>
      <x:c r="P322" s="14" t="n">
        <x:f>'Current inventory'!V70</x:f>
        <x:v>11.44</x:v>
      </x:c>
      <x:c r="Q322" s="14" t="str">
        <x:f>'Current inventory'!W70</x:f>
        <x:v>n.a.</x:v>
      </x:c>
      <x:c r="R322" s="10" t="n">
        <x:f>L322*P322</x:f>
        <x:v>0</x:v>
      </x:c>
      <x:c r="S322" s="10" t="n">
        <x:f>M322*P322</x:f>
        <x:v>0</x:v>
      </x:c>
      <x:c r="T322" s="10" t="n">
        <x:f>N322*P322</x:f>
        <x:v>0</x:v>
      </x:c>
      <x:c r="U322" s="10" t="n">
        <x:f>O322*P322</x:f>
        <x:v>0</x:v>
      </x:c>
      <x:c r="V322" s="10" t="str">
        <x:f>IF(ISNUMBER(Q322),O322*(Q322-P322),"n.a.")</x:f>
        <x:v>n.a.</x:v>
      </x:c>
      <x:c r="W322" s="10" t="n">
        <x:f>IF(ISNUMBER(Q322),U322,0)</x:f>
        <x:v>0</x:v>
      </x:c>
      <x:c r="X322" s="8" t="n">
        <x:f>MAX(0,K322-SUM(E322:J322))</x:f>
        <x:v>0</x:v>
      </x:c>
      <x:c r="Y322" s="1" t="str">
        <x:f>IF(AND(O322&gt;0,NOT(ISNUMBER(Q322))),"No proposed replacement standard",IF(X322&gt;0,"Demand exceeds available stock",""))</x:f>
      </x:c>
      <x:c r="Z322" s="1" t="n">
        <x:f>IF(ISNUMBER(Q322),1,0)</x:f>
        <x:v>0</x:v>
      </x:c>
    </x:row>
    <x:row r="323" ht="21" customHeight="1">
      <x:c r="A323" s="17" t="n">
        <x:f>Summary!B17</x:f>
        <x:v>46388</x:v>
      </x:c>
      <x:c r="B323" s="1" t="str">
        <x:f>'Current inventory'!A71</x:f>
        <x:v>10</x:v>
      </x:c>
      <x:c r="C323" s="1" t="str">
        <x:f>'Current inventory'!B71</x:f>
        <x:v>880BLKE</x:v>
      </x:c>
      <x:c r="D323" s="7" t="n">
        <x:f>A197</x:f>
        <x:v>46357</x:v>
      </x:c>
      <x:c r="E323" s="8" t="n">
        <x:f>L197</x:f>
        <x:v>0</x:v>
      </x:c>
      <x:c r="F323" s="8" t="n">
        <x:f>M197</x:f>
        <x:v>0</x:v>
      </x:c>
      <x:c r="G323" s="8" t="n">
        <x:f>N197</x:f>
        <x:v>0</x:v>
      </x:c>
      <x:c r="H323" s="8" t="n">
        <x:f>SUMIFS('PO detail'!$U$2:$U$672,'PO detail'!$A$2:$A$672,B323,'PO detail'!$B$2:$B$672,C323,'PO detail'!$G$2:$G$672,"&gt;="&amp;D323,'PO detail'!$G$2:$G$672,"&lt;"&amp;A323)</x:f>
        <x:v>0</x:v>
      </x:c>
      <x:c r="I323" s="8" t="n">
        <x:f>SUMIFS('PO detail'!$V$2:$V$672,'PO detail'!$A$2:$A$672,B323,'PO detail'!$B$2:$B$672,C323,'PO detail'!$G$2:$G$672,"&gt;="&amp;D323,'PO detail'!$G$2:$G$672,"&lt;"&amp;A323)</x:f>
        <x:v>0</x:v>
      </x:c>
      <x:c r="J323" s="8" t="n">
        <x:f>SUMIFS('PO detail'!$W$2:$W$672,'PO detail'!$A$2:$A$672,B323,'PO detail'!$B$2:$B$672,C323,'PO detail'!$G$2:$G$672,"&gt;="&amp;D323,'PO detail'!$G$2:$G$672,"&lt;"&amp;A323)</x:f>
        <x:v>0</x:v>
      </x:c>
      <x:c r="K323" s="8" t="n">
        <x:f>'Current inventory'!E71*Summary!$D$6*(A323-D323)/30.4375</x:f>
        <x:v>0</x:v>
      </x:c>
      <x:c r="L323" s="8" t="n">
        <x:f>MAX(0,E323+H323-K323)</x:f>
        <x:v>0</x:v>
      </x:c>
      <x:c r="M323" s="8" t="n">
        <x:f>MAX(0,F323+I323-MAX(0,K323-E323-H323))</x:f>
        <x:v>0</x:v>
      </x:c>
      <x:c r="N323" s="8" t="n">
        <x:f>MAX(0,G323+J323-K323)</x:f>
        <x:v>0</x:v>
      </x:c>
      <x:c r="O323" s="8" t="n">
        <x:f>SUM(L323:N323)</x:f>
        <x:v>0</x:v>
      </x:c>
      <x:c r="P323" s="14" t="n">
        <x:f>'Current inventory'!V71</x:f>
        <x:v>21.34</x:v>
      </x:c>
      <x:c r="Q323" s="14" t="str">
        <x:f>'Current inventory'!W71</x:f>
        <x:v>n.a.</x:v>
      </x:c>
      <x:c r="R323" s="10" t="n">
        <x:f>L323*P323</x:f>
        <x:v>0</x:v>
      </x:c>
      <x:c r="S323" s="10" t="n">
        <x:f>M323*P323</x:f>
        <x:v>0</x:v>
      </x:c>
      <x:c r="T323" s="10" t="n">
        <x:f>N323*P323</x:f>
        <x:v>0</x:v>
      </x:c>
      <x:c r="U323" s="10" t="n">
        <x:f>O323*P323</x:f>
        <x:v>0</x:v>
      </x:c>
      <x:c r="V323" s="10" t="str">
        <x:f>IF(ISNUMBER(Q323),O323*(Q323-P323),"n.a.")</x:f>
        <x:v>n.a.</x:v>
      </x:c>
      <x:c r="W323" s="10" t="n">
        <x:f>IF(ISNUMBER(Q323),U323,0)</x:f>
        <x:v>0</x:v>
      </x:c>
      <x:c r="X323" s="8" t="n">
        <x:f>MAX(0,K323-SUM(E323:J323))</x:f>
        <x:v>0</x:v>
      </x:c>
      <x:c r="Y323" s="1" t="str">
        <x:f>IF(AND(O323&gt;0,NOT(ISNUMBER(Q323))),"No proposed replacement standard",IF(X323&gt;0,"Demand exceeds available stock",""))</x:f>
      </x:c>
      <x:c r="Z323" s="1" t="n">
        <x:f>IF(ISNUMBER(Q323),1,0)</x:f>
        <x:v>0</x:v>
      </x:c>
    </x:row>
    <x:row r="324" ht="21" customHeight="1">
      <x:c r="A324" s="17" t="n">
        <x:f>Summary!B17</x:f>
        <x:v>46388</x:v>
      </x:c>
      <x:c r="B324" s="1" t="str">
        <x:f>'Current inventory'!A72</x:f>
        <x:v>10</x:v>
      </x:c>
      <x:c r="C324" s="1" t="str">
        <x:f>'Current inventory'!B72</x:f>
        <x:v>880NAVE</x:v>
      </x:c>
      <x:c r="D324" s="7" t="n">
        <x:f>A198</x:f>
        <x:v>46357</x:v>
      </x:c>
      <x:c r="E324" s="8" t="n">
        <x:f>L198</x:f>
        <x:v>0</x:v>
      </x:c>
      <x:c r="F324" s="8" t="n">
        <x:f>M198</x:f>
        <x:v>0</x:v>
      </x:c>
      <x:c r="G324" s="8" t="n">
        <x:f>N198</x:f>
        <x:v>0</x:v>
      </x:c>
      <x:c r="H324" s="8" t="n">
        <x:f>SUMIFS('PO detail'!$U$2:$U$672,'PO detail'!$A$2:$A$672,B324,'PO detail'!$B$2:$B$672,C324,'PO detail'!$G$2:$G$672,"&gt;="&amp;D324,'PO detail'!$G$2:$G$672,"&lt;"&amp;A324)</x:f>
        <x:v>0</x:v>
      </x:c>
      <x:c r="I324" s="8" t="n">
        <x:f>SUMIFS('PO detail'!$V$2:$V$672,'PO detail'!$A$2:$A$672,B324,'PO detail'!$B$2:$B$672,C324,'PO detail'!$G$2:$G$672,"&gt;="&amp;D324,'PO detail'!$G$2:$G$672,"&lt;"&amp;A324)</x:f>
        <x:v>0</x:v>
      </x:c>
      <x:c r="J324" s="8" t="n">
        <x:f>SUMIFS('PO detail'!$W$2:$W$672,'PO detail'!$A$2:$A$672,B324,'PO detail'!$B$2:$B$672,C324,'PO detail'!$G$2:$G$672,"&gt;="&amp;D324,'PO detail'!$G$2:$G$672,"&lt;"&amp;A324)</x:f>
        <x:v>0</x:v>
      </x:c>
      <x:c r="K324" s="8" t="n">
        <x:f>'Current inventory'!E72*Summary!$D$6*(A324-D324)/30.4375</x:f>
        <x:v>0</x:v>
      </x:c>
      <x:c r="L324" s="8" t="n">
        <x:f>MAX(0,E324+H324-K324)</x:f>
        <x:v>0</x:v>
      </x:c>
      <x:c r="M324" s="8" t="n">
        <x:f>MAX(0,F324+I324-MAX(0,K324-E324-H324))</x:f>
        <x:v>0</x:v>
      </x:c>
      <x:c r="N324" s="8" t="n">
        <x:f>MAX(0,G324+J324-K324)</x:f>
        <x:v>0</x:v>
      </x:c>
      <x:c r="O324" s="8" t="n">
        <x:f>SUM(L324:N324)</x:f>
        <x:v>0</x:v>
      </x:c>
      <x:c r="P324" s="14" t="n">
        <x:f>'Current inventory'!V72</x:f>
        <x:v>21.34</x:v>
      </x:c>
      <x:c r="Q324" s="14" t="str">
        <x:f>'Current inventory'!W72</x:f>
        <x:v>n.a.</x:v>
      </x:c>
      <x:c r="R324" s="10" t="n">
        <x:f>L324*P324</x:f>
        <x:v>0</x:v>
      </x:c>
      <x:c r="S324" s="10" t="n">
        <x:f>M324*P324</x:f>
        <x:v>0</x:v>
      </x:c>
      <x:c r="T324" s="10" t="n">
        <x:f>N324*P324</x:f>
        <x:v>0</x:v>
      </x:c>
      <x:c r="U324" s="10" t="n">
        <x:f>O324*P324</x:f>
        <x:v>0</x:v>
      </x:c>
      <x:c r="V324" s="10" t="str">
        <x:f>IF(ISNUMBER(Q324),O324*(Q324-P324),"n.a.")</x:f>
        <x:v>n.a.</x:v>
      </x:c>
      <x:c r="W324" s="10" t="n">
        <x:f>IF(ISNUMBER(Q324),U324,0)</x:f>
        <x:v>0</x:v>
      </x:c>
      <x:c r="X324" s="8" t="n">
        <x:f>MAX(0,K324-SUM(E324:J324))</x:f>
        <x:v>0</x:v>
      </x:c>
      <x:c r="Y324" s="1" t="str">
        <x:f>IF(AND(O324&gt;0,NOT(ISNUMBER(Q324))),"No proposed replacement standard",IF(X324&gt;0,"Demand exceeds available stock",""))</x:f>
      </x:c>
      <x:c r="Z324" s="1" t="n">
        <x:f>IF(ISNUMBER(Q324),1,0)</x:f>
        <x:v>0</x:v>
      </x:c>
    </x:row>
    <x:row r="325" ht="21" customHeight="1">
      <x:c r="A325" s="17" t="n">
        <x:f>Summary!B17</x:f>
        <x:v>46388</x:v>
      </x:c>
      <x:c r="B325" s="1" t="str">
        <x:f>'Current inventory'!A73</x:f>
        <x:v>10</x:v>
      </x:c>
      <x:c r="C325" s="1" t="str">
        <x:f>'Current inventory'!B73</x:f>
        <x:v>800BLKTB</x:v>
      </x:c>
      <x:c r="D325" s="7" t="n">
        <x:f>A199</x:f>
        <x:v>46357</x:v>
      </x:c>
      <x:c r="E325" s="8" t="n">
        <x:f>L199</x:f>
        <x:v>0</x:v>
      </x:c>
      <x:c r="F325" s="8" t="n">
        <x:f>M199</x:f>
        <x:v>0</x:v>
      </x:c>
      <x:c r="G325" s="8" t="n">
        <x:f>N199</x:f>
        <x:v>1050</x:v>
      </x:c>
      <x:c r="H325" s="8" t="n">
        <x:f>SUMIFS('PO detail'!$U$2:$U$672,'PO detail'!$A$2:$A$672,B325,'PO detail'!$B$2:$B$672,C325,'PO detail'!$G$2:$G$672,"&gt;="&amp;D325,'PO detail'!$G$2:$G$672,"&lt;"&amp;A325)</x:f>
        <x:v>0</x:v>
      </x:c>
      <x:c r="I325" s="8" t="n">
        <x:f>SUMIFS('PO detail'!$V$2:$V$672,'PO detail'!$A$2:$A$672,B325,'PO detail'!$B$2:$B$672,C325,'PO detail'!$G$2:$G$672,"&gt;="&amp;D325,'PO detail'!$G$2:$G$672,"&lt;"&amp;A325)</x:f>
        <x:v>0</x:v>
      </x:c>
      <x:c r="J325" s="8" t="n">
        <x:f>SUMIFS('PO detail'!$W$2:$W$672,'PO detail'!$A$2:$A$672,B325,'PO detail'!$B$2:$B$672,C325,'PO detail'!$G$2:$G$672,"&gt;="&amp;D325,'PO detail'!$G$2:$G$672,"&lt;"&amp;A325)</x:f>
        <x:v>0</x:v>
      </x:c>
      <x:c r="K325" s="8" t="n">
        <x:f>'Current inventory'!E73*Summary!$D$6*(A325-D325)/30.4375</x:f>
        <x:v>0</x:v>
      </x:c>
      <x:c r="L325" s="8" t="n">
        <x:f>MAX(0,E325+H325-K325)</x:f>
        <x:v>0</x:v>
      </x:c>
      <x:c r="M325" s="8" t="n">
        <x:f>MAX(0,F325+I325-MAX(0,K325-E325-H325))</x:f>
        <x:v>0</x:v>
      </x:c>
      <x:c r="N325" s="8" t="n">
        <x:f>MAX(0,G325+J325-K325)</x:f>
        <x:v>1050</x:v>
      </x:c>
      <x:c r="O325" s="8" t="n">
        <x:f>SUM(L325:N325)</x:f>
        <x:v>1050</x:v>
      </x:c>
      <x:c r="P325" s="14" t="n">
        <x:f>'Current inventory'!V73</x:f>
        <x:v>0.532</x:v>
      </x:c>
      <x:c r="Q325" s="14" t="str">
        <x:f>'Current inventory'!W73</x:f>
        <x:v>n.a.</x:v>
      </x:c>
      <x:c r="R325" s="10" t="n">
        <x:f>L325*P325</x:f>
        <x:v>0</x:v>
      </x:c>
      <x:c r="S325" s="10" t="n">
        <x:f>M325*P325</x:f>
        <x:v>0</x:v>
      </x:c>
      <x:c r="T325" s="10" t="n">
        <x:f>N325*P325</x:f>
        <x:v>558.6</x:v>
      </x:c>
      <x:c r="U325" s="10" t="n">
        <x:f>O325*P325</x:f>
        <x:v>558.6</x:v>
      </x:c>
      <x:c r="V325" s="10" t="str">
        <x:f>IF(ISNUMBER(Q325),O325*(Q325-P325),"n.a.")</x:f>
        <x:v>n.a.</x:v>
      </x:c>
      <x:c r="W325" s="10" t="n">
        <x:f>IF(ISNUMBER(Q325),U325,0)</x:f>
        <x:v>0</x:v>
      </x:c>
      <x:c r="X325" s="8" t="n">
        <x:f>MAX(0,K325-SUM(E325:J325))</x:f>
        <x:v>0</x:v>
      </x:c>
      <x:c r="Y325" s="1" t="str">
        <x:f>IF(AND(O325&gt;0,NOT(ISNUMBER(Q325))),"No proposed replacement standard",IF(X325&gt;0,"Demand exceeds available stock",""))</x:f>
        <x:v>No proposed replacement standard</x:v>
      </x:c>
      <x:c r="Z325" s="1" t="n">
        <x:f>IF(ISNUMBER(Q325),1,0)</x:f>
        <x:v>0</x:v>
      </x:c>
    </x:row>
    <x:row r="326" ht="21" customHeight="1">
      <x:c r="A326" s="17" t="n">
        <x:f>Summary!B17</x:f>
        <x:v>46388</x:v>
      </x:c>
      <x:c r="B326" s="1" t="str">
        <x:f>'Current inventory'!A74</x:f>
        <x:v>10</x:v>
      </x:c>
      <x:c r="C326" s="1" t="str">
        <x:f>'Current inventory'!B74</x:f>
        <x:v>800BREDASC</x:v>
      </x:c>
      <x:c r="D326" s="7" t="n">
        <x:f>A200</x:f>
        <x:v>46357</x:v>
      </x:c>
      <x:c r="E326" s="8" t="n">
        <x:f>L200</x:f>
        <x:v>0</x:v>
      </x:c>
      <x:c r="F326" s="8" t="n">
        <x:f>M200</x:f>
        <x:v>0</x:v>
      </x:c>
      <x:c r="G326" s="8" t="n">
        <x:f>N200</x:f>
        <x:v>0</x:v>
      </x:c>
      <x:c r="H326" s="8" t="n">
        <x:f>SUMIFS('PO detail'!$U$2:$U$672,'PO detail'!$A$2:$A$672,B326,'PO detail'!$B$2:$B$672,C326,'PO detail'!$G$2:$G$672,"&gt;="&amp;D326,'PO detail'!$G$2:$G$672,"&lt;"&amp;A326)</x:f>
        <x:v>0</x:v>
      </x:c>
      <x:c r="I326" s="8" t="n">
        <x:f>SUMIFS('PO detail'!$V$2:$V$672,'PO detail'!$A$2:$A$672,B326,'PO detail'!$B$2:$B$672,C326,'PO detail'!$G$2:$G$672,"&gt;="&amp;D326,'PO detail'!$G$2:$G$672,"&lt;"&amp;A326)</x:f>
        <x:v>0</x:v>
      </x:c>
      <x:c r="J326" s="8" t="n">
        <x:f>SUMIFS('PO detail'!$W$2:$W$672,'PO detail'!$A$2:$A$672,B326,'PO detail'!$B$2:$B$672,C326,'PO detail'!$G$2:$G$672,"&gt;="&amp;D326,'PO detail'!$G$2:$G$672,"&lt;"&amp;A326)</x:f>
        <x:v>0</x:v>
      </x:c>
      <x:c r="K326" s="8" t="n">
        <x:f>'Current inventory'!E74*Summary!$D$6*(A326-D326)/30.4375</x:f>
        <x:v>0</x:v>
      </x:c>
      <x:c r="L326" s="8" t="n">
        <x:f>MAX(0,E326+H326-K326)</x:f>
        <x:v>0</x:v>
      </x:c>
      <x:c r="M326" s="8" t="n">
        <x:f>MAX(0,F326+I326-MAX(0,K326-E326-H326))</x:f>
        <x:v>0</x:v>
      </x:c>
      <x:c r="N326" s="8" t="n">
        <x:f>MAX(0,G326+J326-K326)</x:f>
        <x:v>0</x:v>
      </x:c>
      <x:c r="O326" s="8" t="n">
        <x:f>SUM(L326:N326)</x:f>
        <x:v>0</x:v>
      </x:c>
      <x:c r="P326" s="14" t="n">
        <x:f>'Current inventory'!V74</x:f>
        <x:v>0.07919999999999999</x:v>
      </x:c>
      <x:c r="Q326" s="14" t="str">
        <x:f>'Current inventory'!W74</x:f>
        <x:v>n.a.</x:v>
      </x:c>
      <x:c r="R326" s="10" t="n">
        <x:f>L326*P326</x:f>
        <x:v>0</x:v>
      </x:c>
      <x:c r="S326" s="10" t="n">
        <x:f>M326*P326</x:f>
        <x:v>0</x:v>
      </x:c>
      <x:c r="T326" s="10" t="n">
        <x:f>N326*P326</x:f>
        <x:v>0</x:v>
      </x:c>
      <x:c r="U326" s="10" t="n">
        <x:f>O326*P326</x:f>
        <x:v>0</x:v>
      </x:c>
      <x:c r="V326" s="10" t="str">
        <x:f>IF(ISNUMBER(Q326),O326*(Q326-P326),"n.a.")</x:f>
        <x:v>n.a.</x:v>
      </x:c>
      <x:c r="W326" s="10" t="n">
        <x:f>IF(ISNUMBER(Q326),U326,0)</x:f>
        <x:v>0</x:v>
      </x:c>
      <x:c r="X326" s="8" t="n">
        <x:f>MAX(0,K326-SUM(E326:J326))</x:f>
        <x:v>0</x:v>
      </x:c>
      <x:c r="Y326" s="1" t="str">
        <x:f>IF(AND(O326&gt;0,NOT(ISNUMBER(Q326))),"No proposed replacement standard",IF(X326&gt;0,"Demand exceeds available stock",""))</x:f>
      </x:c>
      <x:c r="Z326" s="1" t="n">
        <x:f>IF(ISNUMBER(Q326),1,0)</x:f>
        <x:v>0</x:v>
      </x:c>
    </x:row>
    <x:row r="327" ht="21" customHeight="1">
      <x:c r="A327" s="17" t="n">
        <x:f>Summary!B17</x:f>
        <x:v>46388</x:v>
      </x:c>
      <x:c r="B327" s="1" t="str">
        <x:f>'Current inventory'!A75</x:f>
        <x:v>10</x:v>
      </x:c>
      <x:c r="C327" s="1" t="str">
        <x:f>'Current inventory'!B75</x:f>
        <x:v>800BREDBRC</x:v>
      </x:c>
      <x:c r="D327" s="7" t="n">
        <x:f>A201</x:f>
        <x:v>46357</x:v>
      </x:c>
      <x:c r="E327" s="8" t="n">
        <x:f>L201</x:f>
        <x:v>0</x:v>
      </x:c>
      <x:c r="F327" s="8" t="n">
        <x:f>M201</x:f>
        <x:v>0</x:v>
      </x:c>
      <x:c r="G327" s="8" t="n">
        <x:f>N201</x:f>
        <x:v>0</x:v>
      </x:c>
      <x:c r="H327" s="8" t="n">
        <x:f>SUMIFS('PO detail'!$U$2:$U$672,'PO detail'!$A$2:$A$672,B327,'PO detail'!$B$2:$B$672,C327,'PO detail'!$G$2:$G$672,"&gt;="&amp;D327,'PO detail'!$G$2:$G$672,"&lt;"&amp;A327)</x:f>
        <x:v>0</x:v>
      </x:c>
      <x:c r="I327" s="8" t="n">
        <x:f>SUMIFS('PO detail'!$V$2:$V$672,'PO detail'!$A$2:$A$672,B327,'PO detail'!$B$2:$B$672,C327,'PO detail'!$G$2:$G$672,"&gt;="&amp;D327,'PO detail'!$G$2:$G$672,"&lt;"&amp;A327)</x:f>
        <x:v>0</x:v>
      </x:c>
      <x:c r="J327" s="8" t="n">
        <x:f>SUMIFS('PO detail'!$W$2:$W$672,'PO detail'!$A$2:$A$672,B327,'PO detail'!$B$2:$B$672,C327,'PO detail'!$G$2:$G$672,"&gt;="&amp;D327,'PO detail'!$G$2:$G$672,"&lt;"&amp;A327)</x:f>
        <x:v>0</x:v>
      </x:c>
      <x:c r="K327" s="8" t="n">
        <x:f>'Current inventory'!E75*Summary!$D$6*(A327-D327)/30.4375</x:f>
        <x:v>0</x:v>
      </x:c>
      <x:c r="L327" s="8" t="n">
        <x:f>MAX(0,E327+H327-K327)</x:f>
        <x:v>0</x:v>
      </x:c>
      <x:c r="M327" s="8" t="n">
        <x:f>MAX(0,F327+I327-MAX(0,K327-E327-H327))</x:f>
        <x:v>0</x:v>
      </x:c>
      <x:c r="N327" s="8" t="n">
        <x:f>MAX(0,G327+J327-K327)</x:f>
        <x:v>0</x:v>
      </x:c>
      <x:c r="O327" s="8" t="n">
        <x:f>SUM(L327:N327)</x:f>
        <x:v>0</x:v>
      </x:c>
      <x:c r="P327" s="14" t="n">
        <x:f>'Current inventory'!V75</x:f>
        <x:v>0.0898</x:v>
      </x:c>
      <x:c r="Q327" s="14" t="str">
        <x:f>'Current inventory'!W75</x:f>
        <x:v>n.a.</x:v>
      </x:c>
      <x:c r="R327" s="10" t="n">
        <x:f>L327*P327</x:f>
        <x:v>0</x:v>
      </x:c>
      <x:c r="S327" s="10" t="n">
        <x:f>M327*P327</x:f>
        <x:v>0</x:v>
      </x:c>
      <x:c r="T327" s="10" t="n">
        <x:f>N327*P327</x:f>
        <x:v>0</x:v>
      </x:c>
      <x:c r="U327" s="10" t="n">
        <x:f>O327*P327</x:f>
        <x:v>0</x:v>
      </x:c>
      <x:c r="V327" s="10" t="str">
        <x:f>IF(ISNUMBER(Q327),O327*(Q327-P327),"n.a.")</x:f>
        <x:v>n.a.</x:v>
      </x:c>
      <x:c r="W327" s="10" t="n">
        <x:f>IF(ISNUMBER(Q327),U327,0)</x:f>
        <x:v>0</x:v>
      </x:c>
      <x:c r="X327" s="8" t="n">
        <x:f>MAX(0,K327-SUM(E327:J327))</x:f>
        <x:v>0</x:v>
      </x:c>
      <x:c r="Y327" s="1" t="str">
        <x:f>IF(AND(O327&gt;0,NOT(ISNUMBER(Q327))),"No proposed replacement standard",IF(X327&gt;0,"Demand exceeds available stock",""))</x:f>
      </x:c>
      <x:c r="Z327" s="1" t="n">
        <x:f>IF(ISNUMBER(Q327),1,0)</x:f>
        <x:v>0</x:v>
      </x:c>
    </x:row>
    <x:row r="328" ht="21" customHeight="1">
      <x:c r="A328" s="17" t="n">
        <x:f>Summary!B17</x:f>
        <x:v>46388</x:v>
      </x:c>
      <x:c r="B328" s="1" t="str">
        <x:f>'Current inventory'!A76</x:f>
        <x:v>10</x:v>
      </x:c>
      <x:c r="C328" s="1" t="str">
        <x:f>'Current inventory'!B76</x:f>
        <x:v>800WBLKBRC</x:v>
      </x:c>
      <x:c r="D328" s="7" t="n">
        <x:f>A202</x:f>
        <x:v>46357</x:v>
      </x:c>
      <x:c r="E328" s="8" t="n">
        <x:f>L202</x:f>
        <x:v>0</x:v>
      </x:c>
      <x:c r="F328" s="8" t="n">
        <x:f>M202</x:f>
        <x:v>0</x:v>
      </x:c>
      <x:c r="G328" s="8" t="n">
        <x:f>N202</x:f>
        <x:v>200</x:v>
      </x:c>
      <x:c r="H328" s="8" t="n">
        <x:f>SUMIFS('PO detail'!$U$2:$U$672,'PO detail'!$A$2:$A$672,B328,'PO detail'!$B$2:$B$672,C328,'PO detail'!$G$2:$G$672,"&gt;="&amp;D328,'PO detail'!$G$2:$G$672,"&lt;"&amp;A328)</x:f>
        <x:v>0</x:v>
      </x:c>
      <x:c r="I328" s="8" t="n">
        <x:f>SUMIFS('PO detail'!$V$2:$V$672,'PO detail'!$A$2:$A$672,B328,'PO detail'!$B$2:$B$672,C328,'PO detail'!$G$2:$G$672,"&gt;="&amp;D328,'PO detail'!$G$2:$G$672,"&lt;"&amp;A328)</x:f>
        <x:v>0</x:v>
      </x:c>
      <x:c r="J328" s="8" t="n">
        <x:f>SUMIFS('PO detail'!$W$2:$W$672,'PO detail'!$A$2:$A$672,B328,'PO detail'!$B$2:$B$672,C328,'PO detail'!$G$2:$G$672,"&gt;="&amp;D328,'PO detail'!$G$2:$G$672,"&lt;"&amp;A328)</x:f>
        <x:v>0</x:v>
      </x:c>
      <x:c r="K328" s="8" t="n">
        <x:f>'Current inventory'!E76*Summary!$D$6*(A328-D328)/30.4375</x:f>
        <x:v>0</x:v>
      </x:c>
      <x:c r="L328" s="8" t="n">
        <x:f>MAX(0,E328+H328-K328)</x:f>
        <x:v>0</x:v>
      </x:c>
      <x:c r="M328" s="8" t="n">
        <x:f>MAX(0,F328+I328-MAX(0,K328-E328-H328))</x:f>
        <x:v>0</x:v>
      </x:c>
      <x:c r="N328" s="8" t="n">
        <x:f>MAX(0,G328+J328-K328)</x:f>
        <x:v>200</x:v>
      </x:c>
      <x:c r="O328" s="8" t="n">
        <x:f>SUM(L328:N328)</x:f>
        <x:v>200</x:v>
      </x:c>
      <x:c r="P328" s="14" t="n">
        <x:f>'Current inventory'!V76</x:f>
        <x:v>0.14150000000000001</x:v>
      </x:c>
      <x:c r="Q328" s="14" t="str">
        <x:f>'Current inventory'!W76</x:f>
        <x:v>n.a.</x:v>
      </x:c>
      <x:c r="R328" s="10" t="n">
        <x:f>L328*P328</x:f>
        <x:v>0</x:v>
      </x:c>
      <x:c r="S328" s="10" t="n">
        <x:f>M328*P328</x:f>
        <x:v>0</x:v>
      </x:c>
      <x:c r="T328" s="10" t="n">
        <x:f>N328*P328</x:f>
        <x:v>28.300000000000004</x:v>
      </x:c>
      <x:c r="U328" s="10" t="n">
        <x:f>O328*P328</x:f>
        <x:v>28.300000000000004</x:v>
      </x:c>
      <x:c r="V328" s="10" t="str">
        <x:f>IF(ISNUMBER(Q328),O328*(Q328-P328),"n.a.")</x:f>
        <x:v>n.a.</x:v>
      </x:c>
      <x:c r="W328" s="10" t="n">
        <x:f>IF(ISNUMBER(Q328),U328,0)</x:f>
        <x:v>0</x:v>
      </x:c>
      <x:c r="X328" s="8" t="n">
        <x:f>MAX(0,K328-SUM(E328:J328))</x:f>
        <x:v>0</x:v>
      </x:c>
      <x:c r="Y328" s="1" t="str">
        <x:f>IF(AND(O328&gt;0,NOT(ISNUMBER(Q328))),"No proposed replacement standard",IF(X328&gt;0,"Demand exceeds available stock",""))</x:f>
        <x:v>No proposed replacement standard</x:v>
      </x:c>
      <x:c r="Z328" s="1" t="n">
        <x:f>IF(ISNUMBER(Q328),1,0)</x:f>
        <x:v>0</x:v>
      </x:c>
    </x:row>
    <x:row r="329" ht="21" customHeight="1">
      <x:c r="A329" s="17" t="n">
        <x:f>Summary!B17</x:f>
        <x:v>46388</x:v>
      </x:c>
      <x:c r="B329" s="1" t="str">
        <x:f>'Current inventory'!A77</x:f>
        <x:v>10</x:v>
      </x:c>
      <x:c r="C329" s="1" t="str">
        <x:f>'Current inventory'!B77</x:f>
        <x:v>800WFGASC</x:v>
      </x:c>
      <x:c r="D329" s="7" t="n">
        <x:f>A203</x:f>
        <x:v>46357</x:v>
      </x:c>
      <x:c r="E329" s="8" t="n">
        <x:f>L203</x:f>
        <x:v>0</x:v>
      </x:c>
      <x:c r="F329" s="8" t="n">
        <x:f>M203</x:f>
        <x:v>0</x:v>
      </x:c>
      <x:c r="G329" s="8" t="n">
        <x:f>N203</x:f>
        <x:v>0</x:v>
      </x:c>
      <x:c r="H329" s="8" t="n">
        <x:f>SUMIFS('PO detail'!$U$2:$U$672,'PO detail'!$A$2:$A$672,B329,'PO detail'!$B$2:$B$672,C329,'PO detail'!$G$2:$G$672,"&gt;="&amp;D329,'PO detail'!$G$2:$G$672,"&lt;"&amp;A329)</x:f>
        <x:v>0</x:v>
      </x:c>
      <x:c r="I329" s="8" t="n">
        <x:f>SUMIFS('PO detail'!$V$2:$V$672,'PO detail'!$A$2:$A$672,B329,'PO detail'!$B$2:$B$672,C329,'PO detail'!$G$2:$G$672,"&gt;="&amp;D329,'PO detail'!$G$2:$G$672,"&lt;"&amp;A329)</x:f>
        <x:v>0</x:v>
      </x:c>
      <x:c r="J329" s="8" t="n">
        <x:f>SUMIFS('PO detail'!$W$2:$W$672,'PO detail'!$A$2:$A$672,B329,'PO detail'!$B$2:$B$672,C329,'PO detail'!$G$2:$G$672,"&gt;="&amp;D329,'PO detail'!$G$2:$G$672,"&lt;"&amp;A329)</x:f>
        <x:v>0</x:v>
      </x:c>
      <x:c r="K329" s="8" t="n">
        <x:f>'Current inventory'!E77*Summary!$D$6*(A329-D329)/30.4375</x:f>
        <x:v>0</x:v>
      </x:c>
      <x:c r="L329" s="8" t="n">
        <x:f>MAX(0,E329+H329-K329)</x:f>
        <x:v>0</x:v>
      </x:c>
      <x:c r="M329" s="8" t="n">
        <x:f>MAX(0,F329+I329-MAX(0,K329-E329-H329))</x:f>
        <x:v>0</x:v>
      </x:c>
      <x:c r="N329" s="8" t="n">
        <x:f>MAX(0,G329+J329-K329)</x:f>
        <x:v>0</x:v>
      </x:c>
      <x:c r="O329" s="8" t="n">
        <x:f>SUM(L329:N329)</x:f>
        <x:v>0</x:v>
      </x:c>
      <x:c r="P329" s="14" t="n">
        <x:f>'Current inventory'!V77</x:f>
        <x:v>0.1456</x:v>
      </x:c>
      <x:c r="Q329" s="14" t="str">
        <x:f>'Current inventory'!W77</x:f>
        <x:v>n.a.</x:v>
      </x:c>
      <x:c r="R329" s="10" t="n">
        <x:f>L329*P329</x:f>
        <x:v>0</x:v>
      </x:c>
      <x:c r="S329" s="10" t="n">
        <x:f>M329*P329</x:f>
        <x:v>0</x:v>
      </x:c>
      <x:c r="T329" s="10" t="n">
        <x:f>N329*P329</x:f>
        <x:v>0</x:v>
      </x:c>
      <x:c r="U329" s="10" t="n">
        <x:f>O329*P329</x:f>
        <x:v>0</x:v>
      </x:c>
      <x:c r="V329" s="10" t="str">
        <x:f>IF(ISNUMBER(Q329),O329*(Q329-P329),"n.a.")</x:f>
        <x:v>n.a.</x:v>
      </x:c>
      <x:c r="W329" s="10" t="n">
        <x:f>IF(ISNUMBER(Q329),U329,0)</x:f>
        <x:v>0</x:v>
      </x:c>
      <x:c r="X329" s="8" t="n">
        <x:f>MAX(0,K329-SUM(E329:J329))</x:f>
        <x:v>0</x:v>
      </x:c>
      <x:c r="Y329" s="1" t="str">
        <x:f>IF(AND(O329&gt;0,NOT(ISNUMBER(Q329))),"No proposed replacement standard",IF(X329&gt;0,"Demand exceeds available stock",""))</x:f>
      </x:c>
      <x:c r="Z329" s="1" t="n">
        <x:f>IF(ISNUMBER(Q329),1,0)</x:f>
        <x:v>0</x:v>
      </x:c>
    </x:row>
    <x:row r="330" ht="21" customHeight="1">
      <x:c r="A330" s="17" t="n">
        <x:f>Summary!B17</x:f>
        <x:v>46388</x:v>
      </x:c>
      <x:c r="B330" s="1" t="str">
        <x:f>'Current inventory'!A78</x:f>
        <x:v>10</x:v>
      </x:c>
      <x:c r="C330" s="1" t="str">
        <x:f>'Current inventory'!B78</x:f>
        <x:v>800WFGBRC</x:v>
      </x:c>
      <x:c r="D330" s="7" t="n">
        <x:f>A204</x:f>
        <x:v>46357</x:v>
      </x:c>
      <x:c r="E330" s="8" t="n">
        <x:f>L204</x:f>
        <x:v>0</x:v>
      </x:c>
      <x:c r="F330" s="8" t="n">
        <x:f>M204</x:f>
        <x:v>0</x:v>
      </x:c>
      <x:c r="G330" s="8" t="n">
        <x:f>N204</x:f>
        <x:v>0</x:v>
      </x:c>
      <x:c r="H330" s="8" t="n">
        <x:f>SUMIFS('PO detail'!$U$2:$U$672,'PO detail'!$A$2:$A$672,B330,'PO detail'!$B$2:$B$672,C330,'PO detail'!$G$2:$G$672,"&gt;="&amp;D330,'PO detail'!$G$2:$G$672,"&lt;"&amp;A330)</x:f>
        <x:v>0</x:v>
      </x:c>
      <x:c r="I330" s="8" t="n">
        <x:f>SUMIFS('PO detail'!$V$2:$V$672,'PO detail'!$A$2:$A$672,B330,'PO detail'!$B$2:$B$672,C330,'PO detail'!$G$2:$G$672,"&gt;="&amp;D330,'PO detail'!$G$2:$G$672,"&lt;"&amp;A330)</x:f>
        <x:v>0</x:v>
      </x:c>
      <x:c r="J330" s="8" t="n">
        <x:f>SUMIFS('PO detail'!$W$2:$W$672,'PO detail'!$A$2:$A$672,B330,'PO detail'!$B$2:$B$672,C330,'PO detail'!$G$2:$G$672,"&gt;="&amp;D330,'PO detail'!$G$2:$G$672,"&lt;"&amp;A330)</x:f>
        <x:v>0</x:v>
      </x:c>
      <x:c r="K330" s="8" t="n">
        <x:f>'Current inventory'!E78*Summary!$D$6*(A330-D330)/30.4375</x:f>
        <x:v>0</x:v>
      </x:c>
      <x:c r="L330" s="8" t="n">
        <x:f>MAX(0,E330+H330-K330)</x:f>
        <x:v>0</x:v>
      </x:c>
      <x:c r="M330" s="8" t="n">
        <x:f>MAX(0,F330+I330-MAX(0,K330-E330-H330))</x:f>
        <x:v>0</x:v>
      </x:c>
      <x:c r="N330" s="8" t="n">
        <x:f>MAX(0,G330+J330-K330)</x:f>
        <x:v>0</x:v>
      </x:c>
      <x:c r="O330" s="8" t="n">
        <x:f>SUM(L330:N330)</x:f>
        <x:v>0</x:v>
      </x:c>
      <x:c r="P330" s="14" t="n">
        <x:f>'Current inventory'!V78</x:f>
        <x:v>0.18469999999999998</x:v>
      </x:c>
      <x:c r="Q330" s="14" t="str">
        <x:f>'Current inventory'!W78</x:f>
        <x:v>n.a.</x:v>
      </x:c>
      <x:c r="R330" s="10" t="n">
        <x:f>L330*P330</x:f>
        <x:v>0</x:v>
      </x:c>
      <x:c r="S330" s="10" t="n">
        <x:f>M330*P330</x:f>
        <x:v>0</x:v>
      </x:c>
      <x:c r="T330" s="10" t="n">
        <x:f>N330*P330</x:f>
        <x:v>0</x:v>
      </x:c>
      <x:c r="U330" s="10" t="n">
        <x:f>O330*P330</x:f>
        <x:v>0</x:v>
      </x:c>
      <x:c r="V330" s="10" t="str">
        <x:f>IF(ISNUMBER(Q330),O330*(Q330-P330),"n.a.")</x:f>
        <x:v>n.a.</x:v>
      </x:c>
      <x:c r="W330" s="10" t="n">
        <x:f>IF(ISNUMBER(Q330),U330,0)</x:f>
        <x:v>0</x:v>
      </x:c>
      <x:c r="X330" s="8" t="n">
        <x:f>MAX(0,K330-SUM(E330:J330))</x:f>
        <x:v>0</x:v>
      </x:c>
      <x:c r="Y330" s="1" t="str">
        <x:f>IF(AND(O330&gt;0,NOT(ISNUMBER(Q330))),"No proposed replacement standard",IF(X330&gt;0,"Demand exceeds available stock",""))</x:f>
      </x:c>
      <x:c r="Z330" s="1" t="n">
        <x:f>IF(ISNUMBER(Q330),1,0)</x:f>
        <x:v>0</x:v>
      </x:c>
    </x:row>
    <x:row r="331" ht="21" customHeight="1">
      <x:c r="A331" s="17" t="n">
        <x:f>Summary!B17</x:f>
        <x:v>46388</x:v>
      </x:c>
      <x:c r="B331" s="1" t="str">
        <x:f>'Current inventory'!A79</x:f>
        <x:v>10</x:v>
      </x:c>
      <x:c r="C331" s="1" t="str">
        <x:f>'Current inventory'!B79</x:f>
        <x:v>800WMARBRC</x:v>
      </x:c>
      <x:c r="D331" s="7" t="n">
        <x:f>A205</x:f>
        <x:v>46357</x:v>
      </x:c>
      <x:c r="E331" s="8" t="n">
        <x:f>L205</x:f>
        <x:v>0</x:v>
      </x:c>
      <x:c r="F331" s="8" t="n">
        <x:f>M205</x:f>
        <x:v>0</x:v>
      </x:c>
      <x:c r="G331" s="8" t="n">
        <x:f>N205</x:f>
        <x:v>900</x:v>
      </x:c>
      <x:c r="H331" s="8" t="n">
        <x:f>SUMIFS('PO detail'!$U$2:$U$672,'PO detail'!$A$2:$A$672,B331,'PO detail'!$B$2:$B$672,C331,'PO detail'!$G$2:$G$672,"&gt;="&amp;D331,'PO detail'!$G$2:$G$672,"&lt;"&amp;A331)</x:f>
        <x:v>0</x:v>
      </x:c>
      <x:c r="I331" s="8" t="n">
        <x:f>SUMIFS('PO detail'!$V$2:$V$672,'PO detail'!$A$2:$A$672,B331,'PO detail'!$B$2:$B$672,C331,'PO detail'!$G$2:$G$672,"&gt;="&amp;D331,'PO detail'!$G$2:$G$672,"&lt;"&amp;A331)</x:f>
        <x:v>0</x:v>
      </x:c>
      <x:c r="J331" s="8" t="n">
        <x:f>SUMIFS('PO detail'!$W$2:$W$672,'PO detail'!$A$2:$A$672,B331,'PO detail'!$B$2:$B$672,C331,'PO detail'!$G$2:$G$672,"&gt;="&amp;D331,'PO detail'!$G$2:$G$672,"&lt;"&amp;A331)</x:f>
        <x:v>0</x:v>
      </x:c>
      <x:c r="K331" s="8" t="n">
        <x:f>'Current inventory'!E79*Summary!$D$6*(A331-D331)/30.4375</x:f>
        <x:v>0</x:v>
      </x:c>
      <x:c r="L331" s="8" t="n">
        <x:f>MAX(0,E331+H331-K331)</x:f>
        <x:v>0</x:v>
      </x:c>
      <x:c r="M331" s="8" t="n">
        <x:f>MAX(0,F331+I331-MAX(0,K331-E331-H331))</x:f>
        <x:v>0</x:v>
      </x:c>
      <x:c r="N331" s="8" t="n">
        <x:f>MAX(0,G331+J331-K331)</x:f>
        <x:v>900</x:v>
      </x:c>
      <x:c r="O331" s="8" t="n">
        <x:f>SUM(L331:N331)</x:f>
        <x:v>900</x:v>
      </x:c>
      <x:c r="P331" s="14" t="n">
        <x:f>'Current inventory'!V79</x:f>
        <x:v>0.17350000000000002</x:v>
      </x:c>
      <x:c r="Q331" s="14" t="str">
        <x:f>'Current inventory'!W79</x:f>
        <x:v>n.a.</x:v>
      </x:c>
      <x:c r="R331" s="10" t="n">
        <x:f>L331*P331</x:f>
        <x:v>0</x:v>
      </x:c>
      <x:c r="S331" s="10" t="n">
        <x:f>M331*P331</x:f>
        <x:v>0</x:v>
      </x:c>
      <x:c r="T331" s="10" t="n">
        <x:f>N331*P331</x:f>
        <x:v>156.15</x:v>
      </x:c>
      <x:c r="U331" s="10" t="n">
        <x:f>O331*P331</x:f>
        <x:v>156.15</x:v>
      </x:c>
      <x:c r="V331" s="10" t="str">
        <x:f>IF(ISNUMBER(Q331),O331*(Q331-P331),"n.a.")</x:f>
        <x:v>n.a.</x:v>
      </x:c>
      <x:c r="W331" s="10" t="n">
        <x:f>IF(ISNUMBER(Q331),U331,0)</x:f>
        <x:v>0</x:v>
      </x:c>
      <x:c r="X331" s="8" t="n">
        <x:f>MAX(0,K331-SUM(E331:J331))</x:f>
        <x:v>0</x:v>
      </x:c>
      <x:c r="Y331" s="1" t="str">
        <x:f>IF(AND(O331&gt;0,NOT(ISNUMBER(Q331))),"No proposed replacement standard",IF(X331&gt;0,"Demand exceeds available stock",""))</x:f>
        <x:v>No proposed replacement standard</x:v>
      </x:c>
      <x:c r="Z331" s="1" t="n">
        <x:f>IF(ISNUMBER(Q331),1,0)</x:f>
        <x:v>0</x:v>
      </x:c>
    </x:row>
    <x:row r="332" ht="21" customHeight="1">
      <x:c r="A332" s="17" t="n">
        <x:f>Summary!B17</x:f>
        <x:v>46388</x:v>
      </x:c>
      <x:c r="B332" s="1" t="str">
        <x:f>'Current inventory'!A80</x:f>
        <x:v>10</x:v>
      </x:c>
      <x:c r="C332" s="1" t="str">
        <x:f>'Current inventory'!B80</x:f>
        <x:v>800WNAVBRC</x:v>
      </x:c>
      <x:c r="D332" s="7" t="n">
        <x:f>A206</x:f>
        <x:v>46357</x:v>
      </x:c>
      <x:c r="E332" s="8" t="n">
        <x:f>L206</x:f>
        <x:v>0</x:v>
      </x:c>
      <x:c r="F332" s="8" t="n">
        <x:f>M206</x:f>
        <x:v>0</x:v>
      </x:c>
      <x:c r="G332" s="8" t="n">
        <x:f>N206</x:f>
        <x:v>600</x:v>
      </x:c>
      <x:c r="H332" s="8" t="n">
        <x:f>SUMIFS('PO detail'!$U$2:$U$672,'PO detail'!$A$2:$A$672,B332,'PO detail'!$B$2:$B$672,C332,'PO detail'!$G$2:$G$672,"&gt;="&amp;D332,'PO detail'!$G$2:$G$672,"&lt;"&amp;A332)</x:f>
        <x:v>0</x:v>
      </x:c>
      <x:c r="I332" s="8" t="n">
        <x:f>SUMIFS('PO detail'!$V$2:$V$672,'PO detail'!$A$2:$A$672,B332,'PO detail'!$B$2:$B$672,C332,'PO detail'!$G$2:$G$672,"&gt;="&amp;D332,'PO detail'!$G$2:$G$672,"&lt;"&amp;A332)</x:f>
        <x:v>0</x:v>
      </x:c>
      <x:c r="J332" s="8" t="n">
        <x:f>SUMIFS('PO detail'!$W$2:$W$672,'PO detail'!$A$2:$A$672,B332,'PO detail'!$B$2:$B$672,C332,'PO detail'!$G$2:$G$672,"&gt;="&amp;D332,'PO detail'!$G$2:$G$672,"&lt;"&amp;A332)</x:f>
        <x:v>0</x:v>
      </x:c>
      <x:c r="K332" s="8" t="n">
        <x:f>'Current inventory'!E80*Summary!$D$6*(A332-D332)/30.4375</x:f>
        <x:v>0</x:v>
      </x:c>
      <x:c r="L332" s="8" t="n">
        <x:f>MAX(0,E332+H332-K332)</x:f>
        <x:v>0</x:v>
      </x:c>
      <x:c r="M332" s="8" t="n">
        <x:f>MAX(0,F332+I332-MAX(0,K332-E332-H332))</x:f>
        <x:v>0</x:v>
      </x:c>
      <x:c r="N332" s="8" t="n">
        <x:f>MAX(0,G332+J332-K332)</x:f>
        <x:v>600</x:v>
      </x:c>
      <x:c r="O332" s="8" t="n">
        <x:f>SUM(L332:N332)</x:f>
        <x:v>600</x:v>
      </x:c>
      <x:c r="P332" s="14" t="n">
        <x:f>'Current inventory'!V80</x:f>
        <x:v>0.17350000000000002</x:v>
      </x:c>
      <x:c r="Q332" s="14" t="str">
        <x:f>'Current inventory'!W80</x:f>
        <x:v>n.a.</x:v>
      </x:c>
      <x:c r="R332" s="10" t="n">
        <x:f>L332*P332</x:f>
        <x:v>0</x:v>
      </x:c>
      <x:c r="S332" s="10" t="n">
        <x:f>M332*P332</x:f>
        <x:v>0</x:v>
      </x:c>
      <x:c r="T332" s="10" t="n">
        <x:f>N332*P332</x:f>
        <x:v>104.10000000000001</x:v>
      </x:c>
      <x:c r="U332" s="10" t="n">
        <x:f>O332*P332</x:f>
        <x:v>104.10000000000001</x:v>
      </x:c>
      <x:c r="V332" s="10" t="str">
        <x:f>IF(ISNUMBER(Q332),O332*(Q332-P332),"n.a.")</x:f>
        <x:v>n.a.</x:v>
      </x:c>
      <x:c r="W332" s="10" t="n">
        <x:f>IF(ISNUMBER(Q332),U332,0)</x:f>
        <x:v>0</x:v>
      </x:c>
      <x:c r="X332" s="8" t="n">
        <x:f>MAX(0,K332-SUM(E332:J332))</x:f>
        <x:v>0</x:v>
      </x:c>
      <x:c r="Y332" s="1" t="str">
        <x:f>IF(AND(O332&gt;0,NOT(ISNUMBER(Q332))),"No proposed replacement standard",IF(X332&gt;0,"Demand exceeds available stock",""))</x:f>
        <x:v>No proposed replacement standard</x:v>
      </x:c>
      <x:c r="Z332" s="1" t="n">
        <x:f>IF(ISNUMBER(Q332),1,0)</x:f>
        <x:v>0</x:v>
      </x:c>
    </x:row>
    <x:row r="333" ht="21" customHeight="1">
      <x:c r="A333" s="17" t="n">
        <x:f>Summary!B17</x:f>
        <x:v>46388</x:v>
      </x:c>
      <x:c r="B333" s="1" t="str">
        <x:f>'Current inventory'!A81</x:f>
        <x:v>10</x:v>
      </x:c>
      <x:c r="C333" s="1" t="str">
        <x:f>'Current inventory'!B81</x:f>
        <x:v>800WREDASC</x:v>
      </x:c>
      <x:c r="D333" s="7" t="n">
        <x:f>A207</x:f>
        <x:v>46357</x:v>
      </x:c>
      <x:c r="E333" s="8" t="n">
        <x:f>L207</x:f>
        <x:v>0</x:v>
      </x:c>
      <x:c r="F333" s="8" t="n">
        <x:f>M207</x:f>
        <x:v>0</x:v>
      </x:c>
      <x:c r="G333" s="8" t="n">
        <x:f>N207</x:f>
        <x:v>0</x:v>
      </x:c>
      <x:c r="H333" s="8" t="n">
        <x:f>SUMIFS('PO detail'!$U$2:$U$672,'PO detail'!$A$2:$A$672,B333,'PO detail'!$B$2:$B$672,C333,'PO detail'!$G$2:$G$672,"&gt;="&amp;D333,'PO detail'!$G$2:$G$672,"&lt;"&amp;A333)</x:f>
        <x:v>0</x:v>
      </x:c>
      <x:c r="I333" s="8" t="n">
        <x:f>SUMIFS('PO detail'!$V$2:$V$672,'PO detail'!$A$2:$A$672,B333,'PO detail'!$B$2:$B$672,C333,'PO detail'!$G$2:$G$672,"&gt;="&amp;D333,'PO detail'!$G$2:$G$672,"&lt;"&amp;A333)</x:f>
        <x:v>0</x:v>
      </x:c>
      <x:c r="J333" s="8" t="n">
        <x:f>SUMIFS('PO detail'!$W$2:$W$672,'PO detail'!$A$2:$A$672,B333,'PO detail'!$B$2:$B$672,C333,'PO detail'!$G$2:$G$672,"&gt;="&amp;D333,'PO detail'!$G$2:$G$672,"&lt;"&amp;A333)</x:f>
        <x:v>0</x:v>
      </x:c>
      <x:c r="K333" s="8" t="n">
        <x:f>'Current inventory'!E81*Summary!$D$6*(A333-D333)/30.4375</x:f>
        <x:v>0</x:v>
      </x:c>
      <x:c r="L333" s="8" t="n">
        <x:f>MAX(0,E333+H333-K333)</x:f>
        <x:v>0</x:v>
      </x:c>
      <x:c r="M333" s="8" t="n">
        <x:f>MAX(0,F333+I333-MAX(0,K333-E333-H333))</x:f>
        <x:v>0</x:v>
      </x:c>
      <x:c r="N333" s="8" t="n">
        <x:f>MAX(0,G333+J333-K333)</x:f>
        <x:v>0</x:v>
      </x:c>
      <x:c r="O333" s="8" t="n">
        <x:f>SUM(L333:N333)</x:f>
        <x:v>0</x:v>
      </x:c>
      <x:c r="P333" s="14" t="n">
        <x:f>'Current inventory'!V81</x:f>
        <x:v>0.07919999999999999</x:v>
      </x:c>
      <x:c r="Q333" s="14" t="str">
        <x:f>'Current inventory'!W81</x:f>
        <x:v>n.a.</x:v>
      </x:c>
      <x:c r="R333" s="10" t="n">
        <x:f>L333*P333</x:f>
        <x:v>0</x:v>
      </x:c>
      <x:c r="S333" s="10" t="n">
        <x:f>M333*P333</x:f>
        <x:v>0</x:v>
      </x:c>
      <x:c r="T333" s="10" t="n">
        <x:f>N333*P333</x:f>
        <x:v>0</x:v>
      </x:c>
      <x:c r="U333" s="10" t="n">
        <x:f>O333*P333</x:f>
        <x:v>0</x:v>
      </x:c>
      <x:c r="V333" s="10" t="str">
        <x:f>IF(ISNUMBER(Q333),O333*(Q333-P333),"n.a.")</x:f>
        <x:v>n.a.</x:v>
      </x:c>
      <x:c r="W333" s="10" t="n">
        <x:f>IF(ISNUMBER(Q333),U333,0)</x:f>
        <x:v>0</x:v>
      </x:c>
      <x:c r="X333" s="8" t="n">
        <x:f>MAX(0,K333-SUM(E333:J333))</x:f>
        <x:v>0</x:v>
      </x:c>
      <x:c r="Y333" s="1" t="str">
        <x:f>IF(AND(O333&gt;0,NOT(ISNUMBER(Q333))),"No proposed replacement standard",IF(X333&gt;0,"Demand exceeds available stock",""))</x:f>
      </x:c>
      <x:c r="Z333" s="1" t="n">
        <x:f>IF(ISNUMBER(Q333),1,0)</x:f>
        <x:v>0</x:v>
      </x:c>
    </x:row>
    <x:row r="334" ht="21" customHeight="1">
      <x:c r="A334" s="17" t="n">
        <x:f>Summary!B17</x:f>
        <x:v>46388</x:v>
      </x:c>
      <x:c r="B334" s="1" t="str">
        <x:f>'Current inventory'!A82</x:f>
        <x:v>10</x:v>
      </x:c>
      <x:c r="C334" s="1" t="str">
        <x:f>'Current inventory'!B82</x:f>
        <x:v>800WREDBRC</x:v>
      </x:c>
      <x:c r="D334" s="7" t="n">
        <x:f>A208</x:f>
        <x:v>46357</x:v>
      </x:c>
      <x:c r="E334" s="8" t="n">
        <x:f>L208</x:f>
        <x:v>0</x:v>
      </x:c>
      <x:c r="F334" s="8" t="n">
        <x:f>M208</x:f>
        <x:v>0</x:v>
      </x:c>
      <x:c r="G334" s="8" t="n">
        <x:f>N208</x:f>
        <x:v>0</x:v>
      </x:c>
      <x:c r="H334" s="8" t="n">
        <x:f>SUMIFS('PO detail'!$U$2:$U$672,'PO detail'!$A$2:$A$672,B334,'PO detail'!$B$2:$B$672,C334,'PO detail'!$G$2:$G$672,"&gt;="&amp;D334,'PO detail'!$G$2:$G$672,"&lt;"&amp;A334)</x:f>
        <x:v>0</x:v>
      </x:c>
      <x:c r="I334" s="8" t="n">
        <x:f>SUMIFS('PO detail'!$V$2:$V$672,'PO detail'!$A$2:$A$672,B334,'PO detail'!$B$2:$B$672,C334,'PO detail'!$G$2:$G$672,"&gt;="&amp;D334,'PO detail'!$G$2:$G$672,"&lt;"&amp;A334)</x:f>
        <x:v>0</x:v>
      </x:c>
      <x:c r="J334" s="8" t="n">
        <x:f>SUMIFS('PO detail'!$W$2:$W$672,'PO detail'!$A$2:$A$672,B334,'PO detail'!$B$2:$B$672,C334,'PO detail'!$G$2:$G$672,"&gt;="&amp;D334,'PO detail'!$G$2:$G$672,"&lt;"&amp;A334)</x:f>
        <x:v>0</x:v>
      </x:c>
      <x:c r="K334" s="8" t="n">
        <x:f>'Current inventory'!E82*Summary!$D$6*(A334-D334)/30.4375</x:f>
        <x:v>0</x:v>
      </x:c>
      <x:c r="L334" s="8" t="n">
        <x:f>MAX(0,E334+H334-K334)</x:f>
        <x:v>0</x:v>
      </x:c>
      <x:c r="M334" s="8" t="n">
        <x:f>MAX(0,F334+I334-MAX(0,K334-E334-H334))</x:f>
        <x:v>0</x:v>
      </x:c>
      <x:c r="N334" s="8" t="n">
        <x:f>MAX(0,G334+J334-K334)</x:f>
        <x:v>0</x:v>
      </x:c>
      <x:c r="O334" s="8" t="n">
        <x:f>SUM(L334:N334)</x:f>
        <x:v>0</x:v>
      </x:c>
      <x:c r="P334" s="14" t="n">
        <x:f>'Current inventory'!V82</x:f>
        <x:v>0.0898</x:v>
      </x:c>
      <x:c r="Q334" s="14" t="str">
        <x:f>'Current inventory'!W82</x:f>
        <x:v>n.a.</x:v>
      </x:c>
      <x:c r="R334" s="10" t="n">
        <x:f>L334*P334</x:f>
        <x:v>0</x:v>
      </x:c>
      <x:c r="S334" s="10" t="n">
        <x:f>M334*P334</x:f>
        <x:v>0</x:v>
      </x:c>
      <x:c r="T334" s="10" t="n">
        <x:f>N334*P334</x:f>
        <x:v>0</x:v>
      </x:c>
      <x:c r="U334" s="10" t="n">
        <x:f>O334*P334</x:f>
        <x:v>0</x:v>
      </x:c>
      <x:c r="V334" s="10" t="str">
        <x:f>IF(ISNUMBER(Q334),O334*(Q334-P334),"n.a.")</x:f>
        <x:v>n.a.</x:v>
      </x:c>
      <x:c r="W334" s="10" t="n">
        <x:f>IF(ISNUMBER(Q334),U334,0)</x:f>
        <x:v>0</x:v>
      </x:c>
      <x:c r="X334" s="8" t="n">
        <x:f>MAX(0,K334-SUM(E334:J334))</x:f>
        <x:v>0</x:v>
      </x:c>
      <x:c r="Y334" s="1" t="str">
        <x:f>IF(AND(O334&gt;0,NOT(ISNUMBER(Q334))),"No proposed replacement standard",IF(X334&gt;0,"Demand exceeds available stock",""))</x:f>
      </x:c>
      <x:c r="Z334" s="1" t="n">
        <x:f>IF(ISNUMBER(Q334),1,0)</x:f>
        <x:v>0</x:v>
      </x:c>
    </x:row>
    <x:row r="335" ht="21" customHeight="1">
      <x:c r="A335" s="17" t="n">
        <x:f>Summary!B17</x:f>
        <x:v>46388</x:v>
      </x:c>
      <x:c r="B335" s="1" t="str">
        <x:f>'Current inventory'!A83</x:f>
        <x:v>10</x:v>
      </x:c>
      <x:c r="C335" s="1" t="str">
        <x:f>'Current inventory'!B83</x:f>
        <x:v>800WWHTASC</x:v>
      </x:c>
      <x:c r="D335" s="7" t="n">
        <x:f>A209</x:f>
        <x:v>46357</x:v>
      </x:c>
      <x:c r="E335" s="8" t="n">
        <x:f>L209</x:f>
        <x:v>0</x:v>
      </x:c>
      <x:c r="F335" s="8" t="n">
        <x:f>M209</x:f>
        <x:v>0</x:v>
      </x:c>
      <x:c r="G335" s="8" t="n">
        <x:f>N209</x:f>
        <x:v>0</x:v>
      </x:c>
      <x:c r="H335" s="8" t="n">
        <x:f>SUMIFS('PO detail'!$U$2:$U$672,'PO detail'!$A$2:$A$672,B335,'PO detail'!$B$2:$B$672,C335,'PO detail'!$G$2:$G$672,"&gt;="&amp;D335,'PO detail'!$G$2:$G$672,"&lt;"&amp;A335)</x:f>
        <x:v>0</x:v>
      </x:c>
      <x:c r="I335" s="8" t="n">
        <x:f>SUMIFS('PO detail'!$V$2:$V$672,'PO detail'!$A$2:$A$672,B335,'PO detail'!$B$2:$B$672,C335,'PO detail'!$G$2:$G$672,"&gt;="&amp;D335,'PO detail'!$G$2:$G$672,"&lt;"&amp;A335)</x:f>
        <x:v>0</x:v>
      </x:c>
      <x:c r="J335" s="8" t="n">
        <x:f>SUMIFS('PO detail'!$W$2:$W$672,'PO detail'!$A$2:$A$672,B335,'PO detail'!$B$2:$B$672,C335,'PO detail'!$G$2:$G$672,"&gt;="&amp;D335,'PO detail'!$G$2:$G$672,"&lt;"&amp;A335)</x:f>
        <x:v>0</x:v>
      </x:c>
      <x:c r="K335" s="8" t="n">
        <x:f>'Current inventory'!E83*Summary!$D$6*(A335-D335)/30.4375</x:f>
        <x:v>0</x:v>
      </x:c>
      <x:c r="L335" s="8" t="n">
        <x:f>MAX(0,E335+H335-K335)</x:f>
        <x:v>0</x:v>
      </x:c>
      <x:c r="M335" s="8" t="n">
        <x:f>MAX(0,F335+I335-MAX(0,K335-E335-H335))</x:f>
        <x:v>0</x:v>
      </x:c>
      <x:c r="N335" s="8" t="n">
        <x:f>MAX(0,G335+J335-K335)</x:f>
        <x:v>0</x:v>
      </x:c>
      <x:c r="O335" s="8" t="n">
        <x:f>SUM(L335:N335)</x:f>
        <x:v>0</x:v>
      </x:c>
      <x:c r="P335" s="14" t="n">
        <x:f>'Current inventory'!V83</x:f>
        <x:v>0.1456</x:v>
      </x:c>
      <x:c r="Q335" s="14" t="str">
        <x:f>'Current inventory'!W83</x:f>
        <x:v>n.a.</x:v>
      </x:c>
      <x:c r="R335" s="10" t="n">
        <x:f>L335*P335</x:f>
        <x:v>0</x:v>
      </x:c>
      <x:c r="S335" s="10" t="n">
        <x:f>M335*P335</x:f>
        <x:v>0</x:v>
      </x:c>
      <x:c r="T335" s="10" t="n">
        <x:f>N335*P335</x:f>
        <x:v>0</x:v>
      </x:c>
      <x:c r="U335" s="10" t="n">
        <x:f>O335*P335</x:f>
        <x:v>0</x:v>
      </x:c>
      <x:c r="V335" s="10" t="str">
        <x:f>IF(ISNUMBER(Q335),O335*(Q335-P335),"n.a.")</x:f>
        <x:v>n.a.</x:v>
      </x:c>
      <x:c r="W335" s="10" t="n">
        <x:f>IF(ISNUMBER(Q335),U335,0)</x:f>
        <x:v>0</x:v>
      </x:c>
      <x:c r="X335" s="8" t="n">
        <x:f>MAX(0,K335-SUM(E335:J335))</x:f>
        <x:v>0</x:v>
      </x:c>
      <x:c r="Y335" s="1" t="str">
        <x:f>IF(AND(O335&gt;0,NOT(ISNUMBER(Q335))),"No proposed replacement standard",IF(X335&gt;0,"Demand exceeds available stock",""))</x:f>
      </x:c>
      <x:c r="Z335" s="1" t="n">
        <x:f>IF(ISNUMBER(Q335),1,0)</x:f>
        <x:v>0</x:v>
      </x:c>
    </x:row>
    <x:row r="336" ht="21" customHeight="1">
      <x:c r="A336" s="17" t="n">
        <x:f>Summary!B17</x:f>
        <x:v>46388</x:v>
      </x:c>
      <x:c r="B336" s="1" t="str">
        <x:f>'Current inventory'!A84</x:f>
        <x:v>10</x:v>
      </x:c>
      <x:c r="C336" s="1" t="str">
        <x:f>'Current inventory'!B84</x:f>
        <x:v>800WWHTBRC</x:v>
      </x:c>
      <x:c r="D336" s="7" t="n">
        <x:f>A210</x:f>
        <x:v>46357</x:v>
      </x:c>
      <x:c r="E336" s="8" t="n">
        <x:f>L210</x:f>
        <x:v>0</x:v>
      </x:c>
      <x:c r="F336" s="8" t="n">
        <x:f>M210</x:f>
        <x:v>0</x:v>
      </x:c>
      <x:c r="G336" s="8" t="n">
        <x:f>N210</x:f>
        <x:v>0</x:v>
      </x:c>
      <x:c r="H336" s="8" t="n">
        <x:f>SUMIFS('PO detail'!$U$2:$U$672,'PO detail'!$A$2:$A$672,B336,'PO detail'!$B$2:$B$672,C336,'PO detail'!$G$2:$G$672,"&gt;="&amp;D336,'PO detail'!$G$2:$G$672,"&lt;"&amp;A336)</x:f>
        <x:v>0</x:v>
      </x:c>
      <x:c r="I336" s="8" t="n">
        <x:f>SUMIFS('PO detail'!$V$2:$V$672,'PO detail'!$A$2:$A$672,B336,'PO detail'!$B$2:$B$672,C336,'PO detail'!$G$2:$G$672,"&gt;="&amp;D336,'PO detail'!$G$2:$G$672,"&lt;"&amp;A336)</x:f>
        <x:v>0</x:v>
      </x:c>
      <x:c r="J336" s="8" t="n">
        <x:f>SUMIFS('PO detail'!$W$2:$W$672,'PO detail'!$A$2:$A$672,B336,'PO detail'!$B$2:$B$672,C336,'PO detail'!$G$2:$G$672,"&gt;="&amp;D336,'PO detail'!$G$2:$G$672,"&lt;"&amp;A336)</x:f>
        <x:v>0</x:v>
      </x:c>
      <x:c r="K336" s="8" t="n">
        <x:f>'Current inventory'!E84*Summary!$D$6*(A336-D336)/30.4375</x:f>
        <x:v>0</x:v>
      </x:c>
      <x:c r="L336" s="8" t="n">
        <x:f>MAX(0,E336+H336-K336)</x:f>
        <x:v>0</x:v>
      </x:c>
      <x:c r="M336" s="8" t="n">
        <x:f>MAX(0,F336+I336-MAX(0,K336-E336-H336))</x:f>
        <x:v>0</x:v>
      </x:c>
      <x:c r="N336" s="8" t="n">
        <x:f>MAX(0,G336+J336-K336)</x:f>
        <x:v>0</x:v>
      </x:c>
      <x:c r="O336" s="8" t="n">
        <x:f>SUM(L336:N336)</x:f>
        <x:v>0</x:v>
      </x:c>
      <x:c r="P336" s="14" t="n">
        <x:f>'Current inventory'!V84</x:f>
        <x:v>0.18469999999999998</x:v>
      </x:c>
      <x:c r="Q336" s="14" t="str">
        <x:f>'Current inventory'!W84</x:f>
        <x:v>n.a.</x:v>
      </x:c>
      <x:c r="R336" s="10" t="n">
        <x:f>L336*P336</x:f>
        <x:v>0</x:v>
      </x:c>
      <x:c r="S336" s="10" t="n">
        <x:f>M336*P336</x:f>
        <x:v>0</x:v>
      </x:c>
      <x:c r="T336" s="10" t="n">
        <x:f>N336*P336</x:f>
        <x:v>0</x:v>
      </x:c>
      <x:c r="U336" s="10" t="n">
        <x:f>O336*P336</x:f>
        <x:v>0</x:v>
      </x:c>
      <x:c r="V336" s="10" t="str">
        <x:f>IF(ISNUMBER(Q336),O336*(Q336-P336),"n.a.")</x:f>
        <x:v>n.a.</x:v>
      </x:c>
      <x:c r="W336" s="10" t="n">
        <x:f>IF(ISNUMBER(Q336),U336,0)</x:f>
        <x:v>0</x:v>
      </x:c>
      <x:c r="X336" s="8" t="n">
        <x:f>MAX(0,K336-SUM(E336:J336))</x:f>
        <x:v>0</x:v>
      </x:c>
      <x:c r="Y336" s="1" t="str">
        <x:f>IF(AND(O336&gt;0,NOT(ISNUMBER(Q336))),"No proposed replacement standard",IF(X336&gt;0,"Demand exceeds available stock",""))</x:f>
      </x:c>
      <x:c r="Z336" s="1" t="n">
        <x:f>IF(ISNUMBER(Q336),1,0)</x:f>
        <x:v>0</x:v>
      </x:c>
    </x:row>
    <x:row r="337" ht="21" customHeight="1">
      <x:c r="A337" s="17" t="n">
        <x:f>Summary!B17</x:f>
        <x:v>46388</x:v>
      </x:c>
      <x:c r="B337" s="1" t="str">
        <x:f>'Current inventory'!A85</x:f>
        <x:v>30</x:v>
      </x:c>
      <x:c r="C337" s="1" t="str">
        <x:f>'Current inventory'!B85</x:f>
        <x:v>800BFGASC</x:v>
      </x:c>
      <x:c r="D337" s="7" t="n">
        <x:f>A211</x:f>
        <x:v>46357</x:v>
      </x:c>
      <x:c r="E337" s="8" t="n">
        <x:f>L211</x:f>
        <x:v>0</x:v>
      </x:c>
      <x:c r="F337" s="8" t="n">
        <x:f>M211</x:f>
        <x:v>0</x:v>
      </x:c>
      <x:c r="G337" s="8" t="n">
        <x:f>N211</x:f>
        <x:v>0</x:v>
      </x:c>
      <x:c r="H337" s="8" t="n">
        <x:f>SUMIFS('PO detail'!$U$2:$U$672,'PO detail'!$A$2:$A$672,B337,'PO detail'!$B$2:$B$672,C337,'PO detail'!$G$2:$G$672,"&gt;="&amp;D337,'PO detail'!$G$2:$G$672,"&lt;"&amp;A337)</x:f>
        <x:v>0</x:v>
      </x:c>
      <x:c r="I337" s="8" t="n">
        <x:f>SUMIFS('PO detail'!$V$2:$V$672,'PO detail'!$A$2:$A$672,B337,'PO detail'!$B$2:$B$672,C337,'PO detail'!$G$2:$G$672,"&gt;="&amp;D337,'PO detail'!$G$2:$G$672,"&lt;"&amp;A337)</x:f>
        <x:v>0</x:v>
      </x:c>
      <x:c r="J337" s="8" t="n">
        <x:f>SUMIFS('PO detail'!$W$2:$W$672,'PO detail'!$A$2:$A$672,B337,'PO detail'!$B$2:$B$672,C337,'PO detail'!$G$2:$G$672,"&gt;="&amp;D337,'PO detail'!$G$2:$G$672,"&lt;"&amp;A337)</x:f>
        <x:v>0</x:v>
      </x:c>
      <x:c r="K337" s="8" t="n">
        <x:f>'Current inventory'!E85*Summary!$D$6*(A337-D337)/30.4375</x:f>
        <x:v>0</x:v>
      </x:c>
      <x:c r="L337" s="8" t="n">
        <x:f>MAX(0,E337+H337-K337)</x:f>
        <x:v>0</x:v>
      </x:c>
      <x:c r="M337" s="8" t="n">
        <x:f>MAX(0,F337+I337-MAX(0,K337-E337-H337))</x:f>
        <x:v>0</x:v>
      </x:c>
      <x:c r="N337" s="8" t="n">
        <x:f>MAX(0,G337+J337-K337)</x:f>
        <x:v>0</x:v>
      </x:c>
      <x:c r="O337" s="8" t="n">
        <x:f>SUM(L337:N337)</x:f>
        <x:v>0</x:v>
      </x:c>
      <x:c r="P337" s="14" t="n">
        <x:f>'Current inventory'!V85</x:f>
        <x:v>0.1456</x:v>
      </x:c>
      <x:c r="Q337" s="14" t="str">
        <x:f>'Current inventory'!W85</x:f>
        <x:v>n.a.</x:v>
      </x:c>
      <x:c r="R337" s="10" t="n">
        <x:f>L337*P337</x:f>
        <x:v>0</x:v>
      </x:c>
      <x:c r="S337" s="10" t="n">
        <x:f>M337*P337</x:f>
        <x:v>0</x:v>
      </x:c>
      <x:c r="T337" s="10" t="n">
        <x:f>N337*P337</x:f>
        <x:v>0</x:v>
      </x:c>
      <x:c r="U337" s="10" t="n">
        <x:f>O337*P337</x:f>
        <x:v>0</x:v>
      </x:c>
      <x:c r="V337" s="10" t="str">
        <x:f>IF(ISNUMBER(Q337),O337*(Q337-P337),"n.a.")</x:f>
        <x:v>n.a.</x:v>
      </x:c>
      <x:c r="W337" s="10" t="n">
        <x:f>IF(ISNUMBER(Q337),U337,0)</x:f>
        <x:v>0</x:v>
      </x:c>
      <x:c r="X337" s="8" t="n">
        <x:f>MAX(0,K337-SUM(E337:J337))</x:f>
        <x:v>0</x:v>
      </x:c>
      <x:c r="Y337" s="1" t="str">
        <x:f>IF(AND(O337&gt;0,NOT(ISNUMBER(Q337))),"No proposed replacement standard",IF(X337&gt;0,"Demand exceeds available stock",""))</x:f>
      </x:c>
      <x:c r="Z337" s="1" t="n">
        <x:f>IF(ISNUMBER(Q337),1,0)</x:f>
        <x:v>0</x:v>
      </x:c>
    </x:row>
    <x:row r="338" ht="21" customHeight="1">
      <x:c r="A338" s="17" t="n">
        <x:f>Summary!B17</x:f>
        <x:v>46388</x:v>
      </x:c>
      <x:c r="B338" s="1" t="str">
        <x:f>'Current inventory'!A86</x:f>
        <x:v>30</x:v>
      </x:c>
      <x:c r="C338" s="1" t="str">
        <x:f>'Current inventory'!B86</x:f>
        <x:v>800BFGBRC</x:v>
      </x:c>
      <x:c r="D338" s="7" t="n">
        <x:f>A212</x:f>
        <x:v>46357</x:v>
      </x:c>
      <x:c r="E338" s="8" t="n">
        <x:f>L212</x:f>
        <x:v>0</x:v>
      </x:c>
      <x:c r="F338" s="8" t="n">
        <x:f>M212</x:f>
        <x:v>0</x:v>
      </x:c>
      <x:c r="G338" s="8" t="n">
        <x:f>N212</x:f>
        <x:v>0</x:v>
      </x:c>
      <x:c r="H338" s="8" t="n">
        <x:f>SUMIFS('PO detail'!$U$2:$U$672,'PO detail'!$A$2:$A$672,B338,'PO detail'!$B$2:$B$672,C338,'PO detail'!$G$2:$G$672,"&gt;="&amp;D338,'PO detail'!$G$2:$G$672,"&lt;"&amp;A338)</x:f>
        <x:v>0</x:v>
      </x:c>
      <x:c r="I338" s="8" t="n">
        <x:f>SUMIFS('PO detail'!$V$2:$V$672,'PO detail'!$A$2:$A$672,B338,'PO detail'!$B$2:$B$672,C338,'PO detail'!$G$2:$G$672,"&gt;="&amp;D338,'PO detail'!$G$2:$G$672,"&lt;"&amp;A338)</x:f>
        <x:v>0</x:v>
      </x:c>
      <x:c r="J338" s="8" t="n">
        <x:f>SUMIFS('PO detail'!$W$2:$W$672,'PO detail'!$A$2:$A$672,B338,'PO detail'!$B$2:$B$672,C338,'PO detail'!$G$2:$G$672,"&gt;="&amp;D338,'PO detail'!$G$2:$G$672,"&lt;"&amp;A338)</x:f>
        <x:v>0</x:v>
      </x:c>
      <x:c r="K338" s="8" t="n">
        <x:f>'Current inventory'!E86*Summary!$D$6*(A338-D338)/30.4375</x:f>
        <x:v>0</x:v>
      </x:c>
      <x:c r="L338" s="8" t="n">
        <x:f>MAX(0,E338+H338-K338)</x:f>
        <x:v>0</x:v>
      </x:c>
      <x:c r="M338" s="8" t="n">
        <x:f>MAX(0,F338+I338-MAX(0,K338-E338-H338))</x:f>
        <x:v>0</x:v>
      </x:c>
      <x:c r="N338" s="8" t="n">
        <x:f>MAX(0,G338+J338-K338)</x:f>
        <x:v>0</x:v>
      </x:c>
      <x:c r="O338" s="8" t="n">
        <x:f>SUM(L338:N338)</x:f>
        <x:v>0</x:v>
      </x:c>
      <x:c r="P338" s="14" t="n">
        <x:f>'Current inventory'!V86</x:f>
        <x:v>0.18469999999999998</x:v>
      </x:c>
      <x:c r="Q338" s="14" t="str">
        <x:f>'Current inventory'!W86</x:f>
        <x:v>n.a.</x:v>
      </x:c>
      <x:c r="R338" s="10" t="n">
        <x:f>L338*P338</x:f>
        <x:v>0</x:v>
      </x:c>
      <x:c r="S338" s="10" t="n">
        <x:f>M338*P338</x:f>
        <x:v>0</x:v>
      </x:c>
      <x:c r="T338" s="10" t="n">
        <x:f>N338*P338</x:f>
        <x:v>0</x:v>
      </x:c>
      <x:c r="U338" s="10" t="n">
        <x:f>O338*P338</x:f>
        <x:v>0</x:v>
      </x:c>
      <x:c r="V338" s="10" t="str">
        <x:f>IF(ISNUMBER(Q338),O338*(Q338-P338),"n.a.")</x:f>
        <x:v>n.a.</x:v>
      </x:c>
      <x:c r="W338" s="10" t="n">
        <x:f>IF(ISNUMBER(Q338),U338,0)</x:f>
        <x:v>0</x:v>
      </x:c>
      <x:c r="X338" s="8" t="n">
        <x:f>MAX(0,K338-SUM(E338:J338))</x:f>
        <x:v>0</x:v>
      </x:c>
      <x:c r="Y338" s="1" t="str">
        <x:f>IF(AND(O338&gt;0,NOT(ISNUMBER(Q338))),"No proposed replacement standard",IF(X338&gt;0,"Demand exceeds available stock",""))</x:f>
      </x:c>
      <x:c r="Z338" s="1" t="n">
        <x:f>IF(ISNUMBER(Q338),1,0)</x:f>
        <x:v>0</x:v>
      </x:c>
    </x:row>
    <x:row r="339" ht="21" customHeight="1">
      <x:c r="A339" s="17" t="n">
        <x:f>Summary!B17</x:f>
        <x:v>46388</x:v>
      </x:c>
      <x:c r="B339" s="1" t="str">
        <x:f>'Current inventory'!A87</x:f>
        <x:v>30</x:v>
      </x:c>
      <x:c r="C339" s="1" t="str">
        <x:f>'Current inventory'!B87</x:f>
        <x:v>800BFGCSC</x:v>
      </x:c>
      <x:c r="D339" s="7" t="n">
        <x:f>A213</x:f>
        <x:v>46357</x:v>
      </x:c>
      <x:c r="E339" s="8" t="n">
        <x:f>L213</x:f>
        <x:v>0</x:v>
      </x:c>
      <x:c r="F339" s="8" t="n">
        <x:f>M213</x:f>
        <x:v>0</x:v>
      </x:c>
      <x:c r="G339" s="8" t="n">
        <x:f>N213</x:f>
        <x:v>0</x:v>
      </x:c>
      <x:c r="H339" s="8" t="n">
        <x:f>SUMIFS('PO detail'!$U$2:$U$672,'PO detail'!$A$2:$A$672,B339,'PO detail'!$B$2:$B$672,C339,'PO detail'!$G$2:$G$672,"&gt;="&amp;D339,'PO detail'!$G$2:$G$672,"&lt;"&amp;A339)</x:f>
        <x:v>0</x:v>
      </x:c>
      <x:c r="I339" s="8" t="n">
        <x:f>SUMIFS('PO detail'!$V$2:$V$672,'PO detail'!$A$2:$A$672,B339,'PO detail'!$B$2:$B$672,C339,'PO detail'!$G$2:$G$672,"&gt;="&amp;D339,'PO detail'!$G$2:$G$672,"&lt;"&amp;A339)</x:f>
        <x:v>0</x:v>
      </x:c>
      <x:c r="J339" s="8" t="n">
        <x:f>SUMIFS('PO detail'!$W$2:$W$672,'PO detail'!$A$2:$A$672,B339,'PO detail'!$B$2:$B$672,C339,'PO detail'!$G$2:$G$672,"&gt;="&amp;D339,'PO detail'!$G$2:$G$672,"&lt;"&amp;A339)</x:f>
        <x:v>0</x:v>
      </x:c>
      <x:c r="K339" s="8" t="n">
        <x:f>'Current inventory'!E87*Summary!$D$6*(A339-D339)/30.4375</x:f>
        <x:v>0</x:v>
      </x:c>
      <x:c r="L339" s="8" t="n">
        <x:f>MAX(0,E339+H339-K339)</x:f>
        <x:v>0</x:v>
      </x:c>
      <x:c r="M339" s="8" t="n">
        <x:f>MAX(0,F339+I339-MAX(0,K339-E339-H339))</x:f>
        <x:v>0</x:v>
      </x:c>
      <x:c r="N339" s="8" t="n">
        <x:f>MAX(0,G339+J339-K339)</x:f>
        <x:v>0</x:v>
      </x:c>
      <x:c r="O339" s="8" t="n">
        <x:f>SUM(L339:N339)</x:f>
        <x:v>0</x:v>
      </x:c>
      <x:c r="P339" s="14" t="n">
        <x:f>'Current inventory'!V87</x:f>
        <x:v>0.21559999999999999</x:v>
      </x:c>
      <x:c r="Q339" s="14" t="str">
        <x:f>'Current inventory'!W87</x:f>
        <x:v>n.a.</x:v>
      </x:c>
      <x:c r="R339" s="10" t="n">
        <x:f>L339*P339</x:f>
        <x:v>0</x:v>
      </x:c>
      <x:c r="S339" s="10" t="n">
        <x:f>M339*P339</x:f>
        <x:v>0</x:v>
      </x:c>
      <x:c r="T339" s="10" t="n">
        <x:f>N339*P339</x:f>
        <x:v>0</x:v>
      </x:c>
      <x:c r="U339" s="10" t="n">
        <x:f>O339*P339</x:f>
        <x:v>0</x:v>
      </x:c>
      <x:c r="V339" s="10" t="str">
        <x:f>IF(ISNUMBER(Q339),O339*(Q339-P339),"n.a.")</x:f>
        <x:v>n.a.</x:v>
      </x:c>
      <x:c r="W339" s="10" t="n">
        <x:f>IF(ISNUMBER(Q339),U339,0)</x:f>
        <x:v>0</x:v>
      </x:c>
      <x:c r="X339" s="8" t="n">
        <x:f>MAX(0,K339-SUM(E339:J339))</x:f>
        <x:v>0</x:v>
      </x:c>
      <x:c r="Y339" s="1" t="str">
        <x:f>IF(AND(O339&gt;0,NOT(ISNUMBER(Q339))),"No proposed replacement standard",IF(X339&gt;0,"Demand exceeds available stock",""))</x:f>
      </x:c>
      <x:c r="Z339" s="1" t="n">
        <x:f>IF(ISNUMBER(Q339),1,0)</x:f>
        <x:v>0</x:v>
      </x:c>
    </x:row>
    <x:row r="340" ht="21" customHeight="1">
      <x:c r="A340" s="17" t="n">
        <x:f>Summary!B17</x:f>
        <x:v>46388</x:v>
      </x:c>
      <x:c r="B340" s="1" t="str">
        <x:f>'Current inventory'!A88</x:f>
        <x:v>30</x:v>
      </x:c>
      <x:c r="C340" s="1" t="str">
        <x:f>'Current inventory'!B88</x:f>
        <x:v>800BFGDSC</x:v>
      </x:c>
      <x:c r="D340" s="7" t="n">
        <x:f>A214</x:f>
        <x:v>46357</x:v>
      </x:c>
      <x:c r="E340" s="8" t="n">
        <x:f>L214</x:f>
        <x:v>0</x:v>
      </x:c>
      <x:c r="F340" s="8" t="n">
        <x:f>M214</x:f>
        <x:v>0</x:v>
      </x:c>
      <x:c r="G340" s="8" t="n">
        <x:f>N214</x:f>
        <x:v>0</x:v>
      </x:c>
      <x:c r="H340" s="8" t="n">
        <x:f>SUMIFS('PO detail'!$U$2:$U$672,'PO detail'!$A$2:$A$672,B340,'PO detail'!$B$2:$B$672,C340,'PO detail'!$G$2:$G$672,"&gt;="&amp;D340,'PO detail'!$G$2:$G$672,"&lt;"&amp;A340)</x:f>
        <x:v>0</x:v>
      </x:c>
      <x:c r="I340" s="8" t="n">
        <x:f>SUMIFS('PO detail'!$V$2:$V$672,'PO detail'!$A$2:$A$672,B340,'PO detail'!$B$2:$B$672,C340,'PO detail'!$G$2:$G$672,"&gt;="&amp;D340,'PO detail'!$G$2:$G$672,"&lt;"&amp;A340)</x:f>
        <x:v>0</x:v>
      </x:c>
      <x:c r="J340" s="8" t="n">
        <x:f>SUMIFS('PO detail'!$W$2:$W$672,'PO detail'!$A$2:$A$672,B340,'PO detail'!$B$2:$B$672,C340,'PO detail'!$G$2:$G$672,"&gt;="&amp;D340,'PO detail'!$G$2:$G$672,"&lt;"&amp;A340)</x:f>
        <x:v>0</x:v>
      </x:c>
      <x:c r="K340" s="8" t="n">
        <x:f>'Current inventory'!E88*Summary!$D$6*(A340-D340)/30.4375</x:f>
        <x:v>0</x:v>
      </x:c>
      <x:c r="L340" s="8" t="n">
        <x:f>MAX(0,E340+H340-K340)</x:f>
        <x:v>0</x:v>
      </x:c>
      <x:c r="M340" s="8" t="n">
        <x:f>MAX(0,F340+I340-MAX(0,K340-E340-H340))</x:f>
        <x:v>0</x:v>
      </x:c>
      <x:c r="N340" s="8" t="n">
        <x:f>MAX(0,G340+J340-K340)</x:f>
        <x:v>0</x:v>
      </x:c>
      <x:c r="O340" s="8" t="n">
        <x:f>SUM(L340:N340)</x:f>
        <x:v>0</x:v>
      </x:c>
      <x:c r="P340" s="14" t="n">
        <x:f>'Current inventory'!V88</x:f>
        <x:v>0.38</x:v>
      </x:c>
      <x:c r="Q340" s="14" t="str">
        <x:f>'Current inventory'!W88</x:f>
        <x:v>n.a.</x:v>
      </x:c>
      <x:c r="R340" s="10" t="n">
        <x:f>L340*P340</x:f>
        <x:v>0</x:v>
      </x:c>
      <x:c r="S340" s="10" t="n">
        <x:f>M340*P340</x:f>
        <x:v>0</x:v>
      </x:c>
      <x:c r="T340" s="10" t="n">
        <x:f>N340*P340</x:f>
        <x:v>0</x:v>
      </x:c>
      <x:c r="U340" s="10" t="n">
        <x:f>O340*P340</x:f>
        <x:v>0</x:v>
      </x:c>
      <x:c r="V340" s="10" t="str">
        <x:f>IF(ISNUMBER(Q340),O340*(Q340-P340),"n.a.")</x:f>
        <x:v>n.a.</x:v>
      </x:c>
      <x:c r="W340" s="10" t="n">
        <x:f>IF(ISNUMBER(Q340),U340,0)</x:f>
        <x:v>0</x:v>
      </x:c>
      <x:c r="X340" s="8" t="n">
        <x:f>MAX(0,K340-SUM(E340:J340))</x:f>
        <x:v>0</x:v>
      </x:c>
      <x:c r="Y340" s="1" t="str">
        <x:f>IF(AND(O340&gt;0,NOT(ISNUMBER(Q340))),"No proposed replacement standard",IF(X340&gt;0,"Demand exceeds available stock",""))</x:f>
      </x:c>
      <x:c r="Z340" s="1" t="n">
        <x:f>IF(ISNUMBER(Q340),1,0)</x:f>
        <x:v>0</x:v>
      </x:c>
    </x:row>
    <x:row r="341" ht="21" customHeight="1">
      <x:c r="A341" s="17" t="n">
        <x:f>Summary!B17</x:f>
        <x:v>46388</x:v>
      </x:c>
      <x:c r="B341" s="1" t="str">
        <x:f>'Current inventory'!A89</x:f>
        <x:v>30</x:v>
      </x:c>
      <x:c r="C341" s="1" t="str">
        <x:f>'Current inventory'!B89</x:f>
        <x:v>800BFGISC</x:v>
      </x:c>
      <x:c r="D341" s="7" t="n">
        <x:f>A215</x:f>
        <x:v>46357</x:v>
      </x:c>
      <x:c r="E341" s="8" t="n">
        <x:f>L215</x:f>
        <x:v>0</x:v>
      </x:c>
      <x:c r="F341" s="8" t="n">
        <x:f>M215</x:f>
        <x:v>0</x:v>
      </x:c>
      <x:c r="G341" s="8" t="n">
        <x:f>N215</x:f>
        <x:v>0</x:v>
      </x:c>
      <x:c r="H341" s="8" t="n">
        <x:f>SUMIFS('PO detail'!$U$2:$U$672,'PO detail'!$A$2:$A$672,B341,'PO detail'!$B$2:$B$672,C341,'PO detail'!$G$2:$G$672,"&gt;="&amp;D341,'PO detail'!$G$2:$G$672,"&lt;"&amp;A341)</x:f>
        <x:v>0</x:v>
      </x:c>
      <x:c r="I341" s="8" t="n">
        <x:f>SUMIFS('PO detail'!$V$2:$V$672,'PO detail'!$A$2:$A$672,B341,'PO detail'!$B$2:$B$672,C341,'PO detail'!$G$2:$G$672,"&gt;="&amp;D341,'PO detail'!$G$2:$G$672,"&lt;"&amp;A341)</x:f>
        <x:v>0</x:v>
      </x:c>
      <x:c r="J341" s="8" t="n">
        <x:f>SUMIFS('PO detail'!$W$2:$W$672,'PO detail'!$A$2:$A$672,B341,'PO detail'!$B$2:$B$672,C341,'PO detail'!$G$2:$G$672,"&gt;="&amp;D341,'PO detail'!$G$2:$G$672,"&lt;"&amp;A341)</x:f>
        <x:v>0</x:v>
      </x:c>
      <x:c r="K341" s="8" t="n">
        <x:f>'Current inventory'!E89*Summary!$D$6*(A341-D341)/30.4375</x:f>
        <x:v>0</x:v>
      </x:c>
      <x:c r="L341" s="8" t="n">
        <x:f>MAX(0,E341+H341-K341)</x:f>
        <x:v>0</x:v>
      </x:c>
      <x:c r="M341" s="8" t="n">
        <x:f>MAX(0,F341+I341-MAX(0,K341-E341-H341))</x:f>
        <x:v>0</x:v>
      </x:c>
      <x:c r="N341" s="8" t="n">
        <x:f>MAX(0,G341+J341-K341)</x:f>
        <x:v>0</x:v>
      </x:c>
      <x:c r="O341" s="8" t="n">
        <x:f>SUM(L341:N341)</x:f>
        <x:v>0</x:v>
      </x:c>
      <x:c r="P341" s="14" t="n">
        <x:f>'Current inventory'!V89</x:f>
        <x:v>0.1797</x:v>
      </x:c>
      <x:c r="Q341" s="14" t="str">
        <x:f>'Current inventory'!W89</x:f>
        <x:v>n.a.</x:v>
      </x:c>
      <x:c r="R341" s="10" t="n">
        <x:f>L341*P341</x:f>
        <x:v>0</x:v>
      </x:c>
      <x:c r="S341" s="10" t="n">
        <x:f>M341*P341</x:f>
        <x:v>0</x:v>
      </x:c>
      <x:c r="T341" s="10" t="n">
        <x:f>N341*P341</x:f>
        <x:v>0</x:v>
      </x:c>
      <x:c r="U341" s="10" t="n">
        <x:f>O341*P341</x:f>
        <x:v>0</x:v>
      </x:c>
      <x:c r="V341" s="10" t="str">
        <x:f>IF(ISNUMBER(Q341),O341*(Q341-P341),"n.a.")</x:f>
        <x:v>n.a.</x:v>
      </x:c>
      <x:c r="W341" s="10" t="n">
        <x:f>IF(ISNUMBER(Q341),U341,0)</x:f>
        <x:v>0</x:v>
      </x:c>
      <x:c r="X341" s="8" t="n">
        <x:f>MAX(0,K341-SUM(E341:J341))</x:f>
        <x:v>0</x:v>
      </x:c>
      <x:c r="Y341" s="1" t="str">
        <x:f>IF(AND(O341&gt;0,NOT(ISNUMBER(Q341))),"No proposed replacement standard",IF(X341&gt;0,"Demand exceeds available stock",""))</x:f>
      </x:c>
      <x:c r="Z341" s="1" t="n">
        <x:f>IF(ISNUMBER(Q341),1,0)</x:f>
        <x:v>0</x:v>
      </x:c>
    </x:row>
    <x:row r="342" ht="21" customHeight="1">
      <x:c r="A342" s="17" t="n">
        <x:f>Summary!B17</x:f>
        <x:v>46388</x:v>
      </x:c>
      <x:c r="B342" s="1" t="str">
        <x:f>'Current inventory'!A90</x:f>
        <x:v>30</x:v>
      </x:c>
      <x:c r="C342" s="1" t="str">
        <x:f>'Current inventory'!B90</x:f>
        <x:v>800BWHTASC</x:v>
      </x:c>
      <x:c r="D342" s="7" t="n">
        <x:f>A216</x:f>
        <x:v>46357</x:v>
      </x:c>
      <x:c r="E342" s="8" t="n">
        <x:f>L216</x:f>
        <x:v>0</x:v>
      </x:c>
      <x:c r="F342" s="8" t="n">
        <x:f>M216</x:f>
        <x:v>0</x:v>
      </x:c>
      <x:c r="G342" s="8" t="n">
        <x:f>N216</x:f>
        <x:v>0</x:v>
      </x:c>
      <x:c r="H342" s="8" t="n">
        <x:f>SUMIFS('PO detail'!$U$2:$U$672,'PO detail'!$A$2:$A$672,B342,'PO detail'!$B$2:$B$672,C342,'PO detail'!$G$2:$G$672,"&gt;="&amp;D342,'PO detail'!$G$2:$G$672,"&lt;"&amp;A342)</x:f>
        <x:v>0</x:v>
      </x:c>
      <x:c r="I342" s="8" t="n">
        <x:f>SUMIFS('PO detail'!$V$2:$V$672,'PO detail'!$A$2:$A$672,B342,'PO detail'!$B$2:$B$672,C342,'PO detail'!$G$2:$G$672,"&gt;="&amp;D342,'PO detail'!$G$2:$G$672,"&lt;"&amp;A342)</x:f>
        <x:v>0</x:v>
      </x:c>
      <x:c r="J342" s="8" t="n">
        <x:f>SUMIFS('PO detail'!$W$2:$W$672,'PO detail'!$A$2:$A$672,B342,'PO detail'!$B$2:$B$672,C342,'PO detail'!$G$2:$G$672,"&gt;="&amp;D342,'PO detail'!$G$2:$G$672,"&lt;"&amp;A342)</x:f>
        <x:v>0</x:v>
      </x:c>
      <x:c r="K342" s="8" t="n">
        <x:f>'Current inventory'!E90*Summary!$D$6*(A342-D342)/30.4375</x:f>
        <x:v>0</x:v>
      </x:c>
      <x:c r="L342" s="8" t="n">
        <x:f>MAX(0,E342+H342-K342)</x:f>
        <x:v>0</x:v>
      </x:c>
      <x:c r="M342" s="8" t="n">
        <x:f>MAX(0,F342+I342-MAX(0,K342-E342-H342))</x:f>
        <x:v>0</x:v>
      </x:c>
      <x:c r="N342" s="8" t="n">
        <x:f>MAX(0,G342+J342-K342)</x:f>
        <x:v>0</x:v>
      </x:c>
      <x:c r="O342" s="8" t="n">
        <x:f>SUM(L342:N342)</x:f>
        <x:v>0</x:v>
      </x:c>
      <x:c r="P342" s="14" t="n">
        <x:f>'Current inventory'!V90</x:f>
        <x:v>0.1456</x:v>
      </x:c>
      <x:c r="Q342" s="14" t="str">
        <x:f>'Current inventory'!W90</x:f>
        <x:v>n.a.</x:v>
      </x:c>
      <x:c r="R342" s="10" t="n">
        <x:f>L342*P342</x:f>
        <x:v>0</x:v>
      </x:c>
      <x:c r="S342" s="10" t="n">
        <x:f>M342*P342</x:f>
        <x:v>0</x:v>
      </x:c>
      <x:c r="T342" s="10" t="n">
        <x:f>N342*P342</x:f>
        <x:v>0</x:v>
      </x:c>
      <x:c r="U342" s="10" t="n">
        <x:f>O342*P342</x:f>
        <x:v>0</x:v>
      </x:c>
      <x:c r="V342" s="10" t="str">
        <x:f>IF(ISNUMBER(Q342),O342*(Q342-P342),"n.a.")</x:f>
        <x:v>n.a.</x:v>
      </x:c>
      <x:c r="W342" s="10" t="n">
        <x:f>IF(ISNUMBER(Q342),U342,0)</x:f>
        <x:v>0</x:v>
      </x:c>
      <x:c r="X342" s="8" t="n">
        <x:f>MAX(0,K342-SUM(E342:J342))</x:f>
        <x:v>0</x:v>
      </x:c>
      <x:c r="Y342" s="1" t="str">
        <x:f>IF(AND(O342&gt;0,NOT(ISNUMBER(Q342))),"No proposed replacement standard",IF(X342&gt;0,"Demand exceeds available stock",""))</x:f>
      </x:c>
      <x:c r="Z342" s="1" t="n">
        <x:f>IF(ISNUMBER(Q342),1,0)</x:f>
        <x:v>0</x:v>
      </x:c>
    </x:row>
    <x:row r="343" ht="21" customHeight="1">
      <x:c r="A343" s="17" t="n">
        <x:f>Summary!B17</x:f>
        <x:v>46388</x:v>
      </x:c>
      <x:c r="B343" s="1" t="str">
        <x:f>'Current inventory'!A91</x:f>
        <x:v>30</x:v>
      </x:c>
      <x:c r="C343" s="1" t="str">
        <x:f>'Current inventory'!B91</x:f>
        <x:v>800BWHTBRC</x:v>
      </x:c>
      <x:c r="D343" s="7" t="n">
        <x:f>A217</x:f>
        <x:v>46357</x:v>
      </x:c>
      <x:c r="E343" s="8" t="n">
        <x:f>L217</x:f>
        <x:v>0</x:v>
      </x:c>
      <x:c r="F343" s="8" t="n">
        <x:f>M217</x:f>
        <x:v>0</x:v>
      </x:c>
      <x:c r="G343" s="8" t="n">
        <x:f>N217</x:f>
        <x:v>0</x:v>
      </x:c>
      <x:c r="H343" s="8" t="n">
        <x:f>SUMIFS('PO detail'!$U$2:$U$672,'PO detail'!$A$2:$A$672,B343,'PO detail'!$B$2:$B$672,C343,'PO detail'!$G$2:$G$672,"&gt;="&amp;D343,'PO detail'!$G$2:$G$672,"&lt;"&amp;A343)</x:f>
        <x:v>0</x:v>
      </x:c>
      <x:c r="I343" s="8" t="n">
        <x:f>SUMIFS('PO detail'!$V$2:$V$672,'PO detail'!$A$2:$A$672,B343,'PO detail'!$B$2:$B$672,C343,'PO detail'!$G$2:$G$672,"&gt;="&amp;D343,'PO detail'!$G$2:$G$672,"&lt;"&amp;A343)</x:f>
        <x:v>0</x:v>
      </x:c>
      <x:c r="J343" s="8" t="n">
        <x:f>SUMIFS('PO detail'!$W$2:$W$672,'PO detail'!$A$2:$A$672,B343,'PO detail'!$B$2:$B$672,C343,'PO detail'!$G$2:$G$672,"&gt;="&amp;D343,'PO detail'!$G$2:$G$672,"&lt;"&amp;A343)</x:f>
        <x:v>0</x:v>
      </x:c>
      <x:c r="K343" s="8" t="n">
        <x:f>'Current inventory'!E91*Summary!$D$6*(A343-D343)/30.4375</x:f>
        <x:v>0</x:v>
      </x:c>
      <x:c r="L343" s="8" t="n">
        <x:f>MAX(0,E343+H343-K343)</x:f>
        <x:v>0</x:v>
      </x:c>
      <x:c r="M343" s="8" t="n">
        <x:f>MAX(0,F343+I343-MAX(0,K343-E343-H343))</x:f>
        <x:v>0</x:v>
      </x:c>
      <x:c r="N343" s="8" t="n">
        <x:f>MAX(0,G343+J343-K343)</x:f>
        <x:v>0</x:v>
      </x:c>
      <x:c r="O343" s="8" t="n">
        <x:f>SUM(L343:N343)</x:f>
        <x:v>0</x:v>
      </x:c>
      <x:c r="P343" s="14" t="n">
        <x:f>'Current inventory'!V91</x:f>
        <x:v>0.18469999999999998</x:v>
      </x:c>
      <x:c r="Q343" s="14" t="str">
        <x:f>'Current inventory'!W91</x:f>
        <x:v>n.a.</x:v>
      </x:c>
      <x:c r="R343" s="10" t="n">
        <x:f>L343*P343</x:f>
        <x:v>0</x:v>
      </x:c>
      <x:c r="S343" s="10" t="n">
        <x:f>M343*P343</x:f>
        <x:v>0</x:v>
      </x:c>
      <x:c r="T343" s="10" t="n">
        <x:f>N343*P343</x:f>
        <x:v>0</x:v>
      </x:c>
      <x:c r="U343" s="10" t="n">
        <x:f>O343*P343</x:f>
        <x:v>0</x:v>
      </x:c>
      <x:c r="V343" s="10" t="str">
        <x:f>IF(ISNUMBER(Q343),O343*(Q343-P343),"n.a.")</x:f>
        <x:v>n.a.</x:v>
      </x:c>
      <x:c r="W343" s="10" t="n">
        <x:f>IF(ISNUMBER(Q343),U343,0)</x:f>
        <x:v>0</x:v>
      </x:c>
      <x:c r="X343" s="8" t="n">
        <x:f>MAX(0,K343-SUM(E343:J343))</x:f>
        <x:v>0</x:v>
      </x:c>
      <x:c r="Y343" s="1" t="str">
        <x:f>IF(AND(O343&gt;0,NOT(ISNUMBER(Q343))),"No proposed replacement standard",IF(X343&gt;0,"Demand exceeds available stock",""))</x:f>
      </x:c>
      <x:c r="Z343" s="1" t="n">
        <x:f>IF(ISNUMBER(Q343),1,0)</x:f>
        <x:v>0</x:v>
      </x:c>
    </x:row>
    <x:row r="344" ht="21" customHeight="1">
      <x:c r="A344" s="17" t="n">
        <x:f>Summary!B17</x:f>
        <x:v>46388</x:v>
      </x:c>
      <x:c r="B344" s="1" t="str">
        <x:f>'Current inventory'!A92</x:f>
        <x:v>30</x:v>
      </x:c>
      <x:c r="C344" s="1" t="str">
        <x:f>'Current inventory'!B92</x:f>
        <x:v>800BWHTCSC</x:v>
      </x:c>
      <x:c r="D344" s="7" t="n">
        <x:f>A218</x:f>
        <x:v>46357</x:v>
      </x:c>
      <x:c r="E344" s="8" t="n">
        <x:f>L218</x:f>
        <x:v>0</x:v>
      </x:c>
      <x:c r="F344" s="8" t="n">
        <x:f>M218</x:f>
        <x:v>0</x:v>
      </x:c>
      <x:c r="G344" s="8" t="n">
        <x:f>N218</x:f>
        <x:v>0</x:v>
      </x:c>
      <x:c r="H344" s="8" t="n">
        <x:f>SUMIFS('PO detail'!$U$2:$U$672,'PO detail'!$A$2:$A$672,B344,'PO detail'!$B$2:$B$672,C344,'PO detail'!$G$2:$G$672,"&gt;="&amp;D344,'PO detail'!$G$2:$G$672,"&lt;"&amp;A344)</x:f>
        <x:v>0</x:v>
      </x:c>
      <x:c r="I344" s="8" t="n">
        <x:f>SUMIFS('PO detail'!$V$2:$V$672,'PO detail'!$A$2:$A$672,B344,'PO detail'!$B$2:$B$672,C344,'PO detail'!$G$2:$G$672,"&gt;="&amp;D344,'PO detail'!$G$2:$G$672,"&lt;"&amp;A344)</x:f>
        <x:v>0</x:v>
      </x:c>
      <x:c r="J344" s="8" t="n">
        <x:f>SUMIFS('PO detail'!$W$2:$W$672,'PO detail'!$A$2:$A$672,B344,'PO detail'!$B$2:$B$672,C344,'PO detail'!$G$2:$G$672,"&gt;="&amp;D344,'PO detail'!$G$2:$G$672,"&lt;"&amp;A344)</x:f>
        <x:v>0</x:v>
      </x:c>
      <x:c r="K344" s="8" t="n">
        <x:f>'Current inventory'!E92*Summary!$D$6*(A344-D344)/30.4375</x:f>
        <x:v>0</x:v>
      </x:c>
      <x:c r="L344" s="8" t="n">
        <x:f>MAX(0,E344+H344-K344)</x:f>
        <x:v>0</x:v>
      </x:c>
      <x:c r="M344" s="8" t="n">
        <x:f>MAX(0,F344+I344-MAX(0,K344-E344-H344))</x:f>
        <x:v>0</x:v>
      </x:c>
      <x:c r="N344" s="8" t="n">
        <x:f>MAX(0,G344+J344-K344)</x:f>
        <x:v>0</x:v>
      </x:c>
      <x:c r="O344" s="8" t="n">
        <x:f>SUM(L344:N344)</x:f>
        <x:v>0</x:v>
      </x:c>
      <x:c r="P344" s="14" t="n">
        <x:f>'Current inventory'!V92</x:f>
        <x:v>0.21559999999999999</x:v>
      </x:c>
      <x:c r="Q344" s="14" t="str">
        <x:f>'Current inventory'!W92</x:f>
        <x:v>n.a.</x:v>
      </x:c>
      <x:c r="R344" s="10" t="n">
        <x:f>L344*P344</x:f>
        <x:v>0</x:v>
      </x:c>
      <x:c r="S344" s="10" t="n">
        <x:f>M344*P344</x:f>
        <x:v>0</x:v>
      </x:c>
      <x:c r="T344" s="10" t="n">
        <x:f>N344*P344</x:f>
        <x:v>0</x:v>
      </x:c>
      <x:c r="U344" s="10" t="n">
        <x:f>O344*P344</x:f>
        <x:v>0</x:v>
      </x:c>
      <x:c r="V344" s="10" t="str">
        <x:f>IF(ISNUMBER(Q344),O344*(Q344-P344),"n.a.")</x:f>
        <x:v>n.a.</x:v>
      </x:c>
      <x:c r="W344" s="10" t="n">
        <x:f>IF(ISNUMBER(Q344),U344,0)</x:f>
        <x:v>0</x:v>
      </x:c>
      <x:c r="X344" s="8" t="n">
        <x:f>MAX(0,K344-SUM(E344:J344))</x:f>
        <x:v>0</x:v>
      </x:c>
      <x:c r="Y344" s="1" t="str">
        <x:f>IF(AND(O344&gt;0,NOT(ISNUMBER(Q344))),"No proposed replacement standard",IF(X344&gt;0,"Demand exceeds available stock",""))</x:f>
      </x:c>
      <x:c r="Z344" s="1" t="n">
        <x:f>IF(ISNUMBER(Q344),1,0)</x:f>
        <x:v>0</x:v>
      </x:c>
    </x:row>
    <x:row r="345" ht="21" customHeight="1">
      <x:c r="A345" s="17" t="n">
        <x:f>Summary!B17</x:f>
        <x:v>46388</x:v>
      </x:c>
      <x:c r="B345" s="1" t="str">
        <x:f>'Current inventory'!A93</x:f>
        <x:v>30</x:v>
      </x:c>
      <x:c r="C345" s="1" t="str">
        <x:f>'Current inventory'!B93</x:f>
        <x:v>800BWHTDSC</x:v>
      </x:c>
      <x:c r="D345" s="7" t="n">
        <x:f>A219</x:f>
        <x:v>46357</x:v>
      </x:c>
      <x:c r="E345" s="8" t="n">
        <x:f>L219</x:f>
        <x:v>0</x:v>
      </x:c>
      <x:c r="F345" s="8" t="n">
        <x:f>M219</x:f>
        <x:v>0</x:v>
      </x:c>
      <x:c r="G345" s="8" t="n">
        <x:f>N219</x:f>
        <x:v>0</x:v>
      </x:c>
      <x:c r="H345" s="8" t="n">
        <x:f>SUMIFS('PO detail'!$U$2:$U$672,'PO detail'!$A$2:$A$672,B345,'PO detail'!$B$2:$B$672,C345,'PO detail'!$G$2:$G$672,"&gt;="&amp;D345,'PO detail'!$G$2:$G$672,"&lt;"&amp;A345)</x:f>
        <x:v>0</x:v>
      </x:c>
      <x:c r="I345" s="8" t="n">
        <x:f>SUMIFS('PO detail'!$V$2:$V$672,'PO detail'!$A$2:$A$672,B345,'PO detail'!$B$2:$B$672,C345,'PO detail'!$G$2:$G$672,"&gt;="&amp;D345,'PO detail'!$G$2:$G$672,"&lt;"&amp;A345)</x:f>
        <x:v>0</x:v>
      </x:c>
      <x:c r="J345" s="8" t="n">
        <x:f>SUMIFS('PO detail'!$W$2:$W$672,'PO detail'!$A$2:$A$672,B345,'PO detail'!$B$2:$B$672,C345,'PO detail'!$G$2:$G$672,"&gt;="&amp;D345,'PO detail'!$G$2:$G$672,"&lt;"&amp;A345)</x:f>
        <x:v>0</x:v>
      </x:c>
      <x:c r="K345" s="8" t="n">
        <x:f>'Current inventory'!E93*Summary!$D$6*(A345-D345)/30.4375</x:f>
        <x:v>0</x:v>
      </x:c>
      <x:c r="L345" s="8" t="n">
        <x:f>MAX(0,E345+H345-K345)</x:f>
        <x:v>0</x:v>
      </x:c>
      <x:c r="M345" s="8" t="n">
        <x:f>MAX(0,F345+I345-MAX(0,K345-E345-H345))</x:f>
        <x:v>0</x:v>
      </x:c>
      <x:c r="N345" s="8" t="n">
        <x:f>MAX(0,G345+J345-K345)</x:f>
        <x:v>0</x:v>
      </x:c>
      <x:c r="O345" s="8" t="n">
        <x:f>SUM(L345:N345)</x:f>
        <x:v>0</x:v>
      </x:c>
      <x:c r="P345" s="14" t="n">
        <x:f>'Current inventory'!V93</x:f>
        <x:v>0.38</x:v>
      </x:c>
      <x:c r="Q345" s="14" t="str">
        <x:f>'Current inventory'!W93</x:f>
        <x:v>n.a.</x:v>
      </x:c>
      <x:c r="R345" s="10" t="n">
        <x:f>L345*P345</x:f>
        <x:v>0</x:v>
      </x:c>
      <x:c r="S345" s="10" t="n">
        <x:f>M345*P345</x:f>
        <x:v>0</x:v>
      </x:c>
      <x:c r="T345" s="10" t="n">
        <x:f>N345*P345</x:f>
        <x:v>0</x:v>
      </x:c>
      <x:c r="U345" s="10" t="n">
        <x:f>O345*P345</x:f>
        <x:v>0</x:v>
      </x:c>
      <x:c r="V345" s="10" t="str">
        <x:f>IF(ISNUMBER(Q345),O345*(Q345-P345),"n.a.")</x:f>
        <x:v>n.a.</x:v>
      </x:c>
      <x:c r="W345" s="10" t="n">
        <x:f>IF(ISNUMBER(Q345),U345,0)</x:f>
        <x:v>0</x:v>
      </x:c>
      <x:c r="X345" s="8" t="n">
        <x:f>MAX(0,K345-SUM(E345:J345))</x:f>
        <x:v>0</x:v>
      </x:c>
      <x:c r="Y345" s="1" t="str">
        <x:f>IF(AND(O345&gt;0,NOT(ISNUMBER(Q345))),"No proposed replacement standard",IF(X345&gt;0,"Demand exceeds available stock",""))</x:f>
      </x:c>
      <x:c r="Z345" s="1" t="n">
        <x:f>IF(ISNUMBER(Q345),1,0)</x:f>
        <x:v>0</x:v>
      </x:c>
    </x:row>
    <x:row r="346" ht="21" customHeight="1">
      <x:c r="A346" s="17" t="n">
        <x:f>Summary!B17</x:f>
        <x:v>46388</x:v>
      </x:c>
      <x:c r="B346" s="1" t="str">
        <x:f>'Current inventory'!A94</x:f>
        <x:v>30</x:v>
      </x:c>
      <x:c r="C346" s="1" t="str">
        <x:f>'Current inventory'!B94</x:f>
        <x:v>800BWHTISC</x:v>
      </x:c>
      <x:c r="D346" s="7" t="n">
        <x:f>A220</x:f>
        <x:v>46357</x:v>
      </x:c>
      <x:c r="E346" s="8" t="n">
        <x:f>L220</x:f>
        <x:v>0</x:v>
      </x:c>
      <x:c r="F346" s="8" t="n">
        <x:f>M220</x:f>
        <x:v>0</x:v>
      </x:c>
      <x:c r="G346" s="8" t="n">
        <x:f>N220</x:f>
        <x:v>0</x:v>
      </x:c>
      <x:c r="H346" s="8" t="n">
        <x:f>SUMIFS('PO detail'!$U$2:$U$672,'PO detail'!$A$2:$A$672,B346,'PO detail'!$B$2:$B$672,C346,'PO detail'!$G$2:$G$672,"&gt;="&amp;D346,'PO detail'!$G$2:$G$672,"&lt;"&amp;A346)</x:f>
        <x:v>0</x:v>
      </x:c>
      <x:c r="I346" s="8" t="n">
        <x:f>SUMIFS('PO detail'!$V$2:$V$672,'PO detail'!$A$2:$A$672,B346,'PO detail'!$B$2:$B$672,C346,'PO detail'!$G$2:$G$672,"&gt;="&amp;D346,'PO detail'!$G$2:$G$672,"&lt;"&amp;A346)</x:f>
        <x:v>0</x:v>
      </x:c>
      <x:c r="J346" s="8" t="n">
        <x:f>SUMIFS('PO detail'!$W$2:$W$672,'PO detail'!$A$2:$A$672,B346,'PO detail'!$B$2:$B$672,C346,'PO detail'!$G$2:$G$672,"&gt;="&amp;D346,'PO detail'!$G$2:$G$672,"&lt;"&amp;A346)</x:f>
        <x:v>0</x:v>
      </x:c>
      <x:c r="K346" s="8" t="n">
        <x:f>'Current inventory'!E94*Summary!$D$6*(A346-D346)/30.4375</x:f>
        <x:v>0</x:v>
      </x:c>
      <x:c r="L346" s="8" t="n">
        <x:f>MAX(0,E346+H346-K346)</x:f>
        <x:v>0</x:v>
      </x:c>
      <x:c r="M346" s="8" t="n">
        <x:f>MAX(0,F346+I346-MAX(0,K346-E346-H346))</x:f>
        <x:v>0</x:v>
      </x:c>
      <x:c r="N346" s="8" t="n">
        <x:f>MAX(0,G346+J346-K346)</x:f>
        <x:v>0</x:v>
      </x:c>
      <x:c r="O346" s="8" t="n">
        <x:f>SUM(L346:N346)</x:f>
        <x:v>0</x:v>
      </x:c>
      <x:c r="P346" s="14" t="n">
        <x:f>'Current inventory'!V94</x:f>
        <x:v>0.1797</x:v>
      </x:c>
      <x:c r="Q346" s="14" t="str">
        <x:f>'Current inventory'!W94</x:f>
        <x:v>n.a.</x:v>
      </x:c>
      <x:c r="R346" s="10" t="n">
        <x:f>L346*P346</x:f>
        <x:v>0</x:v>
      </x:c>
      <x:c r="S346" s="10" t="n">
        <x:f>M346*P346</x:f>
        <x:v>0</x:v>
      </x:c>
      <x:c r="T346" s="10" t="n">
        <x:f>N346*P346</x:f>
        <x:v>0</x:v>
      </x:c>
      <x:c r="U346" s="10" t="n">
        <x:f>O346*P346</x:f>
        <x:v>0</x:v>
      </x:c>
      <x:c r="V346" s="10" t="str">
        <x:f>IF(ISNUMBER(Q346),O346*(Q346-P346),"n.a.")</x:f>
        <x:v>n.a.</x:v>
      </x:c>
      <x:c r="W346" s="10" t="n">
        <x:f>IF(ISNUMBER(Q346),U346,0)</x:f>
        <x:v>0</x:v>
      </x:c>
      <x:c r="X346" s="8" t="n">
        <x:f>MAX(0,K346-SUM(E346:J346))</x:f>
        <x:v>0</x:v>
      </x:c>
      <x:c r="Y346" s="1" t="str">
        <x:f>IF(AND(O346&gt;0,NOT(ISNUMBER(Q346))),"No proposed replacement standard",IF(X346&gt;0,"Demand exceeds available stock",""))</x:f>
      </x:c>
      <x:c r="Z346" s="1" t="n">
        <x:f>IF(ISNUMBER(Q346),1,0)</x:f>
        <x:v>0</x:v>
      </x:c>
    </x:row>
    <x:row r="347" ht="21" customHeight="1">
      <x:c r="A347" s="17" t="n">
        <x:f>Summary!B17</x:f>
        <x:v>46388</x:v>
      </x:c>
      <x:c r="B347" s="1" t="str">
        <x:f>'Current inventory'!A95</x:f>
        <x:v>30</x:v>
      </x:c>
      <x:c r="C347" s="1" t="str">
        <x:f>'Current inventory'!B95</x:f>
        <x:v>800BREDASC</x:v>
      </x:c>
      <x:c r="D347" s="7" t="n">
        <x:f>A221</x:f>
        <x:v>46357</x:v>
      </x:c>
      <x:c r="E347" s="8" t="n">
        <x:f>L221</x:f>
        <x:v>0</x:v>
      </x:c>
      <x:c r="F347" s="8" t="n">
        <x:f>M221</x:f>
        <x:v>0</x:v>
      </x:c>
      <x:c r="G347" s="8" t="n">
        <x:f>N221</x:f>
        <x:v>0</x:v>
      </x:c>
      <x:c r="H347" s="8" t="n">
        <x:f>SUMIFS('PO detail'!$U$2:$U$672,'PO detail'!$A$2:$A$672,B347,'PO detail'!$B$2:$B$672,C347,'PO detail'!$G$2:$G$672,"&gt;="&amp;D347,'PO detail'!$G$2:$G$672,"&lt;"&amp;A347)</x:f>
        <x:v>0</x:v>
      </x:c>
      <x:c r="I347" s="8" t="n">
        <x:f>SUMIFS('PO detail'!$V$2:$V$672,'PO detail'!$A$2:$A$672,B347,'PO detail'!$B$2:$B$672,C347,'PO detail'!$G$2:$G$672,"&gt;="&amp;D347,'PO detail'!$G$2:$G$672,"&lt;"&amp;A347)</x:f>
        <x:v>0</x:v>
      </x:c>
      <x:c r="J347" s="8" t="n">
        <x:f>SUMIFS('PO detail'!$W$2:$W$672,'PO detail'!$A$2:$A$672,B347,'PO detail'!$B$2:$B$672,C347,'PO detail'!$G$2:$G$672,"&gt;="&amp;D347,'PO detail'!$G$2:$G$672,"&lt;"&amp;A347)</x:f>
        <x:v>0</x:v>
      </x:c>
      <x:c r="K347" s="8" t="n">
        <x:f>'Current inventory'!E95*Summary!$D$6*(A347-D347)/30.4375</x:f>
        <x:v>0</x:v>
      </x:c>
      <x:c r="L347" s="8" t="n">
        <x:f>MAX(0,E347+H347-K347)</x:f>
        <x:v>0</x:v>
      </x:c>
      <x:c r="M347" s="8" t="n">
        <x:f>MAX(0,F347+I347-MAX(0,K347-E347-H347))</x:f>
        <x:v>0</x:v>
      </x:c>
      <x:c r="N347" s="8" t="n">
        <x:f>MAX(0,G347+J347-K347)</x:f>
        <x:v>0</x:v>
      </x:c>
      <x:c r="O347" s="8" t="n">
        <x:f>SUM(L347:N347)</x:f>
        <x:v>0</x:v>
      </x:c>
      <x:c r="P347" s="14" t="n">
        <x:f>'Current inventory'!V95</x:f>
        <x:v>0.07919999999999999</x:v>
      </x:c>
      <x:c r="Q347" s="14" t="str">
        <x:f>'Current inventory'!W95</x:f>
        <x:v>n.a.</x:v>
      </x:c>
      <x:c r="R347" s="10" t="n">
        <x:f>L347*P347</x:f>
        <x:v>0</x:v>
      </x:c>
      <x:c r="S347" s="10" t="n">
        <x:f>M347*P347</x:f>
        <x:v>0</x:v>
      </x:c>
      <x:c r="T347" s="10" t="n">
        <x:f>N347*P347</x:f>
        <x:v>0</x:v>
      </x:c>
      <x:c r="U347" s="10" t="n">
        <x:f>O347*P347</x:f>
        <x:v>0</x:v>
      </x:c>
      <x:c r="V347" s="10" t="str">
        <x:f>IF(ISNUMBER(Q347),O347*(Q347-P347),"n.a.")</x:f>
        <x:v>n.a.</x:v>
      </x:c>
      <x:c r="W347" s="10" t="n">
        <x:f>IF(ISNUMBER(Q347),U347,0)</x:f>
        <x:v>0</x:v>
      </x:c>
      <x:c r="X347" s="8" t="n">
        <x:f>MAX(0,K347-SUM(E347:J347))</x:f>
        <x:v>0</x:v>
      </x:c>
      <x:c r="Y347" s="1" t="str">
        <x:f>IF(AND(O347&gt;0,NOT(ISNUMBER(Q347))),"No proposed replacement standard",IF(X347&gt;0,"Demand exceeds available stock",""))</x:f>
      </x:c>
      <x:c r="Z347" s="1" t="n">
        <x:f>IF(ISNUMBER(Q347),1,0)</x:f>
        <x:v>0</x:v>
      </x:c>
    </x:row>
    <x:row r="348" ht="21" customHeight="1">
      <x:c r="A348" s="17" t="n">
        <x:f>Summary!B17</x:f>
        <x:v>46388</x:v>
      </x:c>
      <x:c r="B348" s="1" t="str">
        <x:f>'Current inventory'!A96</x:f>
        <x:v>30</x:v>
      </x:c>
      <x:c r="C348" s="1" t="str">
        <x:f>'Current inventory'!B96</x:f>
        <x:v>800BREDBRC</x:v>
      </x:c>
      <x:c r="D348" s="7" t="n">
        <x:f>A222</x:f>
        <x:v>46357</x:v>
      </x:c>
      <x:c r="E348" s="8" t="n">
        <x:f>L222</x:f>
        <x:v>0</x:v>
      </x:c>
      <x:c r="F348" s="8" t="n">
        <x:f>M222</x:f>
        <x:v>0</x:v>
      </x:c>
      <x:c r="G348" s="8" t="n">
        <x:f>N222</x:f>
        <x:v>0</x:v>
      </x:c>
      <x:c r="H348" s="8" t="n">
        <x:f>SUMIFS('PO detail'!$U$2:$U$672,'PO detail'!$A$2:$A$672,B348,'PO detail'!$B$2:$B$672,C348,'PO detail'!$G$2:$G$672,"&gt;="&amp;D348,'PO detail'!$G$2:$G$672,"&lt;"&amp;A348)</x:f>
        <x:v>0</x:v>
      </x:c>
      <x:c r="I348" s="8" t="n">
        <x:f>SUMIFS('PO detail'!$V$2:$V$672,'PO detail'!$A$2:$A$672,B348,'PO detail'!$B$2:$B$672,C348,'PO detail'!$G$2:$G$672,"&gt;="&amp;D348,'PO detail'!$G$2:$G$672,"&lt;"&amp;A348)</x:f>
        <x:v>0</x:v>
      </x:c>
      <x:c r="J348" s="8" t="n">
        <x:f>SUMIFS('PO detail'!$W$2:$W$672,'PO detail'!$A$2:$A$672,B348,'PO detail'!$B$2:$B$672,C348,'PO detail'!$G$2:$G$672,"&gt;="&amp;D348,'PO detail'!$G$2:$G$672,"&lt;"&amp;A348)</x:f>
        <x:v>0</x:v>
      </x:c>
      <x:c r="K348" s="8" t="n">
        <x:f>'Current inventory'!E96*Summary!$D$6*(A348-D348)/30.4375</x:f>
        <x:v>0</x:v>
      </x:c>
      <x:c r="L348" s="8" t="n">
        <x:f>MAX(0,E348+H348-K348)</x:f>
        <x:v>0</x:v>
      </x:c>
      <x:c r="M348" s="8" t="n">
        <x:f>MAX(0,F348+I348-MAX(0,K348-E348-H348))</x:f>
        <x:v>0</x:v>
      </x:c>
      <x:c r="N348" s="8" t="n">
        <x:f>MAX(0,G348+J348-K348)</x:f>
        <x:v>0</x:v>
      </x:c>
      <x:c r="O348" s="8" t="n">
        <x:f>SUM(L348:N348)</x:f>
        <x:v>0</x:v>
      </x:c>
      <x:c r="P348" s="14" t="n">
        <x:f>'Current inventory'!V96</x:f>
        <x:v>0.0898</x:v>
      </x:c>
      <x:c r="Q348" s="14" t="str">
        <x:f>'Current inventory'!W96</x:f>
        <x:v>n.a.</x:v>
      </x:c>
      <x:c r="R348" s="10" t="n">
        <x:f>L348*P348</x:f>
        <x:v>0</x:v>
      </x:c>
      <x:c r="S348" s="10" t="n">
        <x:f>M348*P348</x:f>
        <x:v>0</x:v>
      </x:c>
      <x:c r="T348" s="10" t="n">
        <x:f>N348*P348</x:f>
        <x:v>0</x:v>
      </x:c>
      <x:c r="U348" s="10" t="n">
        <x:f>O348*P348</x:f>
        <x:v>0</x:v>
      </x:c>
      <x:c r="V348" s="10" t="str">
        <x:f>IF(ISNUMBER(Q348),O348*(Q348-P348),"n.a.")</x:f>
        <x:v>n.a.</x:v>
      </x:c>
      <x:c r="W348" s="10" t="n">
        <x:f>IF(ISNUMBER(Q348),U348,0)</x:f>
        <x:v>0</x:v>
      </x:c>
      <x:c r="X348" s="8" t="n">
        <x:f>MAX(0,K348-SUM(E348:J348))</x:f>
        <x:v>0</x:v>
      </x:c>
      <x:c r="Y348" s="1" t="str">
        <x:f>IF(AND(O348&gt;0,NOT(ISNUMBER(Q348))),"No proposed replacement standard",IF(X348&gt;0,"Demand exceeds available stock",""))</x:f>
      </x:c>
      <x:c r="Z348" s="1" t="n">
        <x:f>IF(ISNUMBER(Q348),1,0)</x:f>
        <x:v>0</x:v>
      </x:c>
    </x:row>
    <x:row r="349" ht="21" customHeight="1">
      <x:c r="A349" s="17" t="n">
        <x:f>Summary!B17</x:f>
        <x:v>46388</x:v>
      </x:c>
      <x:c r="B349" s="1" t="str">
        <x:f>'Current inventory'!A97</x:f>
        <x:v>30</x:v>
      </x:c>
      <x:c r="C349" s="1" t="str">
        <x:f>'Current inventory'!B97</x:f>
        <x:v>800WBLKASC</x:v>
      </x:c>
      <x:c r="D349" s="7" t="n">
        <x:f>A223</x:f>
        <x:v>46357</x:v>
      </x:c>
      <x:c r="E349" s="8" t="n">
        <x:f>L223</x:f>
        <x:v>0</x:v>
      </x:c>
      <x:c r="F349" s="8" t="n">
        <x:f>M223</x:f>
        <x:v>0</x:v>
      </x:c>
      <x:c r="G349" s="8" t="n">
        <x:f>N223</x:f>
        <x:v>0</x:v>
      </x:c>
      <x:c r="H349" s="8" t="n">
        <x:f>SUMIFS('PO detail'!$U$2:$U$672,'PO detail'!$A$2:$A$672,B349,'PO detail'!$B$2:$B$672,C349,'PO detail'!$G$2:$G$672,"&gt;="&amp;D349,'PO detail'!$G$2:$G$672,"&lt;"&amp;A349)</x:f>
        <x:v>0</x:v>
      </x:c>
      <x:c r="I349" s="8" t="n">
        <x:f>SUMIFS('PO detail'!$V$2:$V$672,'PO detail'!$A$2:$A$672,B349,'PO detail'!$B$2:$B$672,C349,'PO detail'!$G$2:$G$672,"&gt;="&amp;D349,'PO detail'!$G$2:$G$672,"&lt;"&amp;A349)</x:f>
        <x:v>0</x:v>
      </x:c>
      <x:c r="J349" s="8" t="n">
        <x:f>SUMIFS('PO detail'!$W$2:$W$672,'PO detail'!$A$2:$A$672,B349,'PO detail'!$B$2:$B$672,C349,'PO detail'!$G$2:$G$672,"&gt;="&amp;D349,'PO detail'!$G$2:$G$672,"&lt;"&amp;A349)</x:f>
        <x:v>0</x:v>
      </x:c>
      <x:c r="K349" s="8" t="n">
        <x:f>'Current inventory'!E97*Summary!$D$6*(A349-D349)/30.4375</x:f>
        <x:v>0</x:v>
      </x:c>
      <x:c r="L349" s="8" t="n">
        <x:f>MAX(0,E349+H349-K349)</x:f>
        <x:v>0</x:v>
      </x:c>
      <x:c r="M349" s="8" t="n">
        <x:f>MAX(0,F349+I349-MAX(0,K349-E349-H349))</x:f>
        <x:v>0</x:v>
      </x:c>
      <x:c r="N349" s="8" t="n">
        <x:f>MAX(0,G349+J349-K349)</x:f>
        <x:v>0</x:v>
      </x:c>
      <x:c r="O349" s="8" t="n">
        <x:f>SUM(L349:N349)</x:f>
        <x:v>0</x:v>
      </x:c>
      <x:c r="P349" s="14" t="n">
        <x:f>'Current inventory'!V97</x:f>
        <x:v>0.111</x:v>
      </x:c>
      <x:c r="Q349" s="14" t="str">
        <x:f>'Current inventory'!W97</x:f>
        <x:v>n.a.</x:v>
      </x:c>
      <x:c r="R349" s="10" t="n">
        <x:f>L349*P349</x:f>
        <x:v>0</x:v>
      </x:c>
      <x:c r="S349" s="10" t="n">
        <x:f>M349*P349</x:f>
        <x:v>0</x:v>
      </x:c>
      <x:c r="T349" s="10" t="n">
        <x:f>N349*P349</x:f>
        <x:v>0</x:v>
      </x:c>
      <x:c r="U349" s="10" t="n">
        <x:f>O349*P349</x:f>
        <x:v>0</x:v>
      </x:c>
      <x:c r="V349" s="10" t="str">
        <x:f>IF(ISNUMBER(Q349),O349*(Q349-P349),"n.a.")</x:f>
        <x:v>n.a.</x:v>
      </x:c>
      <x:c r="W349" s="10" t="n">
        <x:f>IF(ISNUMBER(Q349),U349,0)</x:f>
        <x:v>0</x:v>
      </x:c>
      <x:c r="X349" s="8" t="n">
        <x:f>MAX(0,K349-SUM(E349:J349))</x:f>
        <x:v>0</x:v>
      </x:c>
      <x:c r="Y349" s="1" t="str">
        <x:f>IF(AND(O349&gt;0,NOT(ISNUMBER(Q349))),"No proposed replacement standard",IF(X349&gt;0,"Demand exceeds available stock",""))</x:f>
      </x:c>
      <x:c r="Z349" s="1" t="n">
        <x:f>IF(ISNUMBER(Q349),1,0)</x:f>
        <x:v>0</x:v>
      </x:c>
    </x:row>
    <x:row r="350" ht="21" customHeight="1">
      <x:c r="A350" s="17" t="n">
        <x:f>Summary!B17</x:f>
        <x:v>46388</x:v>
      </x:c>
      <x:c r="B350" s="1" t="str">
        <x:f>'Current inventory'!A98</x:f>
        <x:v>30</x:v>
      </x:c>
      <x:c r="C350" s="1" t="str">
        <x:f>'Current inventory'!B98</x:f>
        <x:v>800WNAVASC</x:v>
      </x:c>
      <x:c r="D350" s="7" t="n">
        <x:f>A224</x:f>
        <x:v>46357</x:v>
      </x:c>
      <x:c r="E350" s="8" t="n">
        <x:f>L224</x:f>
        <x:v>0</x:v>
      </x:c>
      <x:c r="F350" s="8" t="n">
        <x:f>M224</x:f>
        <x:v>0</x:v>
      </x:c>
      <x:c r="G350" s="8" t="n">
        <x:f>N224</x:f>
        <x:v>0</x:v>
      </x:c>
      <x:c r="H350" s="8" t="n">
        <x:f>SUMIFS('PO detail'!$U$2:$U$672,'PO detail'!$A$2:$A$672,B350,'PO detail'!$B$2:$B$672,C350,'PO detail'!$G$2:$G$672,"&gt;="&amp;D350,'PO detail'!$G$2:$G$672,"&lt;"&amp;A350)</x:f>
        <x:v>0</x:v>
      </x:c>
      <x:c r="I350" s="8" t="n">
        <x:f>SUMIFS('PO detail'!$V$2:$V$672,'PO detail'!$A$2:$A$672,B350,'PO detail'!$B$2:$B$672,C350,'PO detail'!$G$2:$G$672,"&gt;="&amp;D350,'PO detail'!$G$2:$G$672,"&lt;"&amp;A350)</x:f>
        <x:v>0</x:v>
      </x:c>
      <x:c r="J350" s="8" t="n">
        <x:f>SUMIFS('PO detail'!$W$2:$W$672,'PO detail'!$A$2:$A$672,B350,'PO detail'!$B$2:$B$672,C350,'PO detail'!$G$2:$G$672,"&gt;="&amp;D350,'PO detail'!$G$2:$G$672,"&lt;"&amp;A350)</x:f>
        <x:v>0</x:v>
      </x:c>
      <x:c r="K350" s="8" t="n">
        <x:f>'Current inventory'!E98*Summary!$D$6*(A350-D350)/30.4375</x:f>
        <x:v>0</x:v>
      </x:c>
      <x:c r="L350" s="8" t="n">
        <x:f>MAX(0,E350+H350-K350)</x:f>
        <x:v>0</x:v>
      </x:c>
      <x:c r="M350" s="8" t="n">
        <x:f>MAX(0,F350+I350-MAX(0,K350-E350-H350))</x:f>
        <x:v>0</x:v>
      </x:c>
      <x:c r="N350" s="8" t="n">
        <x:f>MAX(0,G350+J350-K350)</x:f>
        <x:v>0</x:v>
      </x:c>
      <x:c r="O350" s="8" t="n">
        <x:f>SUM(L350:N350)</x:f>
        <x:v>0</x:v>
      </x:c>
      <x:c r="P350" s="14" t="n">
        <x:f>'Current inventory'!V98</x:f>
        <x:v>0.13570000000000002</x:v>
      </x:c>
      <x:c r="Q350" s="14" t="str">
        <x:f>'Current inventory'!W98</x:f>
        <x:v>n.a.</x:v>
      </x:c>
      <x:c r="R350" s="10" t="n">
        <x:f>L350*P350</x:f>
        <x:v>0</x:v>
      </x:c>
      <x:c r="S350" s="10" t="n">
        <x:f>M350*P350</x:f>
        <x:v>0</x:v>
      </x:c>
      <x:c r="T350" s="10" t="n">
        <x:f>N350*P350</x:f>
        <x:v>0</x:v>
      </x:c>
      <x:c r="U350" s="10" t="n">
        <x:f>O350*P350</x:f>
        <x:v>0</x:v>
      </x:c>
      <x:c r="V350" s="10" t="str">
        <x:f>IF(ISNUMBER(Q350),O350*(Q350-P350),"n.a.")</x:f>
        <x:v>n.a.</x:v>
      </x:c>
      <x:c r="W350" s="10" t="n">
        <x:f>IF(ISNUMBER(Q350),U350,0)</x:f>
        <x:v>0</x:v>
      </x:c>
      <x:c r="X350" s="8" t="n">
        <x:f>MAX(0,K350-SUM(E350:J350))</x:f>
        <x:v>0</x:v>
      </x:c>
      <x:c r="Y350" s="1" t="str">
        <x:f>IF(AND(O350&gt;0,NOT(ISNUMBER(Q350))),"No proposed replacement standard",IF(X350&gt;0,"Demand exceeds available stock",""))</x:f>
      </x:c>
      <x:c r="Z350" s="1" t="n">
        <x:f>IF(ISNUMBER(Q350),1,0)</x:f>
        <x:v>0</x:v>
      </x:c>
    </x:row>
    <x:row r="351" ht="21" customHeight="1">
      <x:c r="A351" s="17" t="n">
        <x:f>Summary!B17</x:f>
        <x:v>46388</x:v>
      </x:c>
      <x:c r="B351" s="1" t="str">
        <x:f>'Current inventory'!A99</x:f>
        <x:v>30</x:v>
      </x:c>
      <x:c r="C351" s="1" t="str">
        <x:f>'Current inventory'!B99</x:f>
        <x:v>800WNAVBRC</x:v>
      </x:c>
      <x:c r="D351" s="7" t="n">
        <x:f>A225</x:f>
        <x:v>46357</x:v>
      </x:c>
      <x:c r="E351" s="8" t="n">
        <x:f>L225</x:f>
        <x:v>0</x:v>
      </x:c>
      <x:c r="F351" s="8" t="n">
        <x:f>M225</x:f>
        <x:v>0</x:v>
      </x:c>
      <x:c r="G351" s="8" t="n">
        <x:f>N225</x:f>
        <x:v>0</x:v>
      </x:c>
      <x:c r="H351" s="8" t="n">
        <x:f>SUMIFS('PO detail'!$U$2:$U$672,'PO detail'!$A$2:$A$672,B351,'PO detail'!$B$2:$B$672,C351,'PO detail'!$G$2:$G$672,"&gt;="&amp;D351,'PO detail'!$G$2:$G$672,"&lt;"&amp;A351)</x:f>
        <x:v>0</x:v>
      </x:c>
      <x:c r="I351" s="8" t="n">
        <x:f>SUMIFS('PO detail'!$V$2:$V$672,'PO detail'!$A$2:$A$672,B351,'PO detail'!$B$2:$B$672,C351,'PO detail'!$G$2:$G$672,"&gt;="&amp;D351,'PO detail'!$G$2:$G$672,"&lt;"&amp;A351)</x:f>
        <x:v>0</x:v>
      </x:c>
      <x:c r="J351" s="8" t="n">
        <x:f>SUMIFS('PO detail'!$W$2:$W$672,'PO detail'!$A$2:$A$672,B351,'PO detail'!$B$2:$B$672,C351,'PO detail'!$G$2:$G$672,"&gt;="&amp;D351,'PO detail'!$G$2:$G$672,"&lt;"&amp;A351)</x:f>
        <x:v>0</x:v>
      </x:c>
      <x:c r="K351" s="8" t="n">
        <x:f>'Current inventory'!E99*Summary!$D$6*(A351-D351)/30.4375</x:f>
        <x:v>0</x:v>
      </x:c>
      <x:c r="L351" s="8" t="n">
        <x:f>MAX(0,E351+H351-K351)</x:f>
        <x:v>0</x:v>
      </x:c>
      <x:c r="M351" s="8" t="n">
        <x:f>MAX(0,F351+I351-MAX(0,K351-E351-H351))</x:f>
        <x:v>0</x:v>
      </x:c>
      <x:c r="N351" s="8" t="n">
        <x:f>MAX(0,G351+J351-K351)</x:f>
        <x:v>0</x:v>
      </x:c>
      <x:c r="O351" s="8" t="n">
        <x:f>SUM(L351:N351)</x:f>
        <x:v>0</x:v>
      </x:c>
      <x:c r="P351" s="14" t="n">
        <x:f>'Current inventory'!V99</x:f>
        <x:v>0.17350000000000002</x:v>
      </x:c>
      <x:c r="Q351" s="14" t="str">
        <x:f>'Current inventory'!W99</x:f>
        <x:v>n.a.</x:v>
      </x:c>
      <x:c r="R351" s="10" t="n">
        <x:f>L351*P351</x:f>
        <x:v>0</x:v>
      </x:c>
      <x:c r="S351" s="10" t="n">
        <x:f>M351*P351</x:f>
        <x:v>0</x:v>
      </x:c>
      <x:c r="T351" s="10" t="n">
        <x:f>N351*P351</x:f>
        <x:v>0</x:v>
      </x:c>
      <x:c r="U351" s="10" t="n">
        <x:f>O351*P351</x:f>
        <x:v>0</x:v>
      </x:c>
      <x:c r="V351" s="10" t="str">
        <x:f>IF(ISNUMBER(Q351),O351*(Q351-P351),"n.a.")</x:f>
        <x:v>n.a.</x:v>
      </x:c>
      <x:c r="W351" s="10" t="n">
        <x:f>IF(ISNUMBER(Q351),U351,0)</x:f>
        <x:v>0</x:v>
      </x:c>
      <x:c r="X351" s="8" t="n">
        <x:f>MAX(0,K351-SUM(E351:J351))</x:f>
        <x:v>0</x:v>
      </x:c>
      <x:c r="Y351" s="1" t="str">
        <x:f>IF(AND(O351&gt;0,NOT(ISNUMBER(Q351))),"No proposed replacement standard",IF(X351&gt;0,"Demand exceeds available stock",""))</x:f>
      </x:c>
      <x:c r="Z351" s="1" t="n">
        <x:f>IF(ISNUMBER(Q351),1,0)</x:f>
        <x:v>0</x:v>
      </x:c>
    </x:row>
    <x:row r="352" ht="21" customHeight="1">
      <x:c r="A352" s="17" t="n">
        <x:f>Summary!B17</x:f>
        <x:v>46388</x:v>
      </x:c>
      <x:c r="B352" s="1" t="str">
        <x:f>'Current inventory'!A100</x:f>
        <x:v>60</x:v>
      </x:c>
      <x:c r="C352" s="1" t="str">
        <x:f>'Current inventory'!B100</x:f>
        <x:v>800BFGASC</x:v>
      </x:c>
      <x:c r="D352" s="7" t="n">
        <x:f>A226</x:f>
        <x:v>46357</x:v>
      </x:c>
      <x:c r="E352" s="8" t="n">
        <x:f>L226</x:f>
        <x:v>0</x:v>
      </x:c>
      <x:c r="F352" s="8" t="n">
        <x:f>M226</x:f>
        <x:v>0</x:v>
      </x:c>
      <x:c r="G352" s="8" t="n">
        <x:f>N226</x:f>
        <x:v>0</x:v>
      </x:c>
      <x:c r="H352" s="8" t="n">
        <x:f>SUMIFS('PO detail'!$U$2:$U$672,'PO detail'!$A$2:$A$672,B352,'PO detail'!$B$2:$B$672,C352,'PO detail'!$G$2:$G$672,"&gt;="&amp;D352,'PO detail'!$G$2:$G$672,"&lt;"&amp;A352)</x:f>
        <x:v>0</x:v>
      </x:c>
      <x:c r="I352" s="8" t="n">
        <x:f>SUMIFS('PO detail'!$V$2:$V$672,'PO detail'!$A$2:$A$672,B352,'PO detail'!$B$2:$B$672,C352,'PO detail'!$G$2:$G$672,"&gt;="&amp;D352,'PO detail'!$G$2:$G$672,"&lt;"&amp;A352)</x:f>
        <x:v>0</x:v>
      </x:c>
      <x:c r="J352" s="8" t="n">
        <x:f>SUMIFS('PO detail'!$W$2:$W$672,'PO detail'!$A$2:$A$672,B352,'PO detail'!$B$2:$B$672,C352,'PO detail'!$G$2:$G$672,"&gt;="&amp;D352,'PO detail'!$G$2:$G$672,"&lt;"&amp;A352)</x:f>
        <x:v>0</x:v>
      </x:c>
      <x:c r="K352" s="8" t="n">
        <x:f>'Current inventory'!E100*Summary!$D$6*(A352-D352)/30.4375</x:f>
        <x:v>0</x:v>
      </x:c>
      <x:c r="L352" s="8" t="n">
        <x:f>MAX(0,E352+H352-K352)</x:f>
        <x:v>0</x:v>
      </x:c>
      <x:c r="M352" s="8" t="n">
        <x:f>MAX(0,F352+I352-MAX(0,K352-E352-H352))</x:f>
        <x:v>0</x:v>
      </x:c>
      <x:c r="N352" s="8" t="n">
        <x:f>MAX(0,G352+J352-K352)</x:f>
        <x:v>0</x:v>
      </x:c>
      <x:c r="O352" s="8" t="n">
        <x:f>SUM(L352:N352)</x:f>
        <x:v>0</x:v>
      </x:c>
      <x:c r="P352" s="14" t="n">
        <x:f>'Current inventory'!V100</x:f>
        <x:v>0.1456</x:v>
      </x:c>
      <x:c r="Q352" s="14" t="str">
        <x:f>'Current inventory'!W100</x:f>
        <x:v>n.a.</x:v>
      </x:c>
      <x:c r="R352" s="10" t="n">
        <x:f>L352*P352</x:f>
        <x:v>0</x:v>
      </x:c>
      <x:c r="S352" s="10" t="n">
        <x:f>M352*P352</x:f>
        <x:v>0</x:v>
      </x:c>
      <x:c r="T352" s="10" t="n">
        <x:f>N352*P352</x:f>
        <x:v>0</x:v>
      </x:c>
      <x:c r="U352" s="10" t="n">
        <x:f>O352*P352</x:f>
        <x:v>0</x:v>
      </x:c>
      <x:c r="V352" s="10" t="str">
        <x:f>IF(ISNUMBER(Q352),O352*(Q352-P352),"n.a.")</x:f>
        <x:v>n.a.</x:v>
      </x:c>
      <x:c r="W352" s="10" t="n">
        <x:f>IF(ISNUMBER(Q352),U352,0)</x:f>
        <x:v>0</x:v>
      </x:c>
      <x:c r="X352" s="8" t="n">
        <x:f>MAX(0,K352-SUM(E352:J352))</x:f>
        <x:v>0</x:v>
      </x:c>
      <x:c r="Y352" s="1" t="str">
        <x:f>IF(AND(O352&gt;0,NOT(ISNUMBER(Q352))),"No proposed replacement standard",IF(X352&gt;0,"Demand exceeds available stock",""))</x:f>
      </x:c>
      <x:c r="Z352" s="1" t="n">
        <x:f>IF(ISNUMBER(Q352),1,0)</x:f>
        <x:v>0</x:v>
      </x:c>
    </x:row>
    <x:row r="353" ht="21" customHeight="1">
      <x:c r="A353" s="17" t="n">
        <x:f>Summary!B17</x:f>
        <x:v>46388</x:v>
      </x:c>
      <x:c r="B353" s="1" t="str">
        <x:f>'Current inventory'!A101</x:f>
        <x:v>60</x:v>
      </x:c>
      <x:c r="C353" s="1" t="str">
        <x:f>'Current inventory'!B101</x:f>
        <x:v>800BFGBRC</x:v>
      </x:c>
      <x:c r="D353" s="7" t="n">
        <x:f>A227</x:f>
        <x:v>46357</x:v>
      </x:c>
      <x:c r="E353" s="8" t="n">
        <x:f>L227</x:f>
        <x:v>0</x:v>
      </x:c>
      <x:c r="F353" s="8" t="n">
        <x:f>M227</x:f>
        <x:v>0</x:v>
      </x:c>
      <x:c r="G353" s="8" t="n">
        <x:f>N227</x:f>
        <x:v>0</x:v>
      </x:c>
      <x:c r="H353" s="8" t="n">
        <x:f>SUMIFS('PO detail'!$U$2:$U$672,'PO detail'!$A$2:$A$672,B353,'PO detail'!$B$2:$B$672,C353,'PO detail'!$G$2:$G$672,"&gt;="&amp;D353,'PO detail'!$G$2:$G$672,"&lt;"&amp;A353)</x:f>
        <x:v>0</x:v>
      </x:c>
      <x:c r="I353" s="8" t="n">
        <x:f>SUMIFS('PO detail'!$V$2:$V$672,'PO detail'!$A$2:$A$672,B353,'PO detail'!$B$2:$B$672,C353,'PO detail'!$G$2:$G$672,"&gt;="&amp;D353,'PO detail'!$G$2:$G$672,"&lt;"&amp;A353)</x:f>
        <x:v>0</x:v>
      </x:c>
      <x:c r="J353" s="8" t="n">
        <x:f>SUMIFS('PO detail'!$W$2:$W$672,'PO detail'!$A$2:$A$672,B353,'PO detail'!$B$2:$B$672,C353,'PO detail'!$G$2:$G$672,"&gt;="&amp;D353,'PO detail'!$G$2:$G$672,"&lt;"&amp;A353)</x:f>
        <x:v>0</x:v>
      </x:c>
      <x:c r="K353" s="8" t="n">
        <x:f>'Current inventory'!E101*Summary!$D$6*(A353-D353)/30.4375</x:f>
        <x:v>0</x:v>
      </x:c>
      <x:c r="L353" s="8" t="n">
        <x:f>MAX(0,E353+H353-K353)</x:f>
        <x:v>0</x:v>
      </x:c>
      <x:c r="M353" s="8" t="n">
        <x:f>MAX(0,F353+I353-MAX(0,K353-E353-H353))</x:f>
        <x:v>0</x:v>
      </x:c>
      <x:c r="N353" s="8" t="n">
        <x:f>MAX(0,G353+J353-K353)</x:f>
        <x:v>0</x:v>
      </x:c>
      <x:c r="O353" s="8" t="n">
        <x:f>SUM(L353:N353)</x:f>
        <x:v>0</x:v>
      </x:c>
      <x:c r="P353" s="14" t="n">
        <x:f>'Current inventory'!V101</x:f>
        <x:v>0.18469999999999998</x:v>
      </x:c>
      <x:c r="Q353" s="14" t="str">
        <x:f>'Current inventory'!W101</x:f>
        <x:v>n.a.</x:v>
      </x:c>
      <x:c r="R353" s="10" t="n">
        <x:f>L353*P353</x:f>
        <x:v>0</x:v>
      </x:c>
      <x:c r="S353" s="10" t="n">
        <x:f>M353*P353</x:f>
        <x:v>0</x:v>
      </x:c>
      <x:c r="T353" s="10" t="n">
        <x:f>N353*P353</x:f>
        <x:v>0</x:v>
      </x:c>
      <x:c r="U353" s="10" t="n">
        <x:f>O353*P353</x:f>
        <x:v>0</x:v>
      </x:c>
      <x:c r="V353" s="10" t="str">
        <x:f>IF(ISNUMBER(Q353),O353*(Q353-P353),"n.a.")</x:f>
        <x:v>n.a.</x:v>
      </x:c>
      <x:c r="W353" s="10" t="n">
        <x:f>IF(ISNUMBER(Q353),U353,0)</x:f>
        <x:v>0</x:v>
      </x:c>
      <x:c r="X353" s="8" t="n">
        <x:f>MAX(0,K353-SUM(E353:J353))</x:f>
        <x:v>0</x:v>
      </x:c>
      <x:c r="Y353" s="1" t="str">
        <x:f>IF(AND(O353&gt;0,NOT(ISNUMBER(Q353))),"No proposed replacement standard",IF(X353&gt;0,"Demand exceeds available stock",""))</x:f>
      </x:c>
      <x:c r="Z353" s="1" t="n">
        <x:f>IF(ISNUMBER(Q353),1,0)</x:f>
        <x:v>0</x:v>
      </x:c>
    </x:row>
    <x:row r="354" ht="21" customHeight="1">
      <x:c r="A354" s="17" t="n">
        <x:f>Summary!B17</x:f>
        <x:v>46388</x:v>
      </x:c>
      <x:c r="B354" s="1" t="str">
        <x:f>'Current inventory'!A102</x:f>
        <x:v>60</x:v>
      </x:c>
      <x:c r="C354" s="1" t="str">
        <x:f>'Current inventory'!B102</x:f>
        <x:v>800BFGCSC</x:v>
      </x:c>
      <x:c r="D354" s="7" t="n">
        <x:f>A228</x:f>
        <x:v>46357</x:v>
      </x:c>
      <x:c r="E354" s="8" t="n">
        <x:f>L228</x:f>
        <x:v>0</x:v>
      </x:c>
      <x:c r="F354" s="8" t="n">
        <x:f>M228</x:f>
        <x:v>0</x:v>
      </x:c>
      <x:c r="G354" s="8" t="n">
        <x:f>N228</x:f>
        <x:v>0</x:v>
      </x:c>
      <x:c r="H354" s="8" t="n">
        <x:f>SUMIFS('PO detail'!$U$2:$U$672,'PO detail'!$A$2:$A$672,B354,'PO detail'!$B$2:$B$672,C354,'PO detail'!$G$2:$G$672,"&gt;="&amp;D354,'PO detail'!$G$2:$G$672,"&lt;"&amp;A354)</x:f>
        <x:v>0</x:v>
      </x:c>
      <x:c r="I354" s="8" t="n">
        <x:f>SUMIFS('PO detail'!$V$2:$V$672,'PO detail'!$A$2:$A$672,B354,'PO detail'!$B$2:$B$672,C354,'PO detail'!$G$2:$G$672,"&gt;="&amp;D354,'PO detail'!$G$2:$G$672,"&lt;"&amp;A354)</x:f>
        <x:v>0</x:v>
      </x:c>
      <x:c r="J354" s="8" t="n">
        <x:f>SUMIFS('PO detail'!$W$2:$W$672,'PO detail'!$A$2:$A$672,B354,'PO detail'!$B$2:$B$672,C354,'PO detail'!$G$2:$G$672,"&gt;="&amp;D354,'PO detail'!$G$2:$G$672,"&lt;"&amp;A354)</x:f>
        <x:v>0</x:v>
      </x:c>
      <x:c r="K354" s="8" t="n">
        <x:f>'Current inventory'!E102*Summary!$D$6*(A354-D354)/30.4375</x:f>
        <x:v>0</x:v>
      </x:c>
      <x:c r="L354" s="8" t="n">
        <x:f>MAX(0,E354+H354-K354)</x:f>
        <x:v>0</x:v>
      </x:c>
      <x:c r="M354" s="8" t="n">
        <x:f>MAX(0,F354+I354-MAX(0,K354-E354-H354))</x:f>
        <x:v>0</x:v>
      </x:c>
      <x:c r="N354" s="8" t="n">
        <x:f>MAX(0,G354+J354-K354)</x:f>
        <x:v>0</x:v>
      </x:c>
      <x:c r="O354" s="8" t="n">
        <x:f>SUM(L354:N354)</x:f>
        <x:v>0</x:v>
      </x:c>
      <x:c r="P354" s="14" t="n">
        <x:f>'Current inventory'!V102</x:f>
        <x:v>0.21559999999999999</x:v>
      </x:c>
      <x:c r="Q354" s="14" t="str">
        <x:f>'Current inventory'!W102</x:f>
        <x:v>n.a.</x:v>
      </x:c>
      <x:c r="R354" s="10" t="n">
        <x:f>L354*P354</x:f>
        <x:v>0</x:v>
      </x:c>
      <x:c r="S354" s="10" t="n">
        <x:f>M354*P354</x:f>
        <x:v>0</x:v>
      </x:c>
      <x:c r="T354" s="10" t="n">
        <x:f>N354*P354</x:f>
        <x:v>0</x:v>
      </x:c>
      <x:c r="U354" s="10" t="n">
        <x:f>O354*P354</x:f>
        <x:v>0</x:v>
      </x:c>
      <x:c r="V354" s="10" t="str">
        <x:f>IF(ISNUMBER(Q354),O354*(Q354-P354),"n.a.")</x:f>
        <x:v>n.a.</x:v>
      </x:c>
      <x:c r="W354" s="10" t="n">
        <x:f>IF(ISNUMBER(Q354),U354,0)</x:f>
        <x:v>0</x:v>
      </x:c>
      <x:c r="X354" s="8" t="n">
        <x:f>MAX(0,K354-SUM(E354:J354))</x:f>
        <x:v>0</x:v>
      </x:c>
      <x:c r="Y354" s="1" t="str">
        <x:f>IF(AND(O354&gt;0,NOT(ISNUMBER(Q354))),"No proposed replacement standard",IF(X354&gt;0,"Demand exceeds available stock",""))</x:f>
      </x:c>
      <x:c r="Z354" s="1" t="n">
        <x:f>IF(ISNUMBER(Q354),1,0)</x:f>
        <x:v>0</x:v>
      </x:c>
    </x:row>
    <x:row r="355" ht="21" customHeight="1">
      <x:c r="A355" s="17" t="n">
        <x:f>Summary!B17</x:f>
        <x:v>46388</x:v>
      </x:c>
      <x:c r="B355" s="1" t="str">
        <x:f>'Current inventory'!A103</x:f>
        <x:v>60</x:v>
      </x:c>
      <x:c r="C355" s="1" t="str">
        <x:f>'Current inventory'!B103</x:f>
        <x:v>800BFGDSC</x:v>
      </x:c>
      <x:c r="D355" s="7" t="n">
        <x:f>A229</x:f>
        <x:v>46357</x:v>
      </x:c>
      <x:c r="E355" s="8" t="n">
        <x:f>L229</x:f>
        <x:v>0</x:v>
      </x:c>
      <x:c r="F355" s="8" t="n">
        <x:f>M229</x:f>
        <x:v>0</x:v>
      </x:c>
      <x:c r="G355" s="8" t="n">
        <x:f>N229</x:f>
        <x:v>0</x:v>
      </x:c>
      <x:c r="H355" s="8" t="n">
        <x:f>SUMIFS('PO detail'!$U$2:$U$672,'PO detail'!$A$2:$A$672,B355,'PO detail'!$B$2:$B$672,C355,'PO detail'!$G$2:$G$672,"&gt;="&amp;D355,'PO detail'!$G$2:$G$672,"&lt;"&amp;A355)</x:f>
        <x:v>0</x:v>
      </x:c>
      <x:c r="I355" s="8" t="n">
        <x:f>SUMIFS('PO detail'!$V$2:$V$672,'PO detail'!$A$2:$A$672,B355,'PO detail'!$B$2:$B$672,C355,'PO detail'!$G$2:$G$672,"&gt;="&amp;D355,'PO detail'!$G$2:$G$672,"&lt;"&amp;A355)</x:f>
        <x:v>0</x:v>
      </x:c>
      <x:c r="J355" s="8" t="n">
        <x:f>SUMIFS('PO detail'!$W$2:$W$672,'PO detail'!$A$2:$A$672,B355,'PO detail'!$B$2:$B$672,C355,'PO detail'!$G$2:$G$672,"&gt;="&amp;D355,'PO detail'!$G$2:$G$672,"&lt;"&amp;A355)</x:f>
        <x:v>0</x:v>
      </x:c>
      <x:c r="K355" s="8" t="n">
        <x:f>'Current inventory'!E103*Summary!$D$6*(A355-D355)/30.4375</x:f>
        <x:v>0</x:v>
      </x:c>
      <x:c r="L355" s="8" t="n">
        <x:f>MAX(0,E355+H355-K355)</x:f>
        <x:v>0</x:v>
      </x:c>
      <x:c r="M355" s="8" t="n">
        <x:f>MAX(0,F355+I355-MAX(0,K355-E355-H355))</x:f>
        <x:v>0</x:v>
      </x:c>
      <x:c r="N355" s="8" t="n">
        <x:f>MAX(0,G355+J355-K355)</x:f>
        <x:v>0</x:v>
      </x:c>
      <x:c r="O355" s="8" t="n">
        <x:f>SUM(L355:N355)</x:f>
        <x:v>0</x:v>
      </x:c>
      <x:c r="P355" s="14" t="n">
        <x:f>'Current inventory'!V103</x:f>
        <x:v>0.38</x:v>
      </x:c>
      <x:c r="Q355" s="14" t="str">
        <x:f>'Current inventory'!W103</x:f>
        <x:v>n.a.</x:v>
      </x:c>
      <x:c r="R355" s="10" t="n">
        <x:f>L355*P355</x:f>
        <x:v>0</x:v>
      </x:c>
      <x:c r="S355" s="10" t="n">
        <x:f>M355*P355</x:f>
        <x:v>0</x:v>
      </x:c>
      <x:c r="T355" s="10" t="n">
        <x:f>N355*P355</x:f>
        <x:v>0</x:v>
      </x:c>
      <x:c r="U355" s="10" t="n">
        <x:f>O355*P355</x:f>
        <x:v>0</x:v>
      </x:c>
      <x:c r="V355" s="10" t="str">
        <x:f>IF(ISNUMBER(Q355),O355*(Q355-P355),"n.a.")</x:f>
        <x:v>n.a.</x:v>
      </x:c>
      <x:c r="W355" s="10" t="n">
        <x:f>IF(ISNUMBER(Q355),U355,0)</x:f>
        <x:v>0</x:v>
      </x:c>
      <x:c r="X355" s="8" t="n">
        <x:f>MAX(0,K355-SUM(E355:J355))</x:f>
        <x:v>0</x:v>
      </x:c>
      <x:c r="Y355" s="1" t="str">
        <x:f>IF(AND(O355&gt;0,NOT(ISNUMBER(Q355))),"No proposed replacement standard",IF(X355&gt;0,"Demand exceeds available stock",""))</x:f>
      </x:c>
      <x:c r="Z355" s="1" t="n">
        <x:f>IF(ISNUMBER(Q355),1,0)</x:f>
        <x:v>0</x:v>
      </x:c>
    </x:row>
    <x:row r="356" ht="21" customHeight="1">
      <x:c r="A356" s="17" t="n">
        <x:f>Summary!B17</x:f>
        <x:v>46388</x:v>
      </x:c>
      <x:c r="B356" s="1" t="str">
        <x:f>'Current inventory'!A104</x:f>
        <x:v>60</x:v>
      </x:c>
      <x:c r="C356" s="1" t="str">
        <x:f>'Current inventory'!B104</x:f>
        <x:v>800BFGISC</x:v>
      </x:c>
      <x:c r="D356" s="7" t="n">
        <x:f>A230</x:f>
        <x:v>46357</x:v>
      </x:c>
      <x:c r="E356" s="8" t="n">
        <x:f>L230</x:f>
        <x:v>0</x:v>
      </x:c>
      <x:c r="F356" s="8" t="n">
        <x:f>M230</x:f>
        <x:v>0</x:v>
      </x:c>
      <x:c r="G356" s="8" t="n">
        <x:f>N230</x:f>
        <x:v>0</x:v>
      </x:c>
      <x:c r="H356" s="8" t="n">
        <x:f>SUMIFS('PO detail'!$U$2:$U$672,'PO detail'!$A$2:$A$672,B356,'PO detail'!$B$2:$B$672,C356,'PO detail'!$G$2:$G$672,"&gt;="&amp;D356,'PO detail'!$G$2:$G$672,"&lt;"&amp;A356)</x:f>
        <x:v>0</x:v>
      </x:c>
      <x:c r="I356" s="8" t="n">
        <x:f>SUMIFS('PO detail'!$V$2:$V$672,'PO detail'!$A$2:$A$672,B356,'PO detail'!$B$2:$B$672,C356,'PO detail'!$G$2:$G$672,"&gt;="&amp;D356,'PO detail'!$G$2:$G$672,"&lt;"&amp;A356)</x:f>
        <x:v>0</x:v>
      </x:c>
      <x:c r="J356" s="8" t="n">
        <x:f>SUMIFS('PO detail'!$W$2:$W$672,'PO detail'!$A$2:$A$672,B356,'PO detail'!$B$2:$B$672,C356,'PO detail'!$G$2:$G$672,"&gt;="&amp;D356,'PO detail'!$G$2:$G$672,"&lt;"&amp;A356)</x:f>
        <x:v>0</x:v>
      </x:c>
      <x:c r="K356" s="8" t="n">
        <x:f>'Current inventory'!E104*Summary!$D$6*(A356-D356)/30.4375</x:f>
        <x:v>0</x:v>
      </x:c>
      <x:c r="L356" s="8" t="n">
        <x:f>MAX(0,E356+H356-K356)</x:f>
        <x:v>0</x:v>
      </x:c>
      <x:c r="M356" s="8" t="n">
        <x:f>MAX(0,F356+I356-MAX(0,K356-E356-H356))</x:f>
        <x:v>0</x:v>
      </x:c>
      <x:c r="N356" s="8" t="n">
        <x:f>MAX(0,G356+J356-K356)</x:f>
        <x:v>0</x:v>
      </x:c>
      <x:c r="O356" s="8" t="n">
        <x:f>SUM(L356:N356)</x:f>
        <x:v>0</x:v>
      </x:c>
      <x:c r="P356" s="14" t="n">
        <x:f>'Current inventory'!V104</x:f>
        <x:v>0.1797</x:v>
      </x:c>
      <x:c r="Q356" s="14" t="str">
        <x:f>'Current inventory'!W104</x:f>
        <x:v>n.a.</x:v>
      </x:c>
      <x:c r="R356" s="10" t="n">
        <x:f>L356*P356</x:f>
        <x:v>0</x:v>
      </x:c>
      <x:c r="S356" s="10" t="n">
        <x:f>M356*P356</x:f>
        <x:v>0</x:v>
      </x:c>
      <x:c r="T356" s="10" t="n">
        <x:f>N356*P356</x:f>
        <x:v>0</x:v>
      </x:c>
      <x:c r="U356" s="10" t="n">
        <x:f>O356*P356</x:f>
        <x:v>0</x:v>
      </x:c>
      <x:c r="V356" s="10" t="str">
        <x:f>IF(ISNUMBER(Q356),O356*(Q356-P356),"n.a.")</x:f>
        <x:v>n.a.</x:v>
      </x:c>
      <x:c r="W356" s="10" t="n">
        <x:f>IF(ISNUMBER(Q356),U356,0)</x:f>
        <x:v>0</x:v>
      </x:c>
      <x:c r="X356" s="8" t="n">
        <x:f>MAX(0,K356-SUM(E356:J356))</x:f>
        <x:v>0</x:v>
      </x:c>
      <x:c r="Y356" s="1" t="str">
        <x:f>IF(AND(O356&gt;0,NOT(ISNUMBER(Q356))),"No proposed replacement standard",IF(X356&gt;0,"Demand exceeds available stock",""))</x:f>
      </x:c>
      <x:c r="Z356" s="1" t="n">
        <x:f>IF(ISNUMBER(Q356),1,0)</x:f>
        <x:v>0</x:v>
      </x:c>
    </x:row>
    <x:row r="357" ht="21" customHeight="1">
      <x:c r="A357" s="17" t="n">
        <x:f>Summary!B17</x:f>
        <x:v>46388</x:v>
      </x:c>
      <x:c r="B357" s="1" t="str">
        <x:f>'Current inventory'!A105</x:f>
        <x:v>60</x:v>
      </x:c>
      <x:c r="C357" s="1" t="str">
        <x:f>'Current inventory'!B105</x:f>
        <x:v>800BLKF</x:v>
      </x:c>
      <x:c r="D357" s="7" t="n">
        <x:f>A231</x:f>
        <x:v>46357</x:v>
      </x:c>
      <x:c r="E357" s="8" t="n">
        <x:f>L231</x:f>
        <x:v>0</x:v>
      </x:c>
      <x:c r="F357" s="8" t="n">
        <x:f>M231</x:f>
        <x:v>0</x:v>
      </x:c>
      <x:c r="G357" s="8" t="n">
        <x:f>N231</x:f>
        <x:v>0</x:v>
      </x:c>
      <x:c r="H357" s="8" t="n">
        <x:f>SUMIFS('PO detail'!$U$2:$U$672,'PO detail'!$A$2:$A$672,B357,'PO detail'!$B$2:$B$672,C357,'PO detail'!$G$2:$G$672,"&gt;="&amp;D357,'PO detail'!$G$2:$G$672,"&lt;"&amp;A357)</x:f>
        <x:v>0</x:v>
      </x:c>
      <x:c r="I357" s="8" t="n">
        <x:f>SUMIFS('PO detail'!$V$2:$V$672,'PO detail'!$A$2:$A$672,B357,'PO detail'!$B$2:$B$672,C357,'PO detail'!$G$2:$G$672,"&gt;="&amp;D357,'PO detail'!$G$2:$G$672,"&lt;"&amp;A357)</x:f>
        <x:v>0</x:v>
      </x:c>
      <x:c r="J357" s="8" t="n">
        <x:f>SUMIFS('PO detail'!$W$2:$W$672,'PO detail'!$A$2:$A$672,B357,'PO detail'!$B$2:$B$672,C357,'PO detail'!$G$2:$G$672,"&gt;="&amp;D357,'PO detail'!$G$2:$G$672,"&lt;"&amp;A357)</x:f>
        <x:v>0</x:v>
      </x:c>
      <x:c r="K357" s="8" t="n">
        <x:f>'Current inventory'!E105*Summary!$D$6*(A357-D357)/30.4375</x:f>
        <x:v>0</x:v>
      </x:c>
      <x:c r="L357" s="8" t="n">
        <x:f>MAX(0,E357+H357-K357)</x:f>
        <x:v>0</x:v>
      </x:c>
      <x:c r="M357" s="8" t="n">
        <x:f>MAX(0,F357+I357-MAX(0,K357-E357-H357))</x:f>
        <x:v>0</x:v>
      </x:c>
      <x:c r="N357" s="8" t="n">
        <x:f>MAX(0,G357+J357-K357)</x:f>
        <x:v>0</x:v>
      </x:c>
      <x:c r="O357" s="8" t="n">
        <x:f>SUM(L357:N357)</x:f>
        <x:v>0</x:v>
      </x:c>
      <x:c r="P357" s="14" t="n">
        <x:f>'Current inventory'!V105</x:f>
        <x:v>7.03</x:v>
      </x:c>
      <x:c r="Q357" s="14" t="str">
        <x:f>'Current inventory'!W105</x:f>
        <x:v>n.a.</x:v>
      </x:c>
      <x:c r="R357" s="10" t="n">
        <x:f>L357*P357</x:f>
        <x:v>0</x:v>
      </x:c>
      <x:c r="S357" s="10" t="n">
        <x:f>M357*P357</x:f>
        <x:v>0</x:v>
      </x:c>
      <x:c r="T357" s="10" t="n">
        <x:f>N357*P357</x:f>
        <x:v>0</x:v>
      </x:c>
      <x:c r="U357" s="10" t="n">
        <x:f>O357*P357</x:f>
        <x:v>0</x:v>
      </x:c>
      <x:c r="V357" s="10" t="str">
        <x:f>IF(ISNUMBER(Q357),O357*(Q357-P357),"n.a.")</x:f>
        <x:v>n.a.</x:v>
      </x:c>
      <x:c r="W357" s="10" t="n">
        <x:f>IF(ISNUMBER(Q357),U357,0)</x:f>
        <x:v>0</x:v>
      </x:c>
      <x:c r="X357" s="8" t="n">
        <x:f>MAX(0,K357-SUM(E357:J357))</x:f>
        <x:v>0</x:v>
      </x:c>
      <x:c r="Y357" s="1" t="str">
        <x:f>IF(AND(O357&gt;0,NOT(ISNUMBER(Q357))),"No proposed replacement standard",IF(X357&gt;0,"Demand exceeds available stock",""))</x:f>
      </x:c>
      <x:c r="Z357" s="1" t="n">
        <x:f>IF(ISNUMBER(Q357),1,0)</x:f>
        <x:v>0</x:v>
      </x:c>
    </x:row>
    <x:row r="358" ht="21" customHeight="1">
      <x:c r="A358" s="17" t="n">
        <x:f>Summary!B17</x:f>
        <x:v>46388</x:v>
      </x:c>
      <x:c r="B358" s="1" t="str">
        <x:f>'Current inventory'!A106</x:f>
        <x:v>60</x:v>
      </x:c>
      <x:c r="C358" s="1" t="str">
        <x:f>'Current inventory'!B106</x:f>
        <x:v>800BWHTASC</x:v>
      </x:c>
      <x:c r="D358" s="7" t="n">
        <x:f>A232</x:f>
        <x:v>46357</x:v>
      </x:c>
      <x:c r="E358" s="8" t="n">
        <x:f>L232</x:f>
        <x:v>0</x:v>
      </x:c>
      <x:c r="F358" s="8" t="n">
        <x:f>M232</x:f>
        <x:v>0</x:v>
      </x:c>
      <x:c r="G358" s="8" t="n">
        <x:f>N232</x:f>
        <x:v>0</x:v>
      </x:c>
      <x:c r="H358" s="8" t="n">
        <x:f>SUMIFS('PO detail'!$U$2:$U$672,'PO detail'!$A$2:$A$672,B358,'PO detail'!$B$2:$B$672,C358,'PO detail'!$G$2:$G$672,"&gt;="&amp;D358,'PO detail'!$G$2:$G$672,"&lt;"&amp;A358)</x:f>
        <x:v>0</x:v>
      </x:c>
      <x:c r="I358" s="8" t="n">
        <x:f>SUMIFS('PO detail'!$V$2:$V$672,'PO detail'!$A$2:$A$672,B358,'PO detail'!$B$2:$B$672,C358,'PO detail'!$G$2:$G$672,"&gt;="&amp;D358,'PO detail'!$G$2:$G$672,"&lt;"&amp;A358)</x:f>
        <x:v>0</x:v>
      </x:c>
      <x:c r="J358" s="8" t="n">
        <x:f>SUMIFS('PO detail'!$W$2:$W$672,'PO detail'!$A$2:$A$672,B358,'PO detail'!$B$2:$B$672,C358,'PO detail'!$G$2:$G$672,"&gt;="&amp;D358,'PO detail'!$G$2:$G$672,"&lt;"&amp;A358)</x:f>
        <x:v>0</x:v>
      </x:c>
      <x:c r="K358" s="8" t="n">
        <x:f>'Current inventory'!E106*Summary!$D$6*(A358-D358)/30.4375</x:f>
        <x:v>0</x:v>
      </x:c>
      <x:c r="L358" s="8" t="n">
        <x:f>MAX(0,E358+H358-K358)</x:f>
        <x:v>0</x:v>
      </x:c>
      <x:c r="M358" s="8" t="n">
        <x:f>MAX(0,F358+I358-MAX(0,K358-E358-H358))</x:f>
        <x:v>0</x:v>
      </x:c>
      <x:c r="N358" s="8" t="n">
        <x:f>MAX(0,G358+J358-K358)</x:f>
        <x:v>0</x:v>
      </x:c>
      <x:c r="O358" s="8" t="n">
        <x:f>SUM(L358:N358)</x:f>
        <x:v>0</x:v>
      </x:c>
      <x:c r="P358" s="14" t="n">
        <x:f>'Current inventory'!V106</x:f>
        <x:v>0.1456</x:v>
      </x:c>
      <x:c r="Q358" s="14" t="str">
        <x:f>'Current inventory'!W106</x:f>
        <x:v>n.a.</x:v>
      </x:c>
      <x:c r="R358" s="10" t="n">
        <x:f>L358*P358</x:f>
        <x:v>0</x:v>
      </x:c>
      <x:c r="S358" s="10" t="n">
        <x:f>M358*P358</x:f>
        <x:v>0</x:v>
      </x:c>
      <x:c r="T358" s="10" t="n">
        <x:f>N358*P358</x:f>
        <x:v>0</x:v>
      </x:c>
      <x:c r="U358" s="10" t="n">
        <x:f>O358*P358</x:f>
        <x:v>0</x:v>
      </x:c>
      <x:c r="V358" s="10" t="str">
        <x:f>IF(ISNUMBER(Q358),O358*(Q358-P358),"n.a.")</x:f>
        <x:v>n.a.</x:v>
      </x:c>
      <x:c r="W358" s="10" t="n">
        <x:f>IF(ISNUMBER(Q358),U358,0)</x:f>
        <x:v>0</x:v>
      </x:c>
      <x:c r="X358" s="8" t="n">
        <x:f>MAX(0,K358-SUM(E358:J358))</x:f>
        <x:v>0</x:v>
      </x:c>
      <x:c r="Y358" s="1" t="str">
        <x:f>IF(AND(O358&gt;0,NOT(ISNUMBER(Q358))),"No proposed replacement standard",IF(X358&gt;0,"Demand exceeds available stock",""))</x:f>
      </x:c>
      <x:c r="Z358" s="1" t="n">
        <x:f>IF(ISNUMBER(Q358),1,0)</x:f>
        <x:v>0</x:v>
      </x:c>
    </x:row>
    <x:row r="359" ht="21" customHeight="1">
      <x:c r="A359" s="17" t="n">
        <x:f>Summary!B17</x:f>
        <x:v>46388</x:v>
      </x:c>
      <x:c r="B359" s="1" t="str">
        <x:f>'Current inventory'!A107</x:f>
        <x:v>60</x:v>
      </x:c>
      <x:c r="C359" s="1" t="str">
        <x:f>'Current inventory'!B107</x:f>
        <x:v>800BWHTBRC</x:v>
      </x:c>
      <x:c r="D359" s="7" t="n">
        <x:f>A233</x:f>
        <x:v>46357</x:v>
      </x:c>
      <x:c r="E359" s="8" t="n">
        <x:f>L233</x:f>
        <x:v>0</x:v>
      </x:c>
      <x:c r="F359" s="8" t="n">
        <x:f>M233</x:f>
        <x:v>0</x:v>
      </x:c>
      <x:c r="G359" s="8" t="n">
        <x:f>N233</x:f>
        <x:v>0</x:v>
      </x:c>
      <x:c r="H359" s="8" t="n">
        <x:f>SUMIFS('PO detail'!$U$2:$U$672,'PO detail'!$A$2:$A$672,B359,'PO detail'!$B$2:$B$672,C359,'PO detail'!$G$2:$G$672,"&gt;="&amp;D359,'PO detail'!$G$2:$G$672,"&lt;"&amp;A359)</x:f>
        <x:v>0</x:v>
      </x:c>
      <x:c r="I359" s="8" t="n">
        <x:f>SUMIFS('PO detail'!$V$2:$V$672,'PO detail'!$A$2:$A$672,B359,'PO detail'!$B$2:$B$672,C359,'PO detail'!$G$2:$G$672,"&gt;="&amp;D359,'PO detail'!$G$2:$G$672,"&lt;"&amp;A359)</x:f>
        <x:v>0</x:v>
      </x:c>
      <x:c r="J359" s="8" t="n">
        <x:f>SUMIFS('PO detail'!$W$2:$W$672,'PO detail'!$A$2:$A$672,B359,'PO detail'!$B$2:$B$672,C359,'PO detail'!$G$2:$G$672,"&gt;="&amp;D359,'PO detail'!$G$2:$G$672,"&lt;"&amp;A359)</x:f>
        <x:v>0</x:v>
      </x:c>
      <x:c r="K359" s="8" t="n">
        <x:f>'Current inventory'!E107*Summary!$D$6*(A359-D359)/30.4375</x:f>
        <x:v>0</x:v>
      </x:c>
      <x:c r="L359" s="8" t="n">
        <x:f>MAX(0,E359+H359-K359)</x:f>
        <x:v>0</x:v>
      </x:c>
      <x:c r="M359" s="8" t="n">
        <x:f>MAX(0,F359+I359-MAX(0,K359-E359-H359))</x:f>
        <x:v>0</x:v>
      </x:c>
      <x:c r="N359" s="8" t="n">
        <x:f>MAX(0,G359+J359-K359)</x:f>
        <x:v>0</x:v>
      </x:c>
      <x:c r="O359" s="8" t="n">
        <x:f>SUM(L359:N359)</x:f>
        <x:v>0</x:v>
      </x:c>
      <x:c r="P359" s="14" t="n">
        <x:f>'Current inventory'!V107</x:f>
        <x:v>0.18469999999999998</x:v>
      </x:c>
      <x:c r="Q359" s="14" t="str">
        <x:f>'Current inventory'!W107</x:f>
        <x:v>n.a.</x:v>
      </x:c>
      <x:c r="R359" s="10" t="n">
        <x:f>L359*P359</x:f>
        <x:v>0</x:v>
      </x:c>
      <x:c r="S359" s="10" t="n">
        <x:f>M359*P359</x:f>
        <x:v>0</x:v>
      </x:c>
      <x:c r="T359" s="10" t="n">
        <x:f>N359*P359</x:f>
        <x:v>0</x:v>
      </x:c>
      <x:c r="U359" s="10" t="n">
        <x:f>O359*P359</x:f>
        <x:v>0</x:v>
      </x:c>
      <x:c r="V359" s="10" t="str">
        <x:f>IF(ISNUMBER(Q359),O359*(Q359-P359),"n.a.")</x:f>
        <x:v>n.a.</x:v>
      </x:c>
      <x:c r="W359" s="10" t="n">
        <x:f>IF(ISNUMBER(Q359),U359,0)</x:f>
        <x:v>0</x:v>
      </x:c>
      <x:c r="X359" s="8" t="n">
        <x:f>MAX(0,K359-SUM(E359:J359))</x:f>
        <x:v>0</x:v>
      </x:c>
      <x:c r="Y359" s="1" t="str">
        <x:f>IF(AND(O359&gt;0,NOT(ISNUMBER(Q359))),"No proposed replacement standard",IF(X359&gt;0,"Demand exceeds available stock",""))</x:f>
      </x:c>
      <x:c r="Z359" s="1" t="n">
        <x:f>IF(ISNUMBER(Q359),1,0)</x:f>
        <x:v>0</x:v>
      </x:c>
    </x:row>
    <x:row r="360" ht="21" customHeight="1">
      <x:c r="A360" s="17" t="n">
        <x:f>Summary!B17</x:f>
        <x:v>46388</x:v>
      </x:c>
      <x:c r="B360" s="1" t="str">
        <x:f>'Current inventory'!A108</x:f>
        <x:v>60</x:v>
      </x:c>
      <x:c r="C360" s="1" t="str">
        <x:f>'Current inventory'!B108</x:f>
        <x:v>800BWHTCSC</x:v>
      </x:c>
      <x:c r="D360" s="7" t="n">
        <x:f>A234</x:f>
        <x:v>46357</x:v>
      </x:c>
      <x:c r="E360" s="8" t="n">
        <x:f>L234</x:f>
        <x:v>0</x:v>
      </x:c>
      <x:c r="F360" s="8" t="n">
        <x:f>M234</x:f>
        <x:v>0</x:v>
      </x:c>
      <x:c r="G360" s="8" t="n">
        <x:f>N234</x:f>
        <x:v>0</x:v>
      </x:c>
      <x:c r="H360" s="8" t="n">
        <x:f>SUMIFS('PO detail'!$U$2:$U$672,'PO detail'!$A$2:$A$672,B360,'PO detail'!$B$2:$B$672,C360,'PO detail'!$G$2:$G$672,"&gt;="&amp;D360,'PO detail'!$G$2:$G$672,"&lt;"&amp;A360)</x:f>
        <x:v>0</x:v>
      </x:c>
      <x:c r="I360" s="8" t="n">
        <x:f>SUMIFS('PO detail'!$V$2:$V$672,'PO detail'!$A$2:$A$672,B360,'PO detail'!$B$2:$B$672,C360,'PO detail'!$G$2:$G$672,"&gt;="&amp;D360,'PO detail'!$G$2:$G$672,"&lt;"&amp;A360)</x:f>
        <x:v>0</x:v>
      </x:c>
      <x:c r="J360" s="8" t="n">
        <x:f>SUMIFS('PO detail'!$W$2:$W$672,'PO detail'!$A$2:$A$672,B360,'PO detail'!$B$2:$B$672,C360,'PO detail'!$G$2:$G$672,"&gt;="&amp;D360,'PO detail'!$G$2:$G$672,"&lt;"&amp;A360)</x:f>
        <x:v>0</x:v>
      </x:c>
      <x:c r="K360" s="8" t="n">
        <x:f>'Current inventory'!E108*Summary!$D$6*(A360-D360)/30.4375</x:f>
        <x:v>0</x:v>
      </x:c>
      <x:c r="L360" s="8" t="n">
        <x:f>MAX(0,E360+H360-K360)</x:f>
        <x:v>0</x:v>
      </x:c>
      <x:c r="M360" s="8" t="n">
        <x:f>MAX(0,F360+I360-MAX(0,K360-E360-H360))</x:f>
        <x:v>0</x:v>
      </x:c>
      <x:c r="N360" s="8" t="n">
        <x:f>MAX(0,G360+J360-K360)</x:f>
        <x:v>0</x:v>
      </x:c>
      <x:c r="O360" s="8" t="n">
        <x:f>SUM(L360:N360)</x:f>
        <x:v>0</x:v>
      </x:c>
      <x:c r="P360" s="14" t="n">
        <x:f>'Current inventory'!V108</x:f>
        <x:v>0.21559999999999999</x:v>
      </x:c>
      <x:c r="Q360" s="14" t="str">
        <x:f>'Current inventory'!W108</x:f>
        <x:v>n.a.</x:v>
      </x:c>
      <x:c r="R360" s="10" t="n">
        <x:f>L360*P360</x:f>
        <x:v>0</x:v>
      </x:c>
      <x:c r="S360" s="10" t="n">
        <x:f>M360*P360</x:f>
        <x:v>0</x:v>
      </x:c>
      <x:c r="T360" s="10" t="n">
        <x:f>N360*P360</x:f>
        <x:v>0</x:v>
      </x:c>
      <x:c r="U360" s="10" t="n">
        <x:f>O360*P360</x:f>
        <x:v>0</x:v>
      </x:c>
      <x:c r="V360" s="10" t="str">
        <x:f>IF(ISNUMBER(Q360),O360*(Q360-P360),"n.a.")</x:f>
        <x:v>n.a.</x:v>
      </x:c>
      <x:c r="W360" s="10" t="n">
        <x:f>IF(ISNUMBER(Q360),U360,0)</x:f>
        <x:v>0</x:v>
      </x:c>
      <x:c r="X360" s="8" t="n">
        <x:f>MAX(0,K360-SUM(E360:J360))</x:f>
        <x:v>0</x:v>
      </x:c>
      <x:c r="Y360" s="1" t="str">
        <x:f>IF(AND(O360&gt;0,NOT(ISNUMBER(Q360))),"No proposed replacement standard",IF(X360&gt;0,"Demand exceeds available stock",""))</x:f>
      </x:c>
      <x:c r="Z360" s="1" t="n">
        <x:f>IF(ISNUMBER(Q360),1,0)</x:f>
        <x:v>0</x:v>
      </x:c>
    </x:row>
    <x:row r="361" ht="21" customHeight="1">
      <x:c r="A361" s="17" t="n">
        <x:f>Summary!B17</x:f>
        <x:v>46388</x:v>
      </x:c>
      <x:c r="B361" s="1" t="str">
        <x:f>'Current inventory'!A109</x:f>
        <x:v>60</x:v>
      </x:c>
      <x:c r="C361" s="1" t="str">
        <x:f>'Current inventory'!B109</x:f>
        <x:v>800BWHTDSC</x:v>
      </x:c>
      <x:c r="D361" s="7" t="n">
        <x:f>A235</x:f>
        <x:v>46357</x:v>
      </x:c>
      <x:c r="E361" s="8" t="n">
        <x:f>L235</x:f>
        <x:v>0</x:v>
      </x:c>
      <x:c r="F361" s="8" t="n">
        <x:f>M235</x:f>
        <x:v>0</x:v>
      </x:c>
      <x:c r="G361" s="8" t="n">
        <x:f>N235</x:f>
        <x:v>0</x:v>
      </x:c>
      <x:c r="H361" s="8" t="n">
        <x:f>SUMIFS('PO detail'!$U$2:$U$672,'PO detail'!$A$2:$A$672,B361,'PO detail'!$B$2:$B$672,C361,'PO detail'!$G$2:$G$672,"&gt;="&amp;D361,'PO detail'!$G$2:$G$672,"&lt;"&amp;A361)</x:f>
        <x:v>0</x:v>
      </x:c>
      <x:c r="I361" s="8" t="n">
        <x:f>SUMIFS('PO detail'!$V$2:$V$672,'PO detail'!$A$2:$A$672,B361,'PO detail'!$B$2:$B$672,C361,'PO detail'!$G$2:$G$672,"&gt;="&amp;D361,'PO detail'!$G$2:$G$672,"&lt;"&amp;A361)</x:f>
        <x:v>0</x:v>
      </x:c>
      <x:c r="J361" s="8" t="n">
        <x:f>SUMIFS('PO detail'!$W$2:$W$672,'PO detail'!$A$2:$A$672,B361,'PO detail'!$B$2:$B$672,C361,'PO detail'!$G$2:$G$672,"&gt;="&amp;D361,'PO detail'!$G$2:$G$672,"&lt;"&amp;A361)</x:f>
        <x:v>0</x:v>
      </x:c>
      <x:c r="K361" s="8" t="n">
        <x:f>'Current inventory'!E109*Summary!$D$6*(A361-D361)/30.4375</x:f>
        <x:v>0</x:v>
      </x:c>
      <x:c r="L361" s="8" t="n">
        <x:f>MAX(0,E361+H361-K361)</x:f>
        <x:v>0</x:v>
      </x:c>
      <x:c r="M361" s="8" t="n">
        <x:f>MAX(0,F361+I361-MAX(0,K361-E361-H361))</x:f>
        <x:v>0</x:v>
      </x:c>
      <x:c r="N361" s="8" t="n">
        <x:f>MAX(0,G361+J361-K361)</x:f>
        <x:v>0</x:v>
      </x:c>
      <x:c r="O361" s="8" t="n">
        <x:f>SUM(L361:N361)</x:f>
        <x:v>0</x:v>
      </x:c>
      <x:c r="P361" s="14" t="n">
        <x:f>'Current inventory'!V109</x:f>
        <x:v>0.38</x:v>
      </x:c>
      <x:c r="Q361" s="14" t="str">
        <x:f>'Current inventory'!W109</x:f>
        <x:v>n.a.</x:v>
      </x:c>
      <x:c r="R361" s="10" t="n">
        <x:f>L361*P361</x:f>
        <x:v>0</x:v>
      </x:c>
      <x:c r="S361" s="10" t="n">
        <x:f>M361*P361</x:f>
        <x:v>0</x:v>
      </x:c>
      <x:c r="T361" s="10" t="n">
        <x:f>N361*P361</x:f>
        <x:v>0</x:v>
      </x:c>
      <x:c r="U361" s="10" t="n">
        <x:f>O361*P361</x:f>
        <x:v>0</x:v>
      </x:c>
      <x:c r="V361" s="10" t="str">
        <x:f>IF(ISNUMBER(Q361),O361*(Q361-P361),"n.a.")</x:f>
        <x:v>n.a.</x:v>
      </x:c>
      <x:c r="W361" s="10" t="n">
        <x:f>IF(ISNUMBER(Q361),U361,0)</x:f>
        <x:v>0</x:v>
      </x:c>
      <x:c r="X361" s="8" t="n">
        <x:f>MAX(0,K361-SUM(E361:J361))</x:f>
        <x:v>0</x:v>
      </x:c>
      <x:c r="Y361" s="1" t="str">
        <x:f>IF(AND(O361&gt;0,NOT(ISNUMBER(Q361))),"No proposed replacement standard",IF(X361&gt;0,"Demand exceeds available stock",""))</x:f>
      </x:c>
      <x:c r="Z361" s="1" t="n">
        <x:f>IF(ISNUMBER(Q361),1,0)</x:f>
        <x:v>0</x:v>
      </x:c>
    </x:row>
    <x:row r="362" ht="21" customHeight="1">
      <x:c r="A362" s="17" t="n">
        <x:f>Summary!B17</x:f>
        <x:v>46388</x:v>
      </x:c>
      <x:c r="B362" s="1" t="str">
        <x:f>'Current inventory'!A110</x:f>
        <x:v>60</x:v>
      </x:c>
      <x:c r="C362" s="1" t="str">
        <x:f>'Current inventory'!B110</x:f>
        <x:v>800BWHTISC</x:v>
      </x:c>
      <x:c r="D362" s="7" t="n">
        <x:f>A236</x:f>
        <x:v>46357</x:v>
      </x:c>
      <x:c r="E362" s="8" t="n">
        <x:f>L236</x:f>
        <x:v>0</x:v>
      </x:c>
      <x:c r="F362" s="8" t="n">
        <x:f>M236</x:f>
        <x:v>0</x:v>
      </x:c>
      <x:c r="G362" s="8" t="n">
        <x:f>N236</x:f>
        <x:v>0</x:v>
      </x:c>
      <x:c r="H362" s="8" t="n">
        <x:f>SUMIFS('PO detail'!$U$2:$U$672,'PO detail'!$A$2:$A$672,B362,'PO detail'!$B$2:$B$672,C362,'PO detail'!$G$2:$G$672,"&gt;="&amp;D362,'PO detail'!$G$2:$G$672,"&lt;"&amp;A362)</x:f>
        <x:v>0</x:v>
      </x:c>
      <x:c r="I362" s="8" t="n">
        <x:f>SUMIFS('PO detail'!$V$2:$V$672,'PO detail'!$A$2:$A$672,B362,'PO detail'!$B$2:$B$672,C362,'PO detail'!$G$2:$G$672,"&gt;="&amp;D362,'PO detail'!$G$2:$G$672,"&lt;"&amp;A362)</x:f>
        <x:v>0</x:v>
      </x:c>
      <x:c r="J362" s="8" t="n">
        <x:f>SUMIFS('PO detail'!$W$2:$W$672,'PO detail'!$A$2:$A$672,B362,'PO detail'!$B$2:$B$672,C362,'PO detail'!$G$2:$G$672,"&gt;="&amp;D362,'PO detail'!$G$2:$G$672,"&lt;"&amp;A362)</x:f>
        <x:v>0</x:v>
      </x:c>
      <x:c r="K362" s="8" t="n">
        <x:f>'Current inventory'!E110*Summary!$D$6*(A362-D362)/30.4375</x:f>
        <x:v>0</x:v>
      </x:c>
      <x:c r="L362" s="8" t="n">
        <x:f>MAX(0,E362+H362-K362)</x:f>
        <x:v>0</x:v>
      </x:c>
      <x:c r="M362" s="8" t="n">
        <x:f>MAX(0,F362+I362-MAX(0,K362-E362-H362))</x:f>
        <x:v>0</x:v>
      </x:c>
      <x:c r="N362" s="8" t="n">
        <x:f>MAX(0,G362+J362-K362)</x:f>
        <x:v>0</x:v>
      </x:c>
      <x:c r="O362" s="8" t="n">
        <x:f>SUM(L362:N362)</x:f>
        <x:v>0</x:v>
      </x:c>
      <x:c r="P362" s="14" t="n">
        <x:f>'Current inventory'!V110</x:f>
        <x:v>0.1797</x:v>
      </x:c>
      <x:c r="Q362" s="14" t="str">
        <x:f>'Current inventory'!W110</x:f>
        <x:v>n.a.</x:v>
      </x:c>
      <x:c r="R362" s="10" t="n">
        <x:f>L362*P362</x:f>
        <x:v>0</x:v>
      </x:c>
      <x:c r="S362" s="10" t="n">
        <x:f>M362*P362</x:f>
        <x:v>0</x:v>
      </x:c>
      <x:c r="T362" s="10" t="n">
        <x:f>N362*P362</x:f>
        <x:v>0</x:v>
      </x:c>
      <x:c r="U362" s="10" t="n">
        <x:f>O362*P362</x:f>
        <x:v>0</x:v>
      </x:c>
      <x:c r="V362" s="10" t="str">
        <x:f>IF(ISNUMBER(Q362),O362*(Q362-P362),"n.a.")</x:f>
        <x:v>n.a.</x:v>
      </x:c>
      <x:c r="W362" s="10" t="n">
        <x:f>IF(ISNUMBER(Q362),U362,0)</x:f>
        <x:v>0</x:v>
      </x:c>
      <x:c r="X362" s="8" t="n">
        <x:f>MAX(0,K362-SUM(E362:J362))</x:f>
        <x:v>0</x:v>
      </x:c>
      <x:c r="Y362" s="1" t="str">
        <x:f>IF(AND(O362&gt;0,NOT(ISNUMBER(Q362))),"No proposed replacement standard",IF(X362&gt;0,"Demand exceeds available stock",""))</x:f>
      </x:c>
      <x:c r="Z362" s="1" t="n">
        <x:f>IF(ISNUMBER(Q362),1,0)</x:f>
        <x:v>0</x:v>
      </x:c>
    </x:row>
    <x:row r="363" ht="21" customHeight="1">
      <x:c r="A363" s="17" t="n">
        <x:f>Summary!B17</x:f>
        <x:v>46388</x:v>
      </x:c>
      <x:c r="B363" s="1" t="str">
        <x:f>'Current inventory'!A111</x:f>
        <x:v>60</x:v>
      </x:c>
      <x:c r="C363" s="1" t="str">
        <x:f>'Current inventory'!B111</x:f>
        <x:v>800FGE</x:v>
      </x:c>
      <x:c r="D363" s="7" t="n">
        <x:f>A237</x:f>
        <x:v>46357</x:v>
      </x:c>
      <x:c r="E363" s="8" t="n">
        <x:f>L237</x:f>
        <x:v>0</x:v>
      </x:c>
      <x:c r="F363" s="8" t="n">
        <x:f>M237</x:f>
        <x:v>0</x:v>
      </x:c>
      <x:c r="G363" s="8" t="n">
        <x:f>N237</x:f>
        <x:v>0</x:v>
      </x:c>
      <x:c r="H363" s="8" t="n">
        <x:f>SUMIFS('PO detail'!$U$2:$U$672,'PO detail'!$A$2:$A$672,B363,'PO detail'!$B$2:$B$672,C363,'PO detail'!$G$2:$G$672,"&gt;="&amp;D363,'PO detail'!$G$2:$G$672,"&lt;"&amp;A363)</x:f>
        <x:v>0</x:v>
      </x:c>
      <x:c r="I363" s="8" t="n">
        <x:f>SUMIFS('PO detail'!$V$2:$V$672,'PO detail'!$A$2:$A$672,B363,'PO detail'!$B$2:$B$672,C363,'PO detail'!$G$2:$G$672,"&gt;="&amp;D363,'PO detail'!$G$2:$G$672,"&lt;"&amp;A363)</x:f>
        <x:v>0</x:v>
      </x:c>
      <x:c r="J363" s="8" t="n">
        <x:f>SUMIFS('PO detail'!$W$2:$W$672,'PO detail'!$A$2:$A$672,B363,'PO detail'!$B$2:$B$672,C363,'PO detail'!$G$2:$G$672,"&gt;="&amp;D363,'PO detail'!$G$2:$G$672,"&lt;"&amp;A363)</x:f>
        <x:v>0</x:v>
      </x:c>
      <x:c r="K363" s="8" t="n">
        <x:f>'Current inventory'!E111*Summary!$D$6*(A363-D363)/30.4375</x:f>
        <x:v>0</x:v>
      </x:c>
      <x:c r="L363" s="8" t="n">
        <x:f>MAX(0,E363+H363-K363)</x:f>
        <x:v>0</x:v>
      </x:c>
      <x:c r="M363" s="8" t="n">
        <x:f>MAX(0,F363+I363-MAX(0,K363-E363-H363))</x:f>
        <x:v>0</x:v>
      </x:c>
      <x:c r="N363" s="8" t="n">
        <x:f>MAX(0,G363+J363-K363)</x:f>
        <x:v>0</x:v>
      </x:c>
      <x:c r="O363" s="8" t="n">
        <x:f>SUM(L363:N363)</x:f>
        <x:v>0</x:v>
      </x:c>
      <x:c r="P363" s="14" t="n">
        <x:f>'Current inventory'!V111</x:f>
        <x:v>10.78</x:v>
      </x:c>
      <x:c r="Q363" s="14" t="str">
        <x:f>'Current inventory'!W111</x:f>
        <x:v>n.a.</x:v>
      </x:c>
      <x:c r="R363" s="10" t="n">
        <x:f>L363*P363</x:f>
        <x:v>0</x:v>
      </x:c>
      <x:c r="S363" s="10" t="n">
        <x:f>M363*P363</x:f>
        <x:v>0</x:v>
      </x:c>
      <x:c r="T363" s="10" t="n">
        <x:f>N363*P363</x:f>
        <x:v>0</x:v>
      </x:c>
      <x:c r="U363" s="10" t="n">
        <x:f>O363*P363</x:f>
        <x:v>0</x:v>
      </x:c>
      <x:c r="V363" s="10" t="str">
        <x:f>IF(ISNUMBER(Q363),O363*(Q363-P363),"n.a.")</x:f>
        <x:v>n.a.</x:v>
      </x:c>
      <x:c r="W363" s="10" t="n">
        <x:f>IF(ISNUMBER(Q363),U363,0)</x:f>
        <x:v>0</x:v>
      </x:c>
      <x:c r="X363" s="8" t="n">
        <x:f>MAX(0,K363-SUM(E363:J363))</x:f>
        <x:v>0</x:v>
      </x:c>
      <x:c r="Y363" s="1" t="str">
        <x:f>IF(AND(O363&gt;0,NOT(ISNUMBER(Q363))),"No proposed replacement standard",IF(X363&gt;0,"Demand exceeds available stock",""))</x:f>
      </x:c>
      <x:c r="Z363" s="1" t="n">
        <x:f>IF(ISNUMBER(Q363),1,0)</x:f>
        <x:v>0</x:v>
      </x:c>
    </x:row>
    <x:row r="364" ht="21" customHeight="1">
      <x:c r="A364" s="17" t="n">
        <x:f>Summary!B17</x:f>
        <x:v>46388</x:v>
      </x:c>
      <x:c r="B364" s="1" t="str">
        <x:f>'Current inventory'!A112</x:f>
        <x:v>60</x:v>
      </x:c>
      <x:c r="C364" s="1" t="str">
        <x:f>'Current inventory'!B112</x:f>
        <x:v>800NAVF</x:v>
      </x:c>
      <x:c r="D364" s="7" t="n">
        <x:f>A238</x:f>
        <x:v>46357</x:v>
      </x:c>
      <x:c r="E364" s="8" t="n">
        <x:f>L238</x:f>
        <x:v>0</x:v>
      </x:c>
      <x:c r="F364" s="8" t="n">
        <x:f>M238</x:f>
        <x:v>0</x:v>
      </x:c>
      <x:c r="G364" s="8" t="n">
        <x:f>N238</x:f>
        <x:v>0</x:v>
      </x:c>
      <x:c r="H364" s="8" t="n">
        <x:f>SUMIFS('PO detail'!$U$2:$U$672,'PO detail'!$A$2:$A$672,B364,'PO detail'!$B$2:$B$672,C364,'PO detail'!$G$2:$G$672,"&gt;="&amp;D364,'PO detail'!$G$2:$G$672,"&lt;"&amp;A364)</x:f>
        <x:v>0</x:v>
      </x:c>
      <x:c r="I364" s="8" t="n">
        <x:f>SUMIFS('PO detail'!$V$2:$V$672,'PO detail'!$A$2:$A$672,B364,'PO detail'!$B$2:$B$672,C364,'PO detail'!$G$2:$G$672,"&gt;="&amp;D364,'PO detail'!$G$2:$G$672,"&lt;"&amp;A364)</x:f>
        <x:v>0</x:v>
      </x:c>
      <x:c r="J364" s="8" t="n">
        <x:f>SUMIFS('PO detail'!$W$2:$W$672,'PO detail'!$A$2:$A$672,B364,'PO detail'!$B$2:$B$672,C364,'PO detail'!$G$2:$G$672,"&gt;="&amp;D364,'PO detail'!$G$2:$G$672,"&lt;"&amp;A364)</x:f>
        <x:v>0</x:v>
      </x:c>
      <x:c r="K364" s="8" t="n">
        <x:f>'Current inventory'!E112*Summary!$D$6*(A364-D364)/30.4375</x:f>
        <x:v>0</x:v>
      </x:c>
      <x:c r="L364" s="8" t="n">
        <x:f>MAX(0,E364+H364-K364)</x:f>
        <x:v>0</x:v>
      </x:c>
      <x:c r="M364" s="8" t="n">
        <x:f>MAX(0,F364+I364-MAX(0,K364-E364-H364))</x:f>
        <x:v>0</x:v>
      </x:c>
      <x:c r="N364" s="8" t="n">
        <x:f>MAX(0,G364+J364-K364)</x:f>
        <x:v>0</x:v>
      </x:c>
      <x:c r="O364" s="8" t="n">
        <x:f>SUM(L364:N364)</x:f>
        <x:v>0</x:v>
      </x:c>
      <x:c r="P364" s="14" t="n">
        <x:f>'Current inventory'!V112</x:f>
        <x:v>7.03</x:v>
      </x:c>
      <x:c r="Q364" s="14" t="str">
        <x:f>'Current inventory'!W112</x:f>
        <x:v>n.a.</x:v>
      </x:c>
      <x:c r="R364" s="10" t="n">
        <x:f>L364*P364</x:f>
        <x:v>0</x:v>
      </x:c>
      <x:c r="S364" s="10" t="n">
        <x:f>M364*P364</x:f>
        <x:v>0</x:v>
      </x:c>
      <x:c r="T364" s="10" t="n">
        <x:f>N364*P364</x:f>
        <x:v>0</x:v>
      </x:c>
      <x:c r="U364" s="10" t="n">
        <x:f>O364*P364</x:f>
        <x:v>0</x:v>
      </x:c>
      <x:c r="V364" s="10" t="str">
        <x:f>IF(ISNUMBER(Q364),O364*(Q364-P364),"n.a.")</x:f>
        <x:v>n.a.</x:v>
      </x:c>
      <x:c r="W364" s="10" t="n">
        <x:f>IF(ISNUMBER(Q364),U364,0)</x:f>
        <x:v>0</x:v>
      </x:c>
      <x:c r="X364" s="8" t="n">
        <x:f>MAX(0,K364-SUM(E364:J364))</x:f>
        <x:v>0</x:v>
      </x:c>
      <x:c r="Y364" s="1" t="str">
        <x:f>IF(AND(O364&gt;0,NOT(ISNUMBER(Q364))),"No proposed replacement standard",IF(X364&gt;0,"Demand exceeds available stock",""))</x:f>
      </x:c>
      <x:c r="Z364" s="1" t="n">
        <x:f>IF(ISNUMBER(Q364),1,0)</x:f>
        <x:v>0</x:v>
      </x:c>
    </x:row>
    <x:row r="365" ht="21" customHeight="1">
      <x:c r="A365" s="17" t="n">
        <x:f>Summary!B17</x:f>
        <x:v>46388</x:v>
      </x:c>
      <x:c r="B365" s="1" t="str">
        <x:f>'Current inventory'!A113</x:f>
        <x:v>60</x:v>
      </x:c>
      <x:c r="C365" s="1" t="str">
        <x:f>'Current inventory'!B113</x:f>
        <x:v>800WHTE</x:v>
      </x:c>
      <x:c r="D365" s="7" t="n">
        <x:f>A239</x:f>
        <x:v>46357</x:v>
      </x:c>
      <x:c r="E365" s="8" t="n">
        <x:f>L239</x:f>
        <x:v>0</x:v>
      </x:c>
      <x:c r="F365" s="8" t="n">
        <x:f>M239</x:f>
        <x:v>0</x:v>
      </x:c>
      <x:c r="G365" s="8" t="n">
        <x:f>N239</x:f>
        <x:v>0</x:v>
      </x:c>
      <x:c r="H365" s="8" t="n">
        <x:f>SUMIFS('PO detail'!$U$2:$U$672,'PO detail'!$A$2:$A$672,B365,'PO detail'!$B$2:$B$672,C365,'PO detail'!$G$2:$G$672,"&gt;="&amp;D365,'PO detail'!$G$2:$G$672,"&lt;"&amp;A365)</x:f>
        <x:v>0</x:v>
      </x:c>
      <x:c r="I365" s="8" t="n">
        <x:f>SUMIFS('PO detail'!$V$2:$V$672,'PO detail'!$A$2:$A$672,B365,'PO detail'!$B$2:$B$672,C365,'PO detail'!$G$2:$G$672,"&gt;="&amp;D365,'PO detail'!$G$2:$G$672,"&lt;"&amp;A365)</x:f>
        <x:v>0</x:v>
      </x:c>
      <x:c r="J365" s="8" t="n">
        <x:f>SUMIFS('PO detail'!$W$2:$W$672,'PO detail'!$A$2:$A$672,B365,'PO detail'!$B$2:$B$672,C365,'PO detail'!$G$2:$G$672,"&gt;="&amp;D365,'PO detail'!$G$2:$G$672,"&lt;"&amp;A365)</x:f>
        <x:v>0</x:v>
      </x:c>
      <x:c r="K365" s="8" t="n">
        <x:f>'Current inventory'!E113*Summary!$D$6*(A365-D365)/30.4375</x:f>
        <x:v>0</x:v>
      </x:c>
      <x:c r="L365" s="8" t="n">
        <x:f>MAX(0,E365+H365-K365)</x:f>
        <x:v>0</x:v>
      </x:c>
      <x:c r="M365" s="8" t="n">
        <x:f>MAX(0,F365+I365-MAX(0,K365-E365-H365))</x:f>
        <x:v>0</x:v>
      </x:c>
      <x:c r="N365" s="8" t="n">
        <x:f>MAX(0,G365+J365-K365)</x:f>
        <x:v>0</x:v>
      </x:c>
      <x:c r="O365" s="8" t="n">
        <x:f>SUM(L365:N365)</x:f>
        <x:v>0</x:v>
      </x:c>
      <x:c r="P365" s="14" t="n">
        <x:f>'Current inventory'!V113</x:f>
        <x:v>11.44</x:v>
      </x:c>
      <x:c r="Q365" s="14" t="str">
        <x:f>'Current inventory'!W113</x:f>
        <x:v>n.a.</x:v>
      </x:c>
      <x:c r="R365" s="10" t="n">
        <x:f>L365*P365</x:f>
        <x:v>0</x:v>
      </x:c>
      <x:c r="S365" s="10" t="n">
        <x:f>M365*P365</x:f>
        <x:v>0</x:v>
      </x:c>
      <x:c r="T365" s="10" t="n">
        <x:f>N365*P365</x:f>
        <x:v>0</x:v>
      </x:c>
      <x:c r="U365" s="10" t="n">
        <x:f>O365*P365</x:f>
        <x:v>0</x:v>
      </x:c>
      <x:c r="V365" s="10" t="str">
        <x:f>IF(ISNUMBER(Q365),O365*(Q365-P365),"n.a.")</x:f>
        <x:v>n.a.</x:v>
      </x:c>
      <x:c r="W365" s="10" t="n">
        <x:f>IF(ISNUMBER(Q365),U365,0)</x:f>
        <x:v>0</x:v>
      </x:c>
      <x:c r="X365" s="8" t="n">
        <x:f>MAX(0,K365-SUM(E365:J365))</x:f>
        <x:v>0</x:v>
      </x:c>
      <x:c r="Y365" s="1" t="str">
        <x:f>IF(AND(O365&gt;0,NOT(ISNUMBER(Q365))),"No proposed replacement standard",IF(X365&gt;0,"Demand exceeds available stock",""))</x:f>
      </x:c>
      <x:c r="Z365" s="1" t="n">
        <x:f>IF(ISNUMBER(Q365),1,0)</x:f>
        <x:v>0</x:v>
      </x:c>
    </x:row>
    <x:row r="366" ht="21" customHeight="1">
      <x:c r="A366" s="17" t="n">
        <x:f>Summary!B17</x:f>
        <x:v>46388</x:v>
      </x:c>
      <x:c r="B366" s="1" t="str">
        <x:f>'Current inventory'!A114</x:f>
        <x:v>60</x:v>
      </x:c>
      <x:c r="C366" s="1" t="str">
        <x:f>'Current inventory'!B114</x:f>
        <x:v>800BLKTB</x:v>
      </x:c>
      <x:c r="D366" s="7" t="n">
        <x:f>A240</x:f>
        <x:v>46357</x:v>
      </x:c>
      <x:c r="E366" s="8" t="n">
        <x:f>L240</x:f>
        <x:v>0</x:v>
      </x:c>
      <x:c r="F366" s="8" t="n">
        <x:f>M240</x:f>
        <x:v>0</x:v>
      </x:c>
      <x:c r="G366" s="8" t="n">
        <x:f>N240</x:f>
        <x:v>0</x:v>
      </x:c>
      <x:c r="H366" s="8" t="n">
        <x:f>SUMIFS('PO detail'!$U$2:$U$672,'PO detail'!$A$2:$A$672,B366,'PO detail'!$B$2:$B$672,C366,'PO detail'!$G$2:$G$672,"&gt;="&amp;D366,'PO detail'!$G$2:$G$672,"&lt;"&amp;A366)</x:f>
        <x:v>0</x:v>
      </x:c>
      <x:c r="I366" s="8" t="n">
        <x:f>SUMIFS('PO detail'!$V$2:$V$672,'PO detail'!$A$2:$A$672,B366,'PO detail'!$B$2:$B$672,C366,'PO detail'!$G$2:$G$672,"&gt;="&amp;D366,'PO detail'!$G$2:$G$672,"&lt;"&amp;A366)</x:f>
        <x:v>0</x:v>
      </x:c>
      <x:c r="J366" s="8" t="n">
        <x:f>SUMIFS('PO detail'!$W$2:$W$672,'PO detail'!$A$2:$A$672,B366,'PO detail'!$B$2:$B$672,C366,'PO detail'!$G$2:$G$672,"&gt;="&amp;D366,'PO detail'!$G$2:$G$672,"&lt;"&amp;A366)</x:f>
        <x:v>0</x:v>
      </x:c>
      <x:c r="K366" s="8" t="n">
        <x:f>'Current inventory'!E114*Summary!$D$6*(A366-D366)/30.4375</x:f>
        <x:v>0</x:v>
      </x:c>
      <x:c r="L366" s="8" t="n">
        <x:f>MAX(0,E366+H366-K366)</x:f>
        <x:v>0</x:v>
      </x:c>
      <x:c r="M366" s="8" t="n">
        <x:f>MAX(0,F366+I366-MAX(0,K366-E366-H366))</x:f>
        <x:v>0</x:v>
      </x:c>
      <x:c r="N366" s="8" t="n">
        <x:f>MAX(0,G366+J366-K366)</x:f>
        <x:v>0</x:v>
      </x:c>
      <x:c r="O366" s="8" t="n">
        <x:f>SUM(L366:N366)</x:f>
        <x:v>0</x:v>
      </x:c>
      <x:c r="P366" s="14" t="n">
        <x:f>'Current inventory'!V114</x:f>
        <x:v>0</x:v>
      </x:c>
      <x:c r="Q366" s="14" t="str">
        <x:f>'Current inventory'!W114</x:f>
        <x:v>n.a.</x:v>
      </x:c>
      <x:c r="R366" s="10" t="n">
        <x:f>L366*P366</x:f>
        <x:v>0</x:v>
      </x:c>
      <x:c r="S366" s="10" t="n">
        <x:f>M366*P366</x:f>
        <x:v>0</x:v>
      </x:c>
      <x:c r="T366" s="10" t="n">
        <x:f>N366*P366</x:f>
        <x:v>0</x:v>
      </x:c>
      <x:c r="U366" s="10" t="n">
        <x:f>O366*P366</x:f>
        <x:v>0</x:v>
      </x:c>
      <x:c r="V366" s="10" t="str">
        <x:f>IF(ISNUMBER(Q366),O366*(Q366-P366),"n.a.")</x:f>
        <x:v>n.a.</x:v>
      </x:c>
      <x:c r="W366" s="10" t="n">
        <x:f>IF(ISNUMBER(Q366),U366,0)</x:f>
        <x:v>0</x:v>
      </x:c>
      <x:c r="X366" s="8" t="n">
        <x:f>MAX(0,K366-SUM(E366:J366))</x:f>
        <x:v>0</x:v>
      </x:c>
      <x:c r="Y366" s="1" t="str">
        <x:f>IF(AND(O366&gt;0,NOT(ISNUMBER(Q366))),"No proposed replacement standard",IF(X366&gt;0,"Demand exceeds available stock",""))</x:f>
      </x:c>
      <x:c r="Z366" s="1" t="n">
        <x:f>IF(ISNUMBER(Q366),1,0)</x:f>
        <x:v>0</x:v>
      </x:c>
    </x:row>
    <x:row r="367" ht="21" customHeight="1">
      <x:c r="A367" s="17" t="n">
        <x:f>Summary!B17</x:f>
        <x:v>46388</x:v>
      </x:c>
      <x:c r="B367" s="1" t="str">
        <x:f>'Current inventory'!A115</x:f>
        <x:v>60</x:v>
      </x:c>
      <x:c r="C367" s="1" t="str">
        <x:f>'Current inventory'!B115</x:f>
        <x:v>800BMARCSC</x:v>
      </x:c>
      <x:c r="D367" s="7" t="n">
        <x:f>A241</x:f>
        <x:v>46357</x:v>
      </x:c>
      <x:c r="E367" s="8" t="n">
        <x:f>L241</x:f>
        <x:v>0</x:v>
      </x:c>
      <x:c r="F367" s="8" t="n">
        <x:f>M241</x:f>
        <x:v>0</x:v>
      </x:c>
      <x:c r="G367" s="8" t="n">
        <x:f>N241</x:f>
        <x:v>1300</x:v>
      </x:c>
      <x:c r="H367" s="8" t="n">
        <x:f>SUMIFS('PO detail'!$U$2:$U$672,'PO detail'!$A$2:$A$672,B367,'PO detail'!$B$2:$B$672,C367,'PO detail'!$G$2:$G$672,"&gt;="&amp;D367,'PO detail'!$G$2:$G$672,"&lt;"&amp;A367)</x:f>
        <x:v>0</x:v>
      </x:c>
      <x:c r="I367" s="8" t="n">
        <x:f>SUMIFS('PO detail'!$V$2:$V$672,'PO detail'!$A$2:$A$672,B367,'PO detail'!$B$2:$B$672,C367,'PO detail'!$G$2:$G$672,"&gt;="&amp;D367,'PO detail'!$G$2:$G$672,"&lt;"&amp;A367)</x:f>
        <x:v>0</x:v>
      </x:c>
      <x:c r="J367" s="8" t="n">
        <x:f>SUMIFS('PO detail'!$W$2:$W$672,'PO detail'!$A$2:$A$672,B367,'PO detail'!$B$2:$B$672,C367,'PO detail'!$G$2:$G$672,"&gt;="&amp;D367,'PO detail'!$G$2:$G$672,"&lt;"&amp;A367)</x:f>
        <x:v>0</x:v>
      </x:c>
      <x:c r="K367" s="8" t="n">
        <x:f>'Current inventory'!E115*Summary!$D$6*(A367-D367)/30.4375</x:f>
        <x:v>0</x:v>
      </x:c>
      <x:c r="L367" s="8" t="n">
        <x:f>MAX(0,E367+H367-K367)</x:f>
        <x:v>0</x:v>
      </x:c>
      <x:c r="M367" s="8" t="n">
        <x:f>MAX(0,F367+I367-MAX(0,K367-E367-H367))</x:f>
        <x:v>0</x:v>
      </x:c>
      <x:c r="N367" s="8" t="n">
        <x:f>MAX(0,G367+J367-K367)</x:f>
        <x:v>1300</x:v>
      </x:c>
      <x:c r="O367" s="8" t="n">
        <x:f>SUM(L367:N367)</x:f>
        <x:v>1300</x:v>
      </x:c>
      <x:c r="P367" s="14" t="n">
        <x:f>'Current inventory'!V115</x:f>
        <x:v>0.23329999999999998</x:v>
      </x:c>
      <x:c r="Q367" s="14" t="str">
        <x:f>'Current inventory'!W115</x:f>
        <x:v>n.a.</x:v>
      </x:c>
      <x:c r="R367" s="10" t="n">
        <x:f>L367*P367</x:f>
        <x:v>0</x:v>
      </x:c>
      <x:c r="S367" s="10" t="n">
        <x:f>M367*P367</x:f>
        <x:v>0</x:v>
      </x:c>
      <x:c r="T367" s="10" t="n">
        <x:f>N367*P367</x:f>
        <x:v>303.28999999999996</x:v>
      </x:c>
      <x:c r="U367" s="10" t="n">
        <x:f>O367*P367</x:f>
        <x:v>303.28999999999996</x:v>
      </x:c>
      <x:c r="V367" s="10" t="str">
        <x:f>IF(ISNUMBER(Q367),O367*(Q367-P367),"n.a.")</x:f>
        <x:v>n.a.</x:v>
      </x:c>
      <x:c r="W367" s="10" t="n">
        <x:f>IF(ISNUMBER(Q367),U367,0)</x:f>
        <x:v>0</x:v>
      </x:c>
      <x:c r="X367" s="8" t="n">
        <x:f>MAX(0,K367-SUM(E367:J367))</x:f>
        <x:v>0</x:v>
      </x:c>
      <x:c r="Y367" s="1" t="str">
        <x:f>IF(AND(O367&gt;0,NOT(ISNUMBER(Q367))),"No proposed replacement standard",IF(X367&gt;0,"Demand exceeds available stock",""))</x:f>
        <x:v>No proposed replacement standard</x:v>
      </x:c>
      <x:c r="Z367" s="1" t="n">
        <x:f>IF(ISNUMBER(Q367),1,0)</x:f>
        <x:v>0</x:v>
      </x:c>
    </x:row>
    <x:row r="368" ht="21" customHeight="1">
      <x:c r="A368" s="17" t="n">
        <x:f>Summary!B17</x:f>
        <x:v>46388</x:v>
      </x:c>
      <x:c r="B368" s="1" t="str">
        <x:f>'Current inventory'!A116</x:f>
        <x:v>60</x:v>
      </x:c>
      <x:c r="C368" s="1" t="str">
        <x:f>'Current inventory'!B116</x:f>
        <x:v>800BREDASC</x:v>
      </x:c>
      <x:c r="D368" s="7" t="n">
        <x:f>A242</x:f>
        <x:v>46357</x:v>
      </x:c>
      <x:c r="E368" s="8" t="n">
        <x:f>L242</x:f>
        <x:v>0</x:v>
      </x:c>
      <x:c r="F368" s="8" t="n">
        <x:f>M242</x:f>
        <x:v>0</x:v>
      </x:c>
      <x:c r="G368" s="8" t="n">
        <x:f>N242</x:f>
        <x:v>0</x:v>
      </x:c>
      <x:c r="H368" s="8" t="n">
        <x:f>SUMIFS('PO detail'!$U$2:$U$672,'PO detail'!$A$2:$A$672,B368,'PO detail'!$B$2:$B$672,C368,'PO detail'!$G$2:$G$672,"&gt;="&amp;D368,'PO detail'!$G$2:$G$672,"&lt;"&amp;A368)</x:f>
        <x:v>0</x:v>
      </x:c>
      <x:c r="I368" s="8" t="n">
        <x:f>SUMIFS('PO detail'!$V$2:$V$672,'PO detail'!$A$2:$A$672,B368,'PO detail'!$B$2:$B$672,C368,'PO detail'!$G$2:$G$672,"&gt;="&amp;D368,'PO detail'!$G$2:$G$672,"&lt;"&amp;A368)</x:f>
        <x:v>0</x:v>
      </x:c>
      <x:c r="J368" s="8" t="n">
        <x:f>SUMIFS('PO detail'!$W$2:$W$672,'PO detail'!$A$2:$A$672,B368,'PO detail'!$B$2:$B$672,C368,'PO detail'!$G$2:$G$672,"&gt;="&amp;D368,'PO detail'!$G$2:$G$672,"&lt;"&amp;A368)</x:f>
        <x:v>0</x:v>
      </x:c>
      <x:c r="K368" s="8" t="n">
        <x:f>'Current inventory'!E116*Summary!$D$6*(A368-D368)/30.4375</x:f>
        <x:v>0</x:v>
      </x:c>
      <x:c r="L368" s="8" t="n">
        <x:f>MAX(0,E368+H368-K368)</x:f>
        <x:v>0</x:v>
      </x:c>
      <x:c r="M368" s="8" t="n">
        <x:f>MAX(0,F368+I368-MAX(0,K368-E368-H368))</x:f>
        <x:v>0</x:v>
      </x:c>
      <x:c r="N368" s="8" t="n">
        <x:f>MAX(0,G368+J368-K368)</x:f>
        <x:v>0</x:v>
      </x:c>
      <x:c r="O368" s="8" t="n">
        <x:f>SUM(L368:N368)</x:f>
        <x:v>0</x:v>
      </x:c>
      <x:c r="P368" s="14" t="n">
        <x:f>'Current inventory'!V116</x:f>
        <x:v>0.07919999999999999</x:v>
      </x:c>
      <x:c r="Q368" s="14" t="str">
        <x:f>'Current inventory'!W116</x:f>
        <x:v>n.a.</x:v>
      </x:c>
      <x:c r="R368" s="10" t="n">
        <x:f>L368*P368</x:f>
        <x:v>0</x:v>
      </x:c>
      <x:c r="S368" s="10" t="n">
        <x:f>M368*P368</x:f>
        <x:v>0</x:v>
      </x:c>
      <x:c r="T368" s="10" t="n">
        <x:f>N368*P368</x:f>
        <x:v>0</x:v>
      </x:c>
      <x:c r="U368" s="10" t="n">
        <x:f>O368*P368</x:f>
        <x:v>0</x:v>
      </x:c>
      <x:c r="V368" s="10" t="str">
        <x:f>IF(ISNUMBER(Q368),O368*(Q368-P368),"n.a.")</x:f>
        <x:v>n.a.</x:v>
      </x:c>
      <x:c r="W368" s="10" t="n">
        <x:f>IF(ISNUMBER(Q368),U368,0)</x:f>
        <x:v>0</x:v>
      </x:c>
      <x:c r="X368" s="8" t="n">
        <x:f>MAX(0,K368-SUM(E368:J368))</x:f>
        <x:v>0</x:v>
      </x:c>
      <x:c r="Y368" s="1" t="str">
        <x:f>IF(AND(O368&gt;0,NOT(ISNUMBER(Q368))),"No proposed replacement standard",IF(X368&gt;0,"Demand exceeds available stock",""))</x:f>
      </x:c>
      <x:c r="Z368" s="1" t="n">
        <x:f>IF(ISNUMBER(Q368),1,0)</x:f>
        <x:v>0</x:v>
      </x:c>
    </x:row>
    <x:row r="369" ht="21" customHeight="1">
      <x:c r="A369" s="17" t="n">
        <x:f>Summary!B17</x:f>
        <x:v>46388</x:v>
      </x:c>
      <x:c r="B369" s="1" t="str">
        <x:f>'Current inventory'!A117</x:f>
        <x:v>60</x:v>
      </x:c>
      <x:c r="C369" s="1" t="str">
        <x:f>'Current inventory'!B117</x:f>
        <x:v>800BREDBRC</x:v>
      </x:c>
      <x:c r="D369" s="7" t="n">
        <x:f>A243</x:f>
        <x:v>46357</x:v>
      </x:c>
      <x:c r="E369" s="8" t="n">
        <x:f>L243</x:f>
        <x:v>0</x:v>
      </x:c>
      <x:c r="F369" s="8" t="n">
        <x:f>M243</x:f>
        <x:v>0</x:v>
      </x:c>
      <x:c r="G369" s="8" t="n">
        <x:f>N243</x:f>
        <x:v>0</x:v>
      </x:c>
      <x:c r="H369" s="8" t="n">
        <x:f>SUMIFS('PO detail'!$U$2:$U$672,'PO detail'!$A$2:$A$672,B369,'PO detail'!$B$2:$B$672,C369,'PO detail'!$G$2:$G$672,"&gt;="&amp;D369,'PO detail'!$G$2:$G$672,"&lt;"&amp;A369)</x:f>
        <x:v>0</x:v>
      </x:c>
      <x:c r="I369" s="8" t="n">
        <x:f>SUMIFS('PO detail'!$V$2:$V$672,'PO detail'!$A$2:$A$672,B369,'PO detail'!$B$2:$B$672,C369,'PO detail'!$G$2:$G$672,"&gt;="&amp;D369,'PO detail'!$G$2:$G$672,"&lt;"&amp;A369)</x:f>
        <x:v>0</x:v>
      </x:c>
      <x:c r="J369" s="8" t="n">
        <x:f>SUMIFS('PO detail'!$W$2:$W$672,'PO detail'!$A$2:$A$672,B369,'PO detail'!$B$2:$B$672,C369,'PO detail'!$G$2:$G$672,"&gt;="&amp;D369,'PO detail'!$G$2:$G$672,"&lt;"&amp;A369)</x:f>
        <x:v>0</x:v>
      </x:c>
      <x:c r="K369" s="8" t="n">
        <x:f>'Current inventory'!E117*Summary!$D$6*(A369-D369)/30.4375</x:f>
        <x:v>0</x:v>
      </x:c>
      <x:c r="L369" s="8" t="n">
        <x:f>MAX(0,E369+H369-K369)</x:f>
        <x:v>0</x:v>
      </x:c>
      <x:c r="M369" s="8" t="n">
        <x:f>MAX(0,F369+I369-MAX(0,K369-E369-H369))</x:f>
        <x:v>0</x:v>
      </x:c>
      <x:c r="N369" s="8" t="n">
        <x:f>MAX(0,G369+J369-K369)</x:f>
        <x:v>0</x:v>
      </x:c>
      <x:c r="O369" s="8" t="n">
        <x:f>SUM(L369:N369)</x:f>
        <x:v>0</x:v>
      </x:c>
      <x:c r="P369" s="14" t="n">
        <x:f>'Current inventory'!V117</x:f>
        <x:v>0.0898</x:v>
      </x:c>
      <x:c r="Q369" s="14" t="str">
        <x:f>'Current inventory'!W117</x:f>
        <x:v>n.a.</x:v>
      </x:c>
      <x:c r="R369" s="10" t="n">
        <x:f>L369*P369</x:f>
        <x:v>0</x:v>
      </x:c>
      <x:c r="S369" s="10" t="n">
        <x:f>M369*P369</x:f>
        <x:v>0</x:v>
      </x:c>
      <x:c r="T369" s="10" t="n">
        <x:f>N369*P369</x:f>
        <x:v>0</x:v>
      </x:c>
      <x:c r="U369" s="10" t="n">
        <x:f>O369*P369</x:f>
        <x:v>0</x:v>
      </x:c>
      <x:c r="V369" s="10" t="str">
        <x:f>IF(ISNUMBER(Q369),O369*(Q369-P369),"n.a.")</x:f>
        <x:v>n.a.</x:v>
      </x:c>
      <x:c r="W369" s="10" t="n">
        <x:f>IF(ISNUMBER(Q369),U369,0)</x:f>
        <x:v>0</x:v>
      </x:c>
      <x:c r="X369" s="8" t="n">
        <x:f>MAX(0,K369-SUM(E369:J369))</x:f>
        <x:v>0</x:v>
      </x:c>
      <x:c r="Y369" s="1" t="str">
        <x:f>IF(AND(O369&gt;0,NOT(ISNUMBER(Q369))),"No proposed replacement standard",IF(X369&gt;0,"Demand exceeds available stock",""))</x:f>
      </x:c>
      <x:c r="Z369" s="1" t="n">
        <x:f>IF(ISNUMBER(Q369),1,0)</x:f>
        <x:v>0</x:v>
      </x:c>
    </x:row>
    <x:row r="370" ht="21" customHeight="1">
      <x:c r="A370" s="17" t="n">
        <x:f>Summary!B17</x:f>
        <x:v>46388</x:v>
      </x:c>
      <x:c r="B370" s="1" t="str">
        <x:f>'Current inventory'!A118</x:f>
        <x:v>60</x:v>
      </x:c>
      <x:c r="C370" s="1" t="str">
        <x:f>'Current inventory'!B118</x:f>
        <x:v>800WBLKBRC</x:v>
      </x:c>
      <x:c r="D370" s="7" t="n">
        <x:f>A244</x:f>
        <x:v>46357</x:v>
      </x:c>
      <x:c r="E370" s="8" t="n">
        <x:f>L244</x:f>
        <x:v>0</x:v>
      </x:c>
      <x:c r="F370" s="8" t="n">
        <x:f>M244</x:f>
        <x:v>0</x:v>
      </x:c>
      <x:c r="G370" s="8" t="n">
        <x:f>N244</x:f>
        <x:v>0</x:v>
      </x:c>
      <x:c r="H370" s="8" t="n">
        <x:f>SUMIFS('PO detail'!$U$2:$U$672,'PO detail'!$A$2:$A$672,B370,'PO detail'!$B$2:$B$672,C370,'PO detail'!$G$2:$G$672,"&gt;="&amp;D370,'PO detail'!$G$2:$G$672,"&lt;"&amp;A370)</x:f>
        <x:v>0</x:v>
      </x:c>
      <x:c r="I370" s="8" t="n">
        <x:f>SUMIFS('PO detail'!$V$2:$V$672,'PO detail'!$A$2:$A$672,B370,'PO detail'!$B$2:$B$672,C370,'PO detail'!$G$2:$G$672,"&gt;="&amp;D370,'PO detail'!$G$2:$G$672,"&lt;"&amp;A370)</x:f>
        <x:v>0</x:v>
      </x:c>
      <x:c r="J370" s="8" t="n">
        <x:f>SUMIFS('PO detail'!$W$2:$W$672,'PO detail'!$A$2:$A$672,B370,'PO detail'!$B$2:$B$672,C370,'PO detail'!$G$2:$G$672,"&gt;="&amp;D370,'PO detail'!$G$2:$G$672,"&lt;"&amp;A370)</x:f>
        <x:v>0</x:v>
      </x:c>
      <x:c r="K370" s="8" t="n">
        <x:f>'Current inventory'!E118*Summary!$D$6*(A370-D370)/30.4375</x:f>
        <x:v>0</x:v>
      </x:c>
      <x:c r="L370" s="8" t="n">
        <x:f>MAX(0,E370+H370-K370)</x:f>
        <x:v>0</x:v>
      </x:c>
      <x:c r="M370" s="8" t="n">
        <x:f>MAX(0,F370+I370-MAX(0,K370-E370-H370))</x:f>
        <x:v>0</x:v>
      </x:c>
      <x:c r="N370" s="8" t="n">
        <x:f>MAX(0,G370+J370-K370)</x:f>
        <x:v>0</x:v>
      </x:c>
      <x:c r="O370" s="8" t="n">
        <x:f>SUM(L370:N370)</x:f>
        <x:v>0</x:v>
      </x:c>
      <x:c r="P370" s="14" t="n">
        <x:f>'Current inventory'!V118</x:f>
        <x:v>0.14150000000000001</x:v>
      </x:c>
      <x:c r="Q370" s="14" t="str">
        <x:f>'Current inventory'!W118</x:f>
        <x:v>n.a.</x:v>
      </x:c>
      <x:c r="R370" s="10" t="n">
        <x:f>L370*P370</x:f>
        <x:v>0</x:v>
      </x:c>
      <x:c r="S370" s="10" t="n">
        <x:f>M370*P370</x:f>
        <x:v>0</x:v>
      </x:c>
      <x:c r="T370" s="10" t="n">
        <x:f>N370*P370</x:f>
        <x:v>0</x:v>
      </x:c>
      <x:c r="U370" s="10" t="n">
        <x:f>O370*P370</x:f>
        <x:v>0</x:v>
      </x:c>
      <x:c r="V370" s="10" t="str">
        <x:f>IF(ISNUMBER(Q370),O370*(Q370-P370),"n.a.")</x:f>
        <x:v>n.a.</x:v>
      </x:c>
      <x:c r="W370" s="10" t="n">
        <x:f>IF(ISNUMBER(Q370),U370,0)</x:f>
        <x:v>0</x:v>
      </x:c>
      <x:c r="X370" s="8" t="n">
        <x:f>MAX(0,K370-SUM(E370:J370))</x:f>
        <x:v>0</x:v>
      </x:c>
      <x:c r="Y370" s="1" t="str">
        <x:f>IF(AND(O370&gt;0,NOT(ISNUMBER(Q370))),"No proposed replacement standard",IF(X370&gt;0,"Demand exceeds available stock",""))</x:f>
      </x:c>
      <x:c r="Z370" s="1" t="n">
        <x:f>IF(ISNUMBER(Q370),1,0)</x:f>
        <x:v>0</x:v>
      </x:c>
    </x:row>
    <x:row r="371" ht="21" customHeight="1">
      <x:c r="A371" s="17" t="n">
        <x:f>Summary!B17</x:f>
        <x:v>46388</x:v>
      </x:c>
      <x:c r="B371" s="1" t="str">
        <x:f>'Current inventory'!A119</x:f>
        <x:v>60</x:v>
      </x:c>
      <x:c r="C371" s="1" t="str">
        <x:f>'Current inventory'!B119</x:f>
        <x:v>800WFGASC</x:v>
      </x:c>
      <x:c r="D371" s="7" t="n">
        <x:f>A245</x:f>
        <x:v>46357</x:v>
      </x:c>
      <x:c r="E371" s="8" t="n">
        <x:f>L245</x:f>
        <x:v>0</x:v>
      </x:c>
      <x:c r="F371" s="8" t="n">
        <x:f>M245</x:f>
        <x:v>0</x:v>
      </x:c>
      <x:c r="G371" s="8" t="n">
        <x:f>N245</x:f>
        <x:v>0</x:v>
      </x:c>
      <x:c r="H371" s="8" t="n">
        <x:f>SUMIFS('PO detail'!$U$2:$U$672,'PO detail'!$A$2:$A$672,B371,'PO detail'!$B$2:$B$672,C371,'PO detail'!$G$2:$G$672,"&gt;="&amp;D371,'PO detail'!$G$2:$G$672,"&lt;"&amp;A371)</x:f>
        <x:v>0</x:v>
      </x:c>
      <x:c r="I371" s="8" t="n">
        <x:f>SUMIFS('PO detail'!$V$2:$V$672,'PO detail'!$A$2:$A$672,B371,'PO detail'!$B$2:$B$672,C371,'PO detail'!$G$2:$G$672,"&gt;="&amp;D371,'PO detail'!$G$2:$G$672,"&lt;"&amp;A371)</x:f>
        <x:v>0</x:v>
      </x:c>
      <x:c r="J371" s="8" t="n">
        <x:f>SUMIFS('PO detail'!$W$2:$W$672,'PO detail'!$A$2:$A$672,B371,'PO detail'!$B$2:$B$672,C371,'PO detail'!$G$2:$G$672,"&gt;="&amp;D371,'PO detail'!$G$2:$G$672,"&lt;"&amp;A371)</x:f>
        <x:v>0</x:v>
      </x:c>
      <x:c r="K371" s="8" t="n">
        <x:f>'Current inventory'!E119*Summary!$D$6*(A371-D371)/30.4375</x:f>
        <x:v>0</x:v>
      </x:c>
      <x:c r="L371" s="8" t="n">
        <x:f>MAX(0,E371+H371-K371)</x:f>
        <x:v>0</x:v>
      </x:c>
      <x:c r="M371" s="8" t="n">
        <x:f>MAX(0,F371+I371-MAX(0,K371-E371-H371))</x:f>
        <x:v>0</x:v>
      </x:c>
      <x:c r="N371" s="8" t="n">
        <x:f>MAX(0,G371+J371-K371)</x:f>
        <x:v>0</x:v>
      </x:c>
      <x:c r="O371" s="8" t="n">
        <x:f>SUM(L371:N371)</x:f>
        <x:v>0</x:v>
      </x:c>
      <x:c r="P371" s="14" t="n">
        <x:f>'Current inventory'!V119</x:f>
        <x:v>0.1456</x:v>
      </x:c>
      <x:c r="Q371" s="14" t="str">
        <x:f>'Current inventory'!W119</x:f>
        <x:v>n.a.</x:v>
      </x:c>
      <x:c r="R371" s="10" t="n">
        <x:f>L371*P371</x:f>
        <x:v>0</x:v>
      </x:c>
      <x:c r="S371" s="10" t="n">
        <x:f>M371*P371</x:f>
        <x:v>0</x:v>
      </x:c>
      <x:c r="T371" s="10" t="n">
        <x:f>N371*P371</x:f>
        <x:v>0</x:v>
      </x:c>
      <x:c r="U371" s="10" t="n">
        <x:f>O371*P371</x:f>
        <x:v>0</x:v>
      </x:c>
      <x:c r="V371" s="10" t="str">
        <x:f>IF(ISNUMBER(Q371),O371*(Q371-P371),"n.a.")</x:f>
        <x:v>n.a.</x:v>
      </x:c>
      <x:c r="W371" s="10" t="n">
        <x:f>IF(ISNUMBER(Q371),U371,0)</x:f>
        <x:v>0</x:v>
      </x:c>
      <x:c r="X371" s="8" t="n">
        <x:f>MAX(0,K371-SUM(E371:J371))</x:f>
        <x:v>0</x:v>
      </x:c>
      <x:c r="Y371" s="1" t="str">
        <x:f>IF(AND(O371&gt;0,NOT(ISNUMBER(Q371))),"No proposed replacement standard",IF(X371&gt;0,"Demand exceeds available stock",""))</x:f>
      </x:c>
      <x:c r="Z371" s="1" t="n">
        <x:f>IF(ISNUMBER(Q371),1,0)</x:f>
        <x:v>0</x:v>
      </x:c>
    </x:row>
    <x:row r="372" ht="21" customHeight="1">
      <x:c r="A372" s="17" t="n">
        <x:f>Summary!B17</x:f>
        <x:v>46388</x:v>
      </x:c>
      <x:c r="B372" s="1" t="str">
        <x:f>'Current inventory'!A120</x:f>
        <x:v>60</x:v>
      </x:c>
      <x:c r="C372" s="1" t="str">
        <x:f>'Current inventory'!B120</x:f>
        <x:v>800WFGBRC</x:v>
      </x:c>
      <x:c r="D372" s="7" t="n">
        <x:f>A246</x:f>
        <x:v>46357</x:v>
      </x:c>
      <x:c r="E372" s="8" t="n">
        <x:f>L246</x:f>
        <x:v>0</x:v>
      </x:c>
      <x:c r="F372" s="8" t="n">
        <x:f>M246</x:f>
        <x:v>0</x:v>
      </x:c>
      <x:c r="G372" s="8" t="n">
        <x:f>N246</x:f>
        <x:v>0</x:v>
      </x:c>
      <x:c r="H372" s="8" t="n">
        <x:f>SUMIFS('PO detail'!$U$2:$U$672,'PO detail'!$A$2:$A$672,B372,'PO detail'!$B$2:$B$672,C372,'PO detail'!$G$2:$G$672,"&gt;="&amp;D372,'PO detail'!$G$2:$G$672,"&lt;"&amp;A372)</x:f>
        <x:v>0</x:v>
      </x:c>
      <x:c r="I372" s="8" t="n">
        <x:f>SUMIFS('PO detail'!$V$2:$V$672,'PO detail'!$A$2:$A$672,B372,'PO detail'!$B$2:$B$672,C372,'PO detail'!$G$2:$G$672,"&gt;="&amp;D372,'PO detail'!$G$2:$G$672,"&lt;"&amp;A372)</x:f>
        <x:v>0</x:v>
      </x:c>
      <x:c r="J372" s="8" t="n">
        <x:f>SUMIFS('PO detail'!$W$2:$W$672,'PO detail'!$A$2:$A$672,B372,'PO detail'!$B$2:$B$672,C372,'PO detail'!$G$2:$G$672,"&gt;="&amp;D372,'PO detail'!$G$2:$G$672,"&lt;"&amp;A372)</x:f>
        <x:v>0</x:v>
      </x:c>
      <x:c r="K372" s="8" t="n">
        <x:f>'Current inventory'!E120*Summary!$D$6*(A372-D372)/30.4375</x:f>
        <x:v>0</x:v>
      </x:c>
      <x:c r="L372" s="8" t="n">
        <x:f>MAX(0,E372+H372-K372)</x:f>
        <x:v>0</x:v>
      </x:c>
      <x:c r="M372" s="8" t="n">
        <x:f>MAX(0,F372+I372-MAX(0,K372-E372-H372))</x:f>
        <x:v>0</x:v>
      </x:c>
      <x:c r="N372" s="8" t="n">
        <x:f>MAX(0,G372+J372-K372)</x:f>
        <x:v>0</x:v>
      </x:c>
      <x:c r="O372" s="8" t="n">
        <x:f>SUM(L372:N372)</x:f>
        <x:v>0</x:v>
      </x:c>
      <x:c r="P372" s="14" t="n">
        <x:f>'Current inventory'!V120</x:f>
        <x:v>0.18469999999999998</x:v>
      </x:c>
      <x:c r="Q372" s="14" t="str">
        <x:f>'Current inventory'!W120</x:f>
        <x:v>n.a.</x:v>
      </x:c>
      <x:c r="R372" s="10" t="n">
        <x:f>L372*P372</x:f>
        <x:v>0</x:v>
      </x:c>
      <x:c r="S372" s="10" t="n">
        <x:f>M372*P372</x:f>
        <x:v>0</x:v>
      </x:c>
      <x:c r="T372" s="10" t="n">
        <x:f>N372*P372</x:f>
        <x:v>0</x:v>
      </x:c>
      <x:c r="U372" s="10" t="n">
        <x:f>O372*P372</x:f>
        <x:v>0</x:v>
      </x:c>
      <x:c r="V372" s="10" t="str">
        <x:f>IF(ISNUMBER(Q372),O372*(Q372-P372),"n.a.")</x:f>
        <x:v>n.a.</x:v>
      </x:c>
      <x:c r="W372" s="10" t="n">
        <x:f>IF(ISNUMBER(Q372),U372,0)</x:f>
        <x:v>0</x:v>
      </x:c>
      <x:c r="X372" s="8" t="n">
        <x:f>MAX(0,K372-SUM(E372:J372))</x:f>
        <x:v>0</x:v>
      </x:c>
      <x:c r="Y372" s="1" t="str">
        <x:f>IF(AND(O372&gt;0,NOT(ISNUMBER(Q372))),"No proposed replacement standard",IF(X372&gt;0,"Demand exceeds available stock",""))</x:f>
      </x:c>
      <x:c r="Z372" s="1" t="n">
        <x:f>IF(ISNUMBER(Q372),1,0)</x:f>
        <x:v>0</x:v>
      </x:c>
    </x:row>
    <x:row r="373" ht="21" customHeight="1">
      <x:c r="A373" s="17" t="n">
        <x:f>Summary!B17</x:f>
        <x:v>46388</x:v>
      </x:c>
      <x:c r="B373" s="1" t="str">
        <x:f>'Current inventory'!A121</x:f>
        <x:v>60</x:v>
      </x:c>
      <x:c r="C373" s="1" t="str">
        <x:f>'Current inventory'!B121</x:f>
        <x:v>800WMARASC</x:v>
      </x:c>
      <x:c r="D373" s="7" t="n">
        <x:f>A247</x:f>
        <x:v>46357</x:v>
      </x:c>
      <x:c r="E373" s="8" t="n">
        <x:f>L247</x:f>
        <x:v>0</x:v>
      </x:c>
      <x:c r="F373" s="8" t="n">
        <x:f>M247</x:f>
        <x:v>0</x:v>
      </x:c>
      <x:c r="G373" s="8" t="n">
        <x:f>N247</x:f>
        <x:v>0</x:v>
      </x:c>
      <x:c r="H373" s="8" t="n">
        <x:f>SUMIFS('PO detail'!$U$2:$U$672,'PO detail'!$A$2:$A$672,B373,'PO detail'!$B$2:$B$672,C373,'PO detail'!$G$2:$G$672,"&gt;="&amp;D373,'PO detail'!$G$2:$G$672,"&lt;"&amp;A373)</x:f>
        <x:v>0</x:v>
      </x:c>
      <x:c r="I373" s="8" t="n">
        <x:f>SUMIFS('PO detail'!$V$2:$V$672,'PO detail'!$A$2:$A$672,B373,'PO detail'!$B$2:$B$672,C373,'PO detail'!$G$2:$G$672,"&gt;="&amp;D373,'PO detail'!$G$2:$G$672,"&lt;"&amp;A373)</x:f>
        <x:v>0</x:v>
      </x:c>
      <x:c r="J373" s="8" t="n">
        <x:f>SUMIFS('PO detail'!$W$2:$W$672,'PO detail'!$A$2:$A$672,B373,'PO detail'!$B$2:$B$672,C373,'PO detail'!$G$2:$G$672,"&gt;="&amp;D373,'PO detail'!$G$2:$G$672,"&lt;"&amp;A373)</x:f>
        <x:v>0</x:v>
      </x:c>
      <x:c r="K373" s="8" t="n">
        <x:f>'Current inventory'!E121*Summary!$D$6*(A373-D373)/30.4375</x:f>
        <x:v>0</x:v>
      </x:c>
      <x:c r="L373" s="8" t="n">
        <x:f>MAX(0,E373+H373-K373)</x:f>
        <x:v>0</x:v>
      </x:c>
      <x:c r="M373" s="8" t="n">
        <x:f>MAX(0,F373+I373-MAX(0,K373-E373-H373))</x:f>
        <x:v>0</x:v>
      </x:c>
      <x:c r="N373" s="8" t="n">
        <x:f>MAX(0,G373+J373-K373)</x:f>
        <x:v>0</x:v>
      </x:c>
      <x:c r="O373" s="8" t="n">
        <x:f>SUM(L373:N373)</x:f>
        <x:v>0</x:v>
      </x:c>
      <x:c r="P373" s="14" t="n">
        <x:f>'Current inventory'!V121</x:f>
        <x:v>0.1383</x:v>
      </x:c>
      <x:c r="Q373" s="14" t="str">
        <x:f>'Current inventory'!W121</x:f>
        <x:v>n.a.</x:v>
      </x:c>
      <x:c r="R373" s="10" t="n">
        <x:f>L373*P373</x:f>
        <x:v>0</x:v>
      </x:c>
      <x:c r="S373" s="10" t="n">
        <x:f>M373*P373</x:f>
        <x:v>0</x:v>
      </x:c>
      <x:c r="T373" s="10" t="n">
        <x:f>N373*P373</x:f>
        <x:v>0</x:v>
      </x:c>
      <x:c r="U373" s="10" t="n">
        <x:f>O373*P373</x:f>
        <x:v>0</x:v>
      </x:c>
      <x:c r="V373" s="10" t="str">
        <x:f>IF(ISNUMBER(Q373),O373*(Q373-P373),"n.a.")</x:f>
        <x:v>n.a.</x:v>
      </x:c>
      <x:c r="W373" s="10" t="n">
        <x:f>IF(ISNUMBER(Q373),U373,0)</x:f>
        <x:v>0</x:v>
      </x:c>
      <x:c r="X373" s="8" t="n">
        <x:f>MAX(0,K373-SUM(E373:J373))</x:f>
        <x:v>0</x:v>
      </x:c>
      <x:c r="Y373" s="1" t="str">
        <x:f>IF(AND(O373&gt;0,NOT(ISNUMBER(Q373))),"No proposed replacement standard",IF(X373&gt;0,"Demand exceeds available stock",""))</x:f>
      </x:c>
      <x:c r="Z373" s="1" t="n">
        <x:f>IF(ISNUMBER(Q373),1,0)</x:f>
        <x:v>0</x:v>
      </x:c>
    </x:row>
    <x:row r="374" ht="21" customHeight="1">
      <x:c r="A374" s="17" t="n">
        <x:f>Summary!B17</x:f>
        <x:v>46388</x:v>
      </x:c>
      <x:c r="B374" s="1" t="str">
        <x:f>'Current inventory'!A122</x:f>
        <x:v>60</x:v>
      </x:c>
      <x:c r="C374" s="1" t="str">
        <x:f>'Current inventory'!B122</x:f>
        <x:v>800WMARBRC</x:v>
      </x:c>
      <x:c r="D374" s="7" t="n">
        <x:f>A248</x:f>
        <x:v>46357</x:v>
      </x:c>
      <x:c r="E374" s="8" t="n">
        <x:f>L248</x:f>
        <x:v>0</x:v>
      </x:c>
      <x:c r="F374" s="8" t="n">
        <x:f>M248</x:f>
        <x:v>0</x:v>
      </x:c>
      <x:c r="G374" s="8" t="n">
        <x:f>N248</x:f>
        <x:v>0</x:v>
      </x:c>
      <x:c r="H374" s="8" t="n">
        <x:f>SUMIFS('PO detail'!$U$2:$U$672,'PO detail'!$A$2:$A$672,B374,'PO detail'!$B$2:$B$672,C374,'PO detail'!$G$2:$G$672,"&gt;="&amp;D374,'PO detail'!$G$2:$G$672,"&lt;"&amp;A374)</x:f>
        <x:v>0</x:v>
      </x:c>
      <x:c r="I374" s="8" t="n">
        <x:f>SUMIFS('PO detail'!$V$2:$V$672,'PO detail'!$A$2:$A$672,B374,'PO detail'!$B$2:$B$672,C374,'PO detail'!$G$2:$G$672,"&gt;="&amp;D374,'PO detail'!$G$2:$G$672,"&lt;"&amp;A374)</x:f>
        <x:v>0</x:v>
      </x:c>
      <x:c r="J374" s="8" t="n">
        <x:f>SUMIFS('PO detail'!$W$2:$W$672,'PO detail'!$A$2:$A$672,B374,'PO detail'!$B$2:$B$672,C374,'PO detail'!$G$2:$G$672,"&gt;="&amp;D374,'PO detail'!$G$2:$G$672,"&lt;"&amp;A374)</x:f>
        <x:v>0</x:v>
      </x:c>
      <x:c r="K374" s="8" t="n">
        <x:f>'Current inventory'!E122*Summary!$D$6*(A374-D374)/30.4375</x:f>
        <x:v>0</x:v>
      </x:c>
      <x:c r="L374" s="8" t="n">
        <x:f>MAX(0,E374+H374-K374)</x:f>
        <x:v>0</x:v>
      </x:c>
      <x:c r="M374" s="8" t="n">
        <x:f>MAX(0,F374+I374-MAX(0,K374-E374-H374))</x:f>
        <x:v>0</x:v>
      </x:c>
      <x:c r="N374" s="8" t="n">
        <x:f>MAX(0,G374+J374-K374)</x:f>
        <x:v>0</x:v>
      </x:c>
      <x:c r="O374" s="8" t="n">
        <x:f>SUM(L374:N374)</x:f>
        <x:v>0</x:v>
      </x:c>
      <x:c r="P374" s="14" t="n">
        <x:f>'Current inventory'!V122</x:f>
        <x:v>0.17350000000000002</x:v>
      </x:c>
      <x:c r="Q374" s="14" t="str">
        <x:f>'Current inventory'!W122</x:f>
        <x:v>n.a.</x:v>
      </x:c>
      <x:c r="R374" s="10" t="n">
        <x:f>L374*P374</x:f>
        <x:v>0</x:v>
      </x:c>
      <x:c r="S374" s="10" t="n">
        <x:f>M374*P374</x:f>
        <x:v>0</x:v>
      </x:c>
      <x:c r="T374" s="10" t="n">
        <x:f>N374*P374</x:f>
        <x:v>0</x:v>
      </x:c>
      <x:c r="U374" s="10" t="n">
        <x:f>O374*P374</x:f>
        <x:v>0</x:v>
      </x:c>
      <x:c r="V374" s="10" t="str">
        <x:f>IF(ISNUMBER(Q374),O374*(Q374-P374),"n.a.")</x:f>
        <x:v>n.a.</x:v>
      </x:c>
      <x:c r="W374" s="10" t="n">
        <x:f>IF(ISNUMBER(Q374),U374,0)</x:f>
        <x:v>0</x:v>
      </x:c>
      <x:c r="X374" s="8" t="n">
        <x:f>MAX(0,K374-SUM(E374:J374))</x:f>
        <x:v>0</x:v>
      </x:c>
      <x:c r="Y374" s="1" t="str">
        <x:f>IF(AND(O374&gt;0,NOT(ISNUMBER(Q374))),"No proposed replacement standard",IF(X374&gt;0,"Demand exceeds available stock",""))</x:f>
      </x:c>
      <x:c r="Z374" s="1" t="n">
        <x:f>IF(ISNUMBER(Q374),1,0)</x:f>
        <x:v>0</x:v>
      </x:c>
    </x:row>
    <x:row r="375" ht="21" customHeight="1">
      <x:c r="A375" s="17" t="n">
        <x:f>Summary!B17</x:f>
        <x:v>46388</x:v>
      </x:c>
      <x:c r="B375" s="1" t="str">
        <x:f>'Current inventory'!A123</x:f>
        <x:v>60</x:v>
      </x:c>
      <x:c r="C375" s="1" t="str">
        <x:f>'Current inventory'!B123</x:f>
        <x:v>800WNAVBRC</x:v>
      </x:c>
      <x:c r="D375" s="7" t="n">
        <x:f>A249</x:f>
        <x:v>46357</x:v>
      </x:c>
      <x:c r="E375" s="8" t="n">
        <x:f>L249</x:f>
        <x:v>0</x:v>
      </x:c>
      <x:c r="F375" s="8" t="n">
        <x:f>M249</x:f>
        <x:v>0</x:v>
      </x:c>
      <x:c r="G375" s="8" t="n">
        <x:f>N249</x:f>
        <x:v>0</x:v>
      </x:c>
      <x:c r="H375" s="8" t="n">
        <x:f>SUMIFS('PO detail'!$U$2:$U$672,'PO detail'!$A$2:$A$672,B375,'PO detail'!$B$2:$B$672,C375,'PO detail'!$G$2:$G$672,"&gt;="&amp;D375,'PO detail'!$G$2:$G$672,"&lt;"&amp;A375)</x:f>
        <x:v>0</x:v>
      </x:c>
      <x:c r="I375" s="8" t="n">
        <x:f>SUMIFS('PO detail'!$V$2:$V$672,'PO detail'!$A$2:$A$672,B375,'PO detail'!$B$2:$B$672,C375,'PO detail'!$G$2:$G$672,"&gt;="&amp;D375,'PO detail'!$G$2:$G$672,"&lt;"&amp;A375)</x:f>
        <x:v>0</x:v>
      </x:c>
      <x:c r="J375" s="8" t="n">
        <x:f>SUMIFS('PO detail'!$W$2:$W$672,'PO detail'!$A$2:$A$672,B375,'PO detail'!$B$2:$B$672,C375,'PO detail'!$G$2:$G$672,"&gt;="&amp;D375,'PO detail'!$G$2:$G$672,"&lt;"&amp;A375)</x:f>
        <x:v>0</x:v>
      </x:c>
      <x:c r="K375" s="8" t="n">
        <x:f>'Current inventory'!E123*Summary!$D$6*(A375-D375)/30.4375</x:f>
        <x:v>0</x:v>
      </x:c>
      <x:c r="L375" s="8" t="n">
        <x:f>MAX(0,E375+H375-K375)</x:f>
        <x:v>0</x:v>
      </x:c>
      <x:c r="M375" s="8" t="n">
        <x:f>MAX(0,F375+I375-MAX(0,K375-E375-H375))</x:f>
        <x:v>0</x:v>
      </x:c>
      <x:c r="N375" s="8" t="n">
        <x:f>MAX(0,G375+J375-K375)</x:f>
        <x:v>0</x:v>
      </x:c>
      <x:c r="O375" s="8" t="n">
        <x:f>SUM(L375:N375)</x:f>
        <x:v>0</x:v>
      </x:c>
      <x:c r="P375" s="14" t="n">
        <x:f>'Current inventory'!V123</x:f>
        <x:v>0.17350000000000002</x:v>
      </x:c>
      <x:c r="Q375" s="14" t="str">
        <x:f>'Current inventory'!W123</x:f>
        <x:v>n.a.</x:v>
      </x:c>
      <x:c r="R375" s="10" t="n">
        <x:f>L375*P375</x:f>
        <x:v>0</x:v>
      </x:c>
      <x:c r="S375" s="10" t="n">
        <x:f>M375*P375</x:f>
        <x:v>0</x:v>
      </x:c>
      <x:c r="T375" s="10" t="n">
        <x:f>N375*P375</x:f>
        <x:v>0</x:v>
      </x:c>
      <x:c r="U375" s="10" t="n">
        <x:f>O375*P375</x:f>
        <x:v>0</x:v>
      </x:c>
      <x:c r="V375" s="10" t="str">
        <x:f>IF(ISNUMBER(Q375),O375*(Q375-P375),"n.a.")</x:f>
        <x:v>n.a.</x:v>
      </x:c>
      <x:c r="W375" s="10" t="n">
        <x:f>IF(ISNUMBER(Q375),U375,0)</x:f>
        <x:v>0</x:v>
      </x:c>
      <x:c r="X375" s="8" t="n">
        <x:f>MAX(0,K375-SUM(E375:J375))</x:f>
        <x:v>0</x:v>
      </x:c>
      <x:c r="Y375" s="1" t="str">
        <x:f>IF(AND(O375&gt;0,NOT(ISNUMBER(Q375))),"No proposed replacement standard",IF(X375&gt;0,"Demand exceeds available stock",""))</x:f>
      </x:c>
      <x:c r="Z375" s="1" t="n">
        <x:f>IF(ISNUMBER(Q375),1,0)</x:f>
        <x:v>0</x:v>
      </x:c>
    </x:row>
    <x:row r="376" ht="21" customHeight="1">
      <x:c r="A376" s="17" t="n">
        <x:f>Summary!B17</x:f>
        <x:v>46388</x:v>
      </x:c>
      <x:c r="B376" s="1" t="str">
        <x:f>'Current inventory'!A124</x:f>
        <x:v>60</x:v>
      </x:c>
      <x:c r="C376" s="1" t="str">
        <x:f>'Current inventory'!B124</x:f>
        <x:v>800WREDASC</x:v>
      </x:c>
      <x:c r="D376" s="7" t="n">
        <x:f>A250</x:f>
        <x:v>46357</x:v>
      </x:c>
      <x:c r="E376" s="8" t="n">
        <x:f>L250</x:f>
        <x:v>0</x:v>
      </x:c>
      <x:c r="F376" s="8" t="n">
        <x:f>M250</x:f>
        <x:v>0</x:v>
      </x:c>
      <x:c r="G376" s="8" t="n">
        <x:f>N250</x:f>
        <x:v>0</x:v>
      </x:c>
      <x:c r="H376" s="8" t="n">
        <x:f>SUMIFS('PO detail'!$U$2:$U$672,'PO detail'!$A$2:$A$672,B376,'PO detail'!$B$2:$B$672,C376,'PO detail'!$G$2:$G$672,"&gt;="&amp;D376,'PO detail'!$G$2:$G$672,"&lt;"&amp;A376)</x:f>
        <x:v>0</x:v>
      </x:c>
      <x:c r="I376" s="8" t="n">
        <x:f>SUMIFS('PO detail'!$V$2:$V$672,'PO detail'!$A$2:$A$672,B376,'PO detail'!$B$2:$B$672,C376,'PO detail'!$G$2:$G$672,"&gt;="&amp;D376,'PO detail'!$G$2:$G$672,"&lt;"&amp;A376)</x:f>
        <x:v>0</x:v>
      </x:c>
      <x:c r="J376" s="8" t="n">
        <x:f>SUMIFS('PO detail'!$W$2:$W$672,'PO detail'!$A$2:$A$672,B376,'PO detail'!$B$2:$B$672,C376,'PO detail'!$G$2:$G$672,"&gt;="&amp;D376,'PO detail'!$G$2:$G$672,"&lt;"&amp;A376)</x:f>
        <x:v>0</x:v>
      </x:c>
      <x:c r="K376" s="8" t="n">
        <x:f>'Current inventory'!E124*Summary!$D$6*(A376-D376)/30.4375</x:f>
        <x:v>0</x:v>
      </x:c>
      <x:c r="L376" s="8" t="n">
        <x:f>MAX(0,E376+H376-K376)</x:f>
        <x:v>0</x:v>
      </x:c>
      <x:c r="M376" s="8" t="n">
        <x:f>MAX(0,F376+I376-MAX(0,K376-E376-H376))</x:f>
        <x:v>0</x:v>
      </x:c>
      <x:c r="N376" s="8" t="n">
        <x:f>MAX(0,G376+J376-K376)</x:f>
        <x:v>0</x:v>
      </x:c>
      <x:c r="O376" s="8" t="n">
        <x:f>SUM(L376:N376)</x:f>
        <x:v>0</x:v>
      </x:c>
      <x:c r="P376" s="14" t="n">
        <x:f>'Current inventory'!V124</x:f>
        <x:v>0.07919999999999999</x:v>
      </x:c>
      <x:c r="Q376" s="14" t="str">
        <x:f>'Current inventory'!W124</x:f>
        <x:v>n.a.</x:v>
      </x:c>
      <x:c r="R376" s="10" t="n">
        <x:f>L376*P376</x:f>
        <x:v>0</x:v>
      </x:c>
      <x:c r="S376" s="10" t="n">
        <x:f>M376*P376</x:f>
        <x:v>0</x:v>
      </x:c>
      <x:c r="T376" s="10" t="n">
        <x:f>N376*P376</x:f>
        <x:v>0</x:v>
      </x:c>
      <x:c r="U376" s="10" t="n">
        <x:f>O376*P376</x:f>
        <x:v>0</x:v>
      </x:c>
      <x:c r="V376" s="10" t="str">
        <x:f>IF(ISNUMBER(Q376),O376*(Q376-P376),"n.a.")</x:f>
        <x:v>n.a.</x:v>
      </x:c>
      <x:c r="W376" s="10" t="n">
        <x:f>IF(ISNUMBER(Q376),U376,0)</x:f>
        <x:v>0</x:v>
      </x:c>
      <x:c r="X376" s="8" t="n">
        <x:f>MAX(0,K376-SUM(E376:J376))</x:f>
        <x:v>0</x:v>
      </x:c>
      <x:c r="Y376" s="1" t="str">
        <x:f>IF(AND(O376&gt;0,NOT(ISNUMBER(Q376))),"No proposed replacement standard",IF(X376&gt;0,"Demand exceeds available stock",""))</x:f>
      </x:c>
      <x:c r="Z376" s="1" t="n">
        <x:f>IF(ISNUMBER(Q376),1,0)</x:f>
        <x:v>0</x:v>
      </x:c>
    </x:row>
    <x:row r="377" ht="21" customHeight="1">
      <x:c r="A377" s="17" t="n">
        <x:f>Summary!B17</x:f>
        <x:v>46388</x:v>
      </x:c>
      <x:c r="B377" s="1" t="str">
        <x:f>'Current inventory'!A125</x:f>
        <x:v>60</x:v>
      </x:c>
      <x:c r="C377" s="1" t="str">
        <x:f>'Current inventory'!B125</x:f>
        <x:v>800WREDBRC</x:v>
      </x:c>
      <x:c r="D377" s="7" t="n">
        <x:f>A251</x:f>
        <x:v>46357</x:v>
      </x:c>
      <x:c r="E377" s="8" t="n">
        <x:f>L251</x:f>
        <x:v>0</x:v>
      </x:c>
      <x:c r="F377" s="8" t="n">
        <x:f>M251</x:f>
        <x:v>0</x:v>
      </x:c>
      <x:c r="G377" s="8" t="n">
        <x:f>N251</x:f>
        <x:v>0</x:v>
      </x:c>
      <x:c r="H377" s="8" t="n">
        <x:f>SUMIFS('PO detail'!$U$2:$U$672,'PO detail'!$A$2:$A$672,B377,'PO detail'!$B$2:$B$672,C377,'PO detail'!$G$2:$G$672,"&gt;="&amp;D377,'PO detail'!$G$2:$G$672,"&lt;"&amp;A377)</x:f>
        <x:v>0</x:v>
      </x:c>
      <x:c r="I377" s="8" t="n">
        <x:f>SUMIFS('PO detail'!$V$2:$V$672,'PO detail'!$A$2:$A$672,B377,'PO detail'!$B$2:$B$672,C377,'PO detail'!$G$2:$G$672,"&gt;="&amp;D377,'PO detail'!$G$2:$G$672,"&lt;"&amp;A377)</x:f>
        <x:v>0</x:v>
      </x:c>
      <x:c r="J377" s="8" t="n">
        <x:f>SUMIFS('PO detail'!$W$2:$W$672,'PO detail'!$A$2:$A$672,B377,'PO detail'!$B$2:$B$672,C377,'PO detail'!$G$2:$G$672,"&gt;="&amp;D377,'PO detail'!$G$2:$G$672,"&lt;"&amp;A377)</x:f>
        <x:v>0</x:v>
      </x:c>
      <x:c r="K377" s="8" t="n">
        <x:f>'Current inventory'!E125*Summary!$D$6*(A377-D377)/30.4375</x:f>
        <x:v>0</x:v>
      </x:c>
      <x:c r="L377" s="8" t="n">
        <x:f>MAX(0,E377+H377-K377)</x:f>
        <x:v>0</x:v>
      </x:c>
      <x:c r="M377" s="8" t="n">
        <x:f>MAX(0,F377+I377-MAX(0,K377-E377-H377))</x:f>
        <x:v>0</x:v>
      </x:c>
      <x:c r="N377" s="8" t="n">
        <x:f>MAX(0,G377+J377-K377)</x:f>
        <x:v>0</x:v>
      </x:c>
      <x:c r="O377" s="8" t="n">
        <x:f>SUM(L377:N377)</x:f>
        <x:v>0</x:v>
      </x:c>
      <x:c r="P377" s="14" t="n">
        <x:f>'Current inventory'!V125</x:f>
        <x:v>0.0898</x:v>
      </x:c>
      <x:c r="Q377" s="14" t="str">
        <x:f>'Current inventory'!W125</x:f>
        <x:v>n.a.</x:v>
      </x:c>
      <x:c r="R377" s="10" t="n">
        <x:f>L377*P377</x:f>
        <x:v>0</x:v>
      </x:c>
      <x:c r="S377" s="10" t="n">
        <x:f>M377*P377</x:f>
        <x:v>0</x:v>
      </x:c>
      <x:c r="T377" s="10" t="n">
        <x:f>N377*P377</x:f>
        <x:v>0</x:v>
      </x:c>
      <x:c r="U377" s="10" t="n">
        <x:f>O377*P377</x:f>
        <x:v>0</x:v>
      </x:c>
      <x:c r="V377" s="10" t="str">
        <x:f>IF(ISNUMBER(Q377),O377*(Q377-P377),"n.a.")</x:f>
        <x:v>n.a.</x:v>
      </x:c>
      <x:c r="W377" s="10" t="n">
        <x:f>IF(ISNUMBER(Q377),U377,0)</x:f>
        <x:v>0</x:v>
      </x:c>
      <x:c r="X377" s="8" t="n">
        <x:f>MAX(0,K377-SUM(E377:J377))</x:f>
        <x:v>0</x:v>
      </x:c>
      <x:c r="Y377" s="1" t="str">
        <x:f>IF(AND(O377&gt;0,NOT(ISNUMBER(Q377))),"No proposed replacement standard",IF(X377&gt;0,"Demand exceeds available stock",""))</x:f>
      </x:c>
      <x:c r="Z377" s="1" t="n">
        <x:f>IF(ISNUMBER(Q377),1,0)</x:f>
        <x:v>0</x:v>
      </x:c>
    </x:row>
    <x:row r="378" ht="21" customHeight="1">
      <x:c r="A378" s="17" t="n">
        <x:f>Summary!B17</x:f>
        <x:v>46388</x:v>
      </x:c>
      <x:c r="B378" s="1" t="str">
        <x:f>'Current inventory'!A126</x:f>
        <x:v>60</x:v>
      </x:c>
      <x:c r="C378" s="1" t="str">
        <x:f>'Current inventory'!B126</x:f>
        <x:v>800WWHTASC</x:v>
      </x:c>
      <x:c r="D378" s="7" t="n">
        <x:f>A252</x:f>
        <x:v>46357</x:v>
      </x:c>
      <x:c r="E378" s="8" t="n">
        <x:f>L252</x:f>
        <x:v>0</x:v>
      </x:c>
      <x:c r="F378" s="8" t="n">
        <x:f>M252</x:f>
        <x:v>0</x:v>
      </x:c>
      <x:c r="G378" s="8" t="n">
        <x:f>N252</x:f>
        <x:v>0</x:v>
      </x:c>
      <x:c r="H378" s="8" t="n">
        <x:f>SUMIFS('PO detail'!$U$2:$U$672,'PO detail'!$A$2:$A$672,B378,'PO detail'!$B$2:$B$672,C378,'PO detail'!$G$2:$G$672,"&gt;="&amp;D378,'PO detail'!$G$2:$G$672,"&lt;"&amp;A378)</x:f>
        <x:v>0</x:v>
      </x:c>
      <x:c r="I378" s="8" t="n">
        <x:f>SUMIFS('PO detail'!$V$2:$V$672,'PO detail'!$A$2:$A$672,B378,'PO detail'!$B$2:$B$672,C378,'PO detail'!$G$2:$G$672,"&gt;="&amp;D378,'PO detail'!$G$2:$G$672,"&lt;"&amp;A378)</x:f>
        <x:v>0</x:v>
      </x:c>
      <x:c r="J378" s="8" t="n">
        <x:f>SUMIFS('PO detail'!$W$2:$W$672,'PO detail'!$A$2:$A$672,B378,'PO detail'!$B$2:$B$672,C378,'PO detail'!$G$2:$G$672,"&gt;="&amp;D378,'PO detail'!$G$2:$G$672,"&lt;"&amp;A378)</x:f>
        <x:v>0</x:v>
      </x:c>
      <x:c r="K378" s="8" t="n">
        <x:f>'Current inventory'!E126*Summary!$D$6*(A378-D378)/30.4375</x:f>
        <x:v>0</x:v>
      </x:c>
      <x:c r="L378" s="8" t="n">
        <x:f>MAX(0,E378+H378-K378)</x:f>
        <x:v>0</x:v>
      </x:c>
      <x:c r="M378" s="8" t="n">
        <x:f>MAX(0,F378+I378-MAX(0,K378-E378-H378))</x:f>
        <x:v>0</x:v>
      </x:c>
      <x:c r="N378" s="8" t="n">
        <x:f>MAX(0,G378+J378-K378)</x:f>
        <x:v>0</x:v>
      </x:c>
      <x:c r="O378" s="8" t="n">
        <x:f>SUM(L378:N378)</x:f>
        <x:v>0</x:v>
      </x:c>
      <x:c r="P378" s="14" t="n">
        <x:f>'Current inventory'!V126</x:f>
        <x:v>0.1456</x:v>
      </x:c>
      <x:c r="Q378" s="14" t="str">
        <x:f>'Current inventory'!W126</x:f>
        <x:v>n.a.</x:v>
      </x:c>
      <x:c r="R378" s="10" t="n">
        <x:f>L378*P378</x:f>
        <x:v>0</x:v>
      </x:c>
      <x:c r="S378" s="10" t="n">
        <x:f>M378*P378</x:f>
        <x:v>0</x:v>
      </x:c>
      <x:c r="T378" s="10" t="n">
        <x:f>N378*P378</x:f>
        <x:v>0</x:v>
      </x:c>
      <x:c r="U378" s="10" t="n">
        <x:f>O378*P378</x:f>
        <x:v>0</x:v>
      </x:c>
      <x:c r="V378" s="10" t="str">
        <x:f>IF(ISNUMBER(Q378),O378*(Q378-P378),"n.a.")</x:f>
        <x:v>n.a.</x:v>
      </x:c>
      <x:c r="W378" s="10" t="n">
        <x:f>IF(ISNUMBER(Q378),U378,0)</x:f>
        <x:v>0</x:v>
      </x:c>
      <x:c r="X378" s="8" t="n">
        <x:f>MAX(0,K378-SUM(E378:J378))</x:f>
        <x:v>0</x:v>
      </x:c>
      <x:c r="Y378" s="1" t="str">
        <x:f>IF(AND(O378&gt;0,NOT(ISNUMBER(Q378))),"No proposed replacement standard",IF(X378&gt;0,"Demand exceeds available stock",""))</x:f>
      </x:c>
      <x:c r="Z378" s="1" t="n">
        <x:f>IF(ISNUMBER(Q378),1,0)</x:f>
        <x:v>0</x:v>
      </x:c>
    </x:row>
    <x:row r="379" ht="21" customHeight="1">
      <x:c r="A379" s="17" t="n">
        <x:f>Summary!B17</x:f>
        <x:v>46388</x:v>
      </x:c>
      <x:c r="B379" s="1" t="str">
        <x:f>'Current inventory'!A127</x:f>
        <x:v>60</x:v>
      </x:c>
      <x:c r="C379" s="1" t="str">
        <x:f>'Current inventory'!B127</x:f>
        <x:v>800WWHTBRC</x:v>
      </x:c>
      <x:c r="D379" s="7" t="n">
        <x:f>A253</x:f>
        <x:v>46357</x:v>
      </x:c>
      <x:c r="E379" s="8" t="n">
        <x:f>L253</x:f>
        <x:v>0</x:v>
      </x:c>
      <x:c r="F379" s="8" t="n">
        <x:f>M253</x:f>
        <x:v>0</x:v>
      </x:c>
      <x:c r="G379" s="8" t="n">
        <x:f>N253</x:f>
        <x:v>0</x:v>
      </x:c>
      <x:c r="H379" s="8" t="n">
        <x:f>SUMIFS('PO detail'!$U$2:$U$672,'PO detail'!$A$2:$A$672,B379,'PO detail'!$B$2:$B$672,C379,'PO detail'!$G$2:$G$672,"&gt;="&amp;D379,'PO detail'!$G$2:$G$672,"&lt;"&amp;A379)</x:f>
        <x:v>0</x:v>
      </x:c>
      <x:c r="I379" s="8" t="n">
        <x:f>SUMIFS('PO detail'!$V$2:$V$672,'PO detail'!$A$2:$A$672,B379,'PO detail'!$B$2:$B$672,C379,'PO detail'!$G$2:$G$672,"&gt;="&amp;D379,'PO detail'!$G$2:$G$672,"&lt;"&amp;A379)</x:f>
        <x:v>0</x:v>
      </x:c>
      <x:c r="J379" s="8" t="n">
        <x:f>SUMIFS('PO detail'!$W$2:$W$672,'PO detail'!$A$2:$A$672,B379,'PO detail'!$B$2:$B$672,C379,'PO detail'!$G$2:$G$672,"&gt;="&amp;D379,'PO detail'!$G$2:$G$672,"&lt;"&amp;A379)</x:f>
        <x:v>0</x:v>
      </x:c>
      <x:c r="K379" s="8" t="n">
        <x:f>'Current inventory'!E127*Summary!$D$6*(A379-D379)/30.4375</x:f>
        <x:v>0</x:v>
      </x:c>
      <x:c r="L379" s="8" t="n">
        <x:f>MAX(0,E379+H379-K379)</x:f>
        <x:v>0</x:v>
      </x:c>
      <x:c r="M379" s="8" t="n">
        <x:f>MAX(0,F379+I379-MAX(0,K379-E379-H379))</x:f>
        <x:v>0</x:v>
      </x:c>
      <x:c r="N379" s="8" t="n">
        <x:f>MAX(0,G379+J379-K379)</x:f>
        <x:v>0</x:v>
      </x:c>
      <x:c r="O379" s="8" t="n">
        <x:f>SUM(L379:N379)</x:f>
        <x:v>0</x:v>
      </x:c>
      <x:c r="P379" s="14" t="n">
        <x:f>'Current inventory'!V127</x:f>
        <x:v>0.18469999999999998</x:v>
      </x:c>
      <x:c r="Q379" s="14" t="str">
        <x:f>'Current inventory'!W127</x:f>
        <x:v>n.a.</x:v>
      </x:c>
      <x:c r="R379" s="10" t="n">
        <x:f>L379*P379</x:f>
        <x:v>0</x:v>
      </x:c>
      <x:c r="S379" s="10" t="n">
        <x:f>M379*P379</x:f>
        <x:v>0</x:v>
      </x:c>
      <x:c r="T379" s="10" t="n">
        <x:f>N379*P379</x:f>
        <x:v>0</x:v>
      </x:c>
      <x:c r="U379" s="10" t="n">
        <x:f>O379*P379</x:f>
        <x:v>0</x:v>
      </x:c>
      <x:c r="V379" s="10" t="str">
        <x:f>IF(ISNUMBER(Q379),O379*(Q379-P379),"n.a.")</x:f>
        <x:v>n.a.</x:v>
      </x:c>
      <x:c r="W379" s="10" t="n">
        <x:f>IF(ISNUMBER(Q379),U379,0)</x:f>
        <x:v>0</x:v>
      </x:c>
      <x:c r="X379" s="8" t="n">
        <x:f>MAX(0,K379-SUM(E379:J379))</x:f>
        <x:v>0</x:v>
      </x:c>
      <x:c r="Y379" s="1" t="str">
        <x:f>IF(AND(O379&gt;0,NOT(ISNUMBER(Q379))),"No proposed replacement standard",IF(X379&gt;0,"Demand exceeds available stock",""))</x:f>
      </x:c>
      <x:c r="Z379" s="1" t="n">
        <x:f>IF(ISNUMBER(Q379),1,0)</x:f>
        <x:v>0</x:v>
      </x:c>
    </x:row>
    <x:row r="380" ht="21" customHeight="1">
      <x:c r="A380" s="17" t="n">
        <x:f>Summary!B18</x:f>
        <x:v>46419</x:v>
      </x:c>
      <x:c r="B380" s="1" t="str">
        <x:f>'Current inventory'!A2</x:f>
        <x:v>10</x:v>
      </x:c>
      <x:c r="C380" s="1" t="str">
        <x:f>'Current inventory'!B2</x:f>
        <x:v>800BBLKASC</x:v>
      </x:c>
      <x:c r="D380" s="7" t="n">
        <x:f>A254</x:f>
        <x:v>46388</x:v>
      </x:c>
      <x:c r="E380" s="8" t="n">
        <x:f>L254</x:f>
        <x:v>72672.06472279254</x:v>
      </x:c>
      <x:c r="F380" s="8" t="n">
        <x:f>M254</x:f>
        <x:v>360000</x:v>
      </x:c>
      <x:c r="G380" s="8" t="n">
        <x:f>N254</x:f>
        <x:v>0</x:v>
      </x:c>
      <x:c r="H380" s="8" t="n">
        <x:f>SUMIFS('PO detail'!$U$2:$U$672,'PO detail'!$A$2:$A$672,B380,'PO detail'!$B$2:$B$672,C380,'PO detail'!$G$2:$G$672,"&gt;="&amp;D380,'PO detail'!$G$2:$G$672,"&lt;"&amp;A380)</x:f>
        <x:v>0</x:v>
      </x:c>
      <x:c r="I380" s="8" t="n">
        <x:f>SUMIFS('PO detail'!$V$2:$V$672,'PO detail'!$A$2:$A$672,B380,'PO detail'!$B$2:$B$672,C380,'PO detail'!$G$2:$G$672,"&gt;="&amp;D380,'PO detail'!$G$2:$G$672,"&lt;"&amp;A380)</x:f>
        <x:v>360000</x:v>
      </x:c>
      <x:c r="J380" s="8" t="n">
        <x:f>SUMIFS('PO detail'!$W$2:$W$672,'PO detail'!$A$2:$A$672,B380,'PO detail'!$B$2:$B$672,C380,'PO detail'!$G$2:$G$672,"&gt;="&amp;D380,'PO detail'!$G$2:$G$672,"&lt;"&amp;A380)</x:f>
        <x:v>0</x:v>
      </x:c>
      <x:c r="K380" s="8" t="n">
        <x:f>'Current inventory'!E2*Summary!$D$6*(A380-D380)/30.4375</x:f>
        <x:v>157372.2142094456</x:v>
      </x:c>
      <x:c r="L380" s="8" t="n">
        <x:f>MAX(0,E380+H380-K380)</x:f>
        <x:v>0</x:v>
      </x:c>
      <x:c r="M380" s="8" t="n">
        <x:f>MAX(0,F380+I380-MAX(0,K380-E380-H380))</x:f>
        <x:v>635299.850513347</x:v>
      </x:c>
      <x:c r="N380" s="8" t="n">
        <x:f>MAX(0,G380+J380-K380)</x:f>
        <x:v>0</x:v>
      </x:c>
      <x:c r="O380" s="8" t="n">
        <x:f>SUM(L380:N380)</x:f>
        <x:v>635299.850513347</x:v>
      </x:c>
      <x:c r="P380" s="14" t="n">
        <x:f>'Current inventory'!V2</x:f>
        <x:v>0.1229</x:v>
      </x:c>
      <x:c r="Q380" s="14" t="n">
        <x:f>'Current inventory'!W2</x:f>
        <x:v>0.12841500000000003</x:v>
      </x:c>
      <x:c r="R380" s="10" t="n">
        <x:f>L380*P380</x:f>
        <x:v>0</x:v>
      </x:c>
      <x:c r="S380" s="10" t="n">
        <x:f>M380*P380</x:f>
        <x:v>78078.35162809034</x:v>
      </x:c>
      <x:c r="T380" s="10" t="n">
        <x:f>N380*P380</x:f>
        <x:v>0</x:v>
      </x:c>
      <x:c r="U380" s="10" t="n">
        <x:f>O380*P380</x:f>
        <x:v>78078.35162809034</x:v>
      </x:c>
      <x:c r="V380" s="10" t="n">
        <x:f>IF(ISNUMBER(Q380),O380*(Q380-P380),"n.a.")</x:f>
        <x:v>3503.67867558113</x:v>
      </x:c>
      <x:c r="W380" s="10" t="n">
        <x:f>IF(ISNUMBER(Q380),U380,0)</x:f>
        <x:v>78078.35162809034</x:v>
      </x:c>
      <x:c r="X380" s="8" t="n">
        <x:f>MAX(0,K380-SUM(E380:J380))</x:f>
        <x:v>0</x:v>
      </x:c>
      <x:c r="Y380" s="1" t="str">
        <x:f>IF(AND(O380&gt;0,NOT(ISNUMBER(Q380))),"No proposed replacement standard",IF(X380&gt;0,"Demand exceeds available stock",""))</x:f>
      </x:c>
      <x:c r="Z380" s="1" t="n">
        <x:f>IF(ISNUMBER(Q380),1,0)</x:f>
        <x:v>1</x:v>
      </x:c>
    </x:row>
    <x:row r="381" ht="21" customHeight="1">
      <x:c r="A381" s="17" t="n">
        <x:f>Summary!B18</x:f>
        <x:v>46419</x:v>
      </x:c>
      <x:c r="B381" s="1" t="str">
        <x:f>'Current inventory'!A3</x:f>
        <x:v>60</x:v>
      </x:c>
      <x:c r="C381" s="1" t="str">
        <x:f>'Current inventory'!B3</x:f>
        <x:v>800BBLKASC</x:v>
      </x:c>
      <x:c r="D381" s="7" t="n">
        <x:f>A255</x:f>
        <x:v>46388</x:v>
      </x:c>
      <x:c r="E381" s="8" t="n">
        <x:f>L255</x:f>
        <x:v>0</x:v>
      </x:c>
      <x:c r="F381" s="8" t="n">
        <x:f>M255</x:f>
        <x:v>370693.62529774127</x:v>
      </x:c>
      <x:c r="G381" s="8" t="n">
        <x:f>N255</x:f>
        <x:v>0</x:v>
      </x:c>
      <x:c r="H381" s="8" t="n">
        <x:f>SUMIFS('PO detail'!$U$2:$U$672,'PO detail'!$A$2:$A$672,B381,'PO detail'!$B$2:$B$672,C381,'PO detail'!$G$2:$G$672,"&gt;="&amp;D381,'PO detail'!$G$2:$G$672,"&lt;"&amp;A381)</x:f>
        <x:v>0</x:v>
      </x:c>
      <x:c r="I381" s="8" t="n">
        <x:f>SUMIFS('PO detail'!$V$2:$V$672,'PO detail'!$A$2:$A$672,B381,'PO detail'!$B$2:$B$672,C381,'PO detail'!$G$2:$G$672,"&gt;="&amp;D381,'PO detail'!$G$2:$G$672,"&lt;"&amp;A381)</x:f>
        <x:v>360000</x:v>
      </x:c>
      <x:c r="J381" s="8" t="n">
        <x:f>SUMIFS('PO detail'!$W$2:$W$672,'PO detail'!$A$2:$A$672,B381,'PO detail'!$B$2:$B$672,C381,'PO detail'!$G$2:$G$672,"&gt;="&amp;D381,'PO detail'!$G$2:$G$672,"&lt;"&amp;A381)</x:f>
        <x:v>0</x:v>
      </x:c>
      <x:c r="K381" s="8" t="n">
        <x:f>'Current inventory'!E3*Summary!$D$6*(A381-D381)/30.4375</x:f>
        <x:v>147289.2573305955</x:v>
      </x:c>
      <x:c r="L381" s="8" t="n">
        <x:f>MAX(0,E381+H381-K381)</x:f>
        <x:v>0</x:v>
      </x:c>
      <x:c r="M381" s="8" t="n">
        <x:f>MAX(0,F381+I381-MAX(0,K381-E381-H381))</x:f>
        <x:v>583404.3679671458</x:v>
      </x:c>
      <x:c r="N381" s="8" t="n">
        <x:f>MAX(0,G381+J381-K381)</x:f>
        <x:v>0</x:v>
      </x:c>
      <x:c r="O381" s="8" t="n">
        <x:f>SUM(L381:N381)</x:f>
        <x:v>583404.3679671458</x:v>
      </x:c>
      <x:c r="P381" s="14" t="n">
        <x:f>'Current inventory'!V3</x:f>
        <x:v>0.1229</x:v>
      </x:c>
      <x:c r="Q381" s="14" t="n">
        <x:f>'Current inventory'!W3</x:f>
        <x:v>0.12841500000000003</x:v>
      </x:c>
      <x:c r="R381" s="10" t="n">
        <x:f>L381*P381</x:f>
        <x:v>0</x:v>
      </x:c>
      <x:c r="S381" s="10" t="n">
        <x:f>M381*P381</x:f>
        <x:v>71700.39682316221</x:v>
      </x:c>
      <x:c r="T381" s="10" t="n">
        <x:f>N381*P381</x:f>
        <x:v>0</x:v>
      </x:c>
      <x:c r="U381" s="10" t="n">
        <x:f>O381*P381</x:f>
        <x:v>71700.39682316221</x:v>
      </x:c>
      <x:c r="V381" s="10" t="n">
        <x:f>IF(ISNUMBER(Q381),O381*(Q381-P381),"n.a.")</x:f>
        <x:v>3217.4750893388286</x:v>
      </x:c>
      <x:c r="W381" s="10" t="n">
        <x:f>IF(ISNUMBER(Q381),U381,0)</x:f>
        <x:v>71700.39682316221</x:v>
      </x:c>
      <x:c r="X381" s="8" t="n">
        <x:f>MAX(0,K381-SUM(E381:J381))</x:f>
        <x:v>0</x:v>
      </x:c>
      <x:c r="Y381" s="1" t="str">
        <x:f>IF(AND(O381&gt;0,NOT(ISNUMBER(Q381))),"No proposed replacement standard",IF(X381&gt;0,"Demand exceeds available stock",""))</x:f>
      </x:c>
      <x:c r="Z381" s="1" t="n">
        <x:f>IF(ISNUMBER(Q381),1,0)</x:f>
        <x:v>1</x:v>
      </x:c>
    </x:row>
    <x:row r="382" ht="21" customHeight="1">
      <x:c r="A382" s="17" t="n">
        <x:f>Summary!B18</x:f>
        <x:v>46419</x:v>
      </x:c>
      <x:c r="B382" s="1" t="str">
        <x:f>'Current inventory'!A4</x:f>
        <x:v>30</x:v>
      </x:c>
      <x:c r="C382" s="1" t="str">
        <x:f>'Current inventory'!B4</x:f>
        <x:v>800BBLKASC</x:v>
      </x:c>
      <x:c r="D382" s="7" t="n">
        <x:f>A256</x:f>
        <x:v>46388</x:v>
      </x:c>
      <x:c r="E382" s="8" t="n">
        <x:f>L256</x:f>
        <x:v>44374.12731006158</x:v>
      </x:c>
      <x:c r="F382" s="8" t="n">
        <x:f>M256</x:f>
        <x:v>240000</x:v>
      </x:c>
      <x:c r="G382" s="8" t="n">
        <x:f>N256</x:f>
        <x:v>0</x:v>
      </x:c>
      <x:c r="H382" s="8" t="n">
        <x:f>SUMIFS('PO detail'!$U$2:$U$672,'PO detail'!$A$2:$A$672,B382,'PO detail'!$B$2:$B$672,C382,'PO detail'!$G$2:$G$672,"&gt;="&amp;D382,'PO detail'!$G$2:$G$672,"&lt;"&amp;A382)</x:f>
        <x:v>0</x:v>
      </x:c>
      <x:c r="I382" s="8" t="n">
        <x:f>SUMIFS('PO detail'!$V$2:$V$672,'PO detail'!$A$2:$A$672,B382,'PO detail'!$B$2:$B$672,C382,'PO detail'!$G$2:$G$672,"&gt;="&amp;D382,'PO detail'!$G$2:$G$672,"&lt;"&amp;A382)</x:f>
        <x:v>120000</x:v>
      </x:c>
      <x:c r="J382" s="8" t="n">
        <x:f>SUMIFS('PO detail'!$W$2:$W$672,'PO detail'!$A$2:$A$672,B382,'PO detail'!$B$2:$B$672,C382,'PO detail'!$G$2:$G$672,"&gt;="&amp;D382,'PO detail'!$G$2:$G$672,"&lt;"&amp;A382)</x:f>
        <x:v>0</x:v>
      </x:c>
      <x:c r="K382" s="8" t="n">
        <x:f>'Current inventory'!E4*Summary!$D$6*(A382-D382)/30.4375</x:f>
        <x:v>54259.548254620124</x:v>
      </x:c>
      <x:c r="L382" s="8" t="n">
        <x:f>MAX(0,E382+H382-K382)</x:f>
        <x:v>0</x:v>
      </x:c>
      <x:c r="M382" s="8" t="n">
        <x:f>MAX(0,F382+I382-MAX(0,K382-E382-H382))</x:f>
        <x:v>350114.5790554414</x:v>
      </x:c>
      <x:c r="N382" s="8" t="n">
        <x:f>MAX(0,G382+J382-K382)</x:f>
        <x:v>0</x:v>
      </x:c>
      <x:c r="O382" s="8" t="n">
        <x:f>SUM(L382:N382)</x:f>
        <x:v>350114.5790554414</x:v>
      </x:c>
      <x:c r="P382" s="14" t="n">
        <x:f>'Current inventory'!V4</x:f>
        <x:v>0.1229</x:v>
      </x:c>
      <x:c r="Q382" s="14" t="n">
        <x:f>'Current inventory'!W4</x:f>
        <x:v>0.12841500000000003</x:v>
      </x:c>
      <x:c r="R382" s="10" t="n">
        <x:f>L382*P382</x:f>
        <x:v>0</x:v>
      </x:c>
      <x:c r="S382" s="10" t="n">
        <x:f>M382*P382</x:f>
        <x:v>43029.08176591375</x:v>
      </x:c>
      <x:c r="T382" s="10" t="n">
        <x:f>N382*P382</x:f>
        <x:v>0</x:v>
      </x:c>
      <x:c r="U382" s="10" t="n">
        <x:f>O382*P382</x:f>
        <x:v>43029.08176591375</x:v>
      </x:c>
      <x:c r="V382" s="10" t="n">
        <x:f>IF(ISNUMBER(Q382),O382*(Q382-P382),"n.a.")</x:f>
        <x:v>1930.8819034907713</x:v>
      </x:c>
      <x:c r="W382" s="10" t="n">
        <x:f>IF(ISNUMBER(Q382),U382,0)</x:f>
        <x:v>43029.08176591375</x:v>
      </x:c>
      <x:c r="X382" s="8" t="n">
        <x:f>MAX(0,K382-SUM(E382:J382))</x:f>
        <x:v>0</x:v>
      </x:c>
      <x:c r="Y382" s="1" t="str">
        <x:f>IF(AND(O382&gt;0,NOT(ISNUMBER(Q382))),"No proposed replacement standard",IF(X382&gt;0,"Demand exceeds available stock",""))</x:f>
      </x:c>
      <x:c r="Z382" s="1" t="n">
        <x:f>IF(ISNUMBER(Q382),1,0)</x:f>
        <x:v>1</x:v>
      </x:c>
    </x:row>
    <x:row r="383" ht="21" customHeight="1">
      <x:c r="A383" s="17" t="n">
        <x:f>Summary!B18</x:f>
        <x:v>46419</x:v>
      </x:c>
      <x:c r="B383" s="1" t="str">
        <x:f>'Current inventory'!A5</x:f>
        <x:v>60</x:v>
      </x:c>
      <x:c r="C383" s="1" t="str">
        <x:f>'Current inventory'!B5</x:f>
        <x:v>800BNAVASC</x:v>
      </x:c>
      <x:c r="D383" s="7" t="n">
        <x:f>A257</x:f>
        <x:v>46388</x:v>
      </x:c>
      <x:c r="E383" s="8" t="n">
        <x:f>L257</x:f>
        <x:v>0</x:v>
      </x:c>
      <x:c r="F383" s="8" t="n">
        <x:f>M257</x:f>
        <x:v>29503.080082135522</x:v>
      </x:c>
      <x:c r="G383" s="8" t="n">
        <x:f>N257</x:f>
        <x:v>0</x:v>
      </x:c>
      <x:c r="H383" s="8" t="n">
        <x:f>SUMIFS('PO detail'!$U$2:$U$672,'PO detail'!$A$2:$A$672,B383,'PO detail'!$B$2:$B$672,C383,'PO detail'!$G$2:$G$672,"&gt;="&amp;D383,'PO detail'!$G$2:$G$672,"&lt;"&amp;A383)</x:f>
        <x:v>0</x:v>
      </x:c>
      <x:c r="I383" s="8" t="n">
        <x:f>SUMIFS('PO detail'!$V$2:$V$672,'PO detail'!$A$2:$A$672,B383,'PO detail'!$B$2:$B$672,C383,'PO detail'!$G$2:$G$672,"&gt;="&amp;D383,'PO detail'!$G$2:$G$672,"&lt;"&amp;A383)</x:f>
        <x:v>160000</x:v>
      </x:c>
      <x:c r="J383" s="8" t="n">
        <x:f>SUMIFS('PO detail'!$W$2:$W$672,'PO detail'!$A$2:$A$672,B383,'PO detail'!$B$2:$B$672,C383,'PO detail'!$G$2:$G$672,"&gt;="&amp;D383,'PO detail'!$G$2:$G$672,"&lt;"&amp;A383)</x:f>
        <x:v>0</x:v>
      </x:c>
      <x:c r="K383" s="8" t="n">
        <x:f>'Current inventory'!E5*Summary!$D$6*(A383-D383)/30.4375</x:f>
        <x:v>20496.919917864478</x:v>
      </x:c>
      <x:c r="L383" s="8" t="n">
        <x:f>MAX(0,E383+H383-K383)</x:f>
        <x:v>0</x:v>
      </x:c>
      <x:c r="M383" s="8" t="n">
        <x:f>MAX(0,F383+I383-MAX(0,K383-E383-H383))</x:f>
        <x:v>169006.16016427102</x:v>
      </x:c>
      <x:c r="N383" s="8" t="n">
        <x:f>MAX(0,G383+J383-K383)</x:f>
        <x:v>0</x:v>
      </x:c>
      <x:c r="O383" s="8" t="n">
        <x:f>SUM(L383:N383)</x:f>
        <x:v>169006.16016427102</x:v>
      </x:c>
      <x:c r="P383" s="14" t="n">
        <x:f>'Current inventory'!V5</x:f>
        <x:v>0.1515</x:v>
      </x:c>
      <x:c r="Q383" s="14" t="n">
        <x:f>'Current inventory'!W5</x:f>
        <x:v>0.15834</x:v>
      </x:c>
      <x:c r="R383" s="10" t="n">
        <x:f>L383*P383</x:f>
        <x:v>0</x:v>
      </x:c>
      <x:c r="S383" s="10" t="n">
        <x:f>M383*P383</x:f>
        <x:v>25604.43326488706</x:v>
      </x:c>
      <x:c r="T383" s="10" t="n">
        <x:f>N383*P383</x:f>
        <x:v>0</x:v>
      </x:c>
      <x:c r="U383" s="10" t="n">
        <x:f>O383*P383</x:f>
        <x:v>25604.43326488706</x:v>
      </x:c>
      <x:c r="V383" s="10" t="n">
        <x:f>IF(ISNUMBER(Q383),O383*(Q383-P383),"n.a.")</x:f>
        <x:v>1156.0021355236158</x:v>
      </x:c>
      <x:c r="W383" s="10" t="n">
        <x:f>IF(ISNUMBER(Q383),U383,0)</x:f>
        <x:v>25604.43326488706</x:v>
      </x:c>
      <x:c r="X383" s="8" t="n">
        <x:f>MAX(0,K383-SUM(E383:J383))</x:f>
        <x:v>0</x:v>
      </x:c>
      <x:c r="Y383" s="1" t="str">
        <x:f>IF(AND(O383&gt;0,NOT(ISNUMBER(Q383))),"No proposed replacement standard",IF(X383&gt;0,"Demand exceeds available stock",""))</x:f>
      </x:c>
      <x:c r="Z383" s="1" t="n">
        <x:f>IF(ISNUMBER(Q383),1,0)</x:f>
        <x:v>1</x:v>
      </x:c>
    </x:row>
    <x:row r="384" ht="21" customHeight="1">
      <x:c r="A384" s="17" t="n">
        <x:f>Summary!B18</x:f>
        <x:v>46419</x:v>
      </x:c>
      <x:c r="B384" s="1" t="str">
        <x:f>'Current inventory'!A6</x:f>
        <x:v>10</x:v>
      </x:c>
      <x:c r="C384" s="1" t="str">
        <x:f>'Current inventory'!B6</x:f>
        <x:v>800BNAVASC</x:v>
      </x:c>
      <x:c r="D384" s="7" t="n">
        <x:f>A258</x:f>
        <x:v>46388</x:v>
      </x:c>
      <x:c r="E384" s="8" t="n">
        <x:f>L258</x:f>
        <x:v>83478.44862422998</x:v>
      </x:c>
      <x:c r="F384" s="8" t="n">
        <x:f>M258</x:f>
        <x:v>50000</x:v>
      </x:c>
      <x:c r="G384" s="8" t="n">
        <x:f>N258</x:f>
        <x:v>0</x:v>
      </x:c>
      <x:c r="H384" s="8" t="n">
        <x:f>SUMIFS('PO detail'!$U$2:$U$672,'PO detail'!$A$2:$A$672,B384,'PO detail'!$B$2:$B$672,C384,'PO detail'!$G$2:$G$672,"&gt;="&amp;D384,'PO detail'!$G$2:$G$672,"&lt;"&amp;A384)</x:f>
        <x:v>0</x:v>
      </x:c>
      <x:c r="I384" s="8" t="n">
        <x:f>SUMIFS('PO detail'!$V$2:$V$672,'PO detail'!$A$2:$A$672,B384,'PO detail'!$B$2:$B$672,C384,'PO detail'!$G$2:$G$672,"&gt;="&amp;D384,'PO detail'!$G$2:$G$672,"&lt;"&amp;A384)</x:f>
        <x:v>80000</x:v>
      </x:c>
      <x:c r="J384" s="8" t="n">
        <x:f>SUMIFS('PO detail'!$W$2:$W$672,'PO detail'!$A$2:$A$672,B384,'PO detail'!$B$2:$B$672,C384,'PO detail'!$G$2:$G$672,"&gt;="&amp;D384,'PO detail'!$G$2:$G$672,"&lt;"&amp;A384)</x:f>
        <x:v>0</x:v>
      </x:c>
      <x:c r="K384" s="8" t="n">
        <x:f>'Current inventory'!E6*Summary!$D$6*(A384-D384)/30.4375</x:f>
        <x:v>14216.28681724846</x:v>
      </x:c>
      <x:c r="L384" s="8" t="n">
        <x:f>MAX(0,E384+H384-K384)</x:f>
        <x:v>69262.16180698152</x:v>
      </x:c>
      <x:c r="M384" s="8" t="n">
        <x:f>MAX(0,F384+I384-MAX(0,K384-E384-H384))</x:f>
        <x:v>130000</x:v>
      </x:c>
      <x:c r="N384" s="8" t="n">
        <x:f>MAX(0,G384+J384-K384)</x:f>
        <x:v>0</x:v>
      </x:c>
      <x:c r="O384" s="8" t="n">
        <x:f>SUM(L384:N384)</x:f>
        <x:v>199262.16180698152</x:v>
      </x:c>
      <x:c r="P384" s="14" t="n">
        <x:f>'Current inventory'!V6</x:f>
        <x:v>0.1515</x:v>
      </x:c>
      <x:c r="Q384" s="14" t="n">
        <x:f>'Current inventory'!W6</x:f>
        <x:v>0.15834</x:v>
      </x:c>
      <x:c r="R384" s="10" t="n">
        <x:f>L384*P384</x:f>
        <x:v>10493.2175137577</x:v>
      </x:c>
      <x:c r="S384" s="10" t="n">
        <x:f>M384*P384</x:f>
        <x:v>19695</x:v>
      </x:c>
      <x:c r="T384" s="10" t="n">
        <x:f>N384*P384</x:f>
        <x:v>0</x:v>
      </x:c>
      <x:c r="U384" s="10" t="n">
        <x:f>O384*P384</x:f>
        <x:v>30188.2175137577</x:v>
      </x:c>
      <x:c r="V384" s="10" t="n">
        <x:f>IF(ISNUMBER(Q384),O384*(Q384-P384),"n.a.")</x:f>
        <x:v>1362.9531867597561</x:v>
      </x:c>
      <x:c r="W384" s="10" t="n">
        <x:f>IF(ISNUMBER(Q384),U384,0)</x:f>
        <x:v>30188.2175137577</x:v>
      </x:c>
      <x:c r="X384" s="8" t="n">
        <x:f>MAX(0,K384-SUM(E384:J384))</x:f>
        <x:v>0</x:v>
      </x:c>
      <x:c r="Y384" s="1" t="str">
        <x:f>IF(AND(O384&gt;0,NOT(ISNUMBER(Q384))),"No proposed replacement standard",IF(X384&gt;0,"Demand exceeds available stock",""))</x:f>
      </x:c>
      <x:c r="Z384" s="1" t="n">
        <x:f>IF(ISNUMBER(Q384),1,0)</x:f>
        <x:v>1</x:v>
      </x:c>
    </x:row>
    <x:row r="385" ht="21" customHeight="1">
      <x:c r="A385" s="17" t="n">
        <x:f>Summary!B18</x:f>
        <x:v>46419</x:v>
      </x:c>
      <x:c r="B385" s="1" t="str">
        <x:f>'Current inventory'!A7</x:f>
        <x:v>10</x:v>
      </x:c>
      <x:c r="C385" s="1" t="str">
        <x:f>'Current inventory'!B7</x:f>
        <x:v>800BBLKISC</x:v>
      </x:c>
      <x:c r="D385" s="7" t="n">
        <x:f>A259</x:f>
        <x:v>46388</x:v>
      </x:c>
      <x:c r="E385" s="8" t="n">
        <x:f>L259</x:f>
        <x:v>61872.073921971256</x:v>
      </x:c>
      <x:c r="F385" s="8" t="n">
        <x:f>M259</x:f>
        <x:v>0</x:v>
      </x:c>
      <x:c r="G385" s="8" t="n">
        <x:f>N259</x:f>
        <x:v>0</x:v>
      </x:c>
      <x:c r="H385" s="8" t="n">
        <x:f>SUMIFS('PO detail'!$U$2:$U$672,'PO detail'!$A$2:$A$672,B385,'PO detail'!$B$2:$B$672,C385,'PO detail'!$G$2:$G$672,"&gt;="&amp;D385,'PO detail'!$G$2:$G$672,"&lt;"&amp;A385)</x:f>
        <x:v>0</x:v>
      </x:c>
      <x:c r="I385" s="8" t="n">
        <x:f>SUMIFS('PO detail'!$V$2:$V$672,'PO detail'!$A$2:$A$672,B385,'PO detail'!$B$2:$B$672,C385,'PO detail'!$G$2:$G$672,"&gt;="&amp;D385,'PO detail'!$G$2:$G$672,"&lt;"&amp;A385)</x:f>
        <x:v>0</x:v>
      </x:c>
      <x:c r="J385" s="8" t="n">
        <x:f>SUMIFS('PO detail'!$W$2:$W$672,'PO detail'!$A$2:$A$672,B385,'PO detail'!$B$2:$B$672,C385,'PO detail'!$G$2:$G$672,"&gt;="&amp;D385,'PO detail'!$G$2:$G$672,"&lt;"&amp;A385)</x:f>
        <x:v>0</x:v>
      </x:c>
      <x:c r="K385" s="8" t="n">
        <x:f>'Current inventory'!E7*Summary!$D$6*(A385-D385)/30.4375</x:f>
        <x:v>12705.544147843942</x:v>
      </x:c>
      <x:c r="L385" s="8" t="n">
        <x:f>MAX(0,E385+H385-K385)</x:f>
        <x:v>49166.52977412731</x:v>
      </x:c>
      <x:c r="M385" s="8" t="n">
        <x:f>MAX(0,F385+I385-MAX(0,K385-E385-H385))</x:f>
        <x:v>0</x:v>
      </x:c>
      <x:c r="N385" s="8" t="n">
        <x:f>MAX(0,G385+J385-K385)</x:f>
        <x:v>0</x:v>
      </x:c>
      <x:c r="O385" s="8" t="n">
        <x:f>SUM(L385:N385)</x:f>
        <x:v>49166.52977412731</x:v>
      </x:c>
      <x:c r="P385" s="14" t="n">
        <x:f>'Current inventory'!V7</x:f>
        <x:v>0.1612</x:v>
      </x:c>
      <x:c r="Q385" s="14" t="n">
        <x:f>'Current inventory'!W7</x:f>
        <x:v>0.16842</x:v>
      </x:c>
      <x:c r="R385" s="10" t="n">
        <x:f>L385*P385</x:f>
        <x:v>7925.644599589323</x:v>
      </x:c>
      <x:c r="S385" s="10" t="n">
        <x:f>M385*P385</x:f>
        <x:v>0</x:v>
      </x:c>
      <x:c r="T385" s="10" t="n">
        <x:f>N385*P385</x:f>
        <x:v>0</x:v>
      </x:c>
      <x:c r="U385" s="10" t="n">
        <x:f>O385*P385</x:f>
        <x:v>7925.644599589323</x:v>
      </x:c>
      <x:c r="V385" s="10" t="n">
        <x:f>IF(ISNUMBER(Q385),O385*(Q385-P385),"n.a.")</x:f>
        <x:v>354.98234496919804</x:v>
      </x:c>
      <x:c r="W385" s="10" t="n">
        <x:f>IF(ISNUMBER(Q385),U385,0)</x:f>
        <x:v>7925.644599589323</x:v>
      </x:c>
      <x:c r="X385" s="8" t="n">
        <x:f>MAX(0,K385-SUM(E385:J385))</x:f>
        <x:v>0</x:v>
      </x:c>
      <x:c r="Y385" s="1" t="str">
        <x:f>IF(AND(O385&gt;0,NOT(ISNUMBER(Q385))),"No proposed replacement standard",IF(X385&gt;0,"Demand exceeds available stock",""))</x:f>
      </x:c>
      <x:c r="Z385" s="1" t="n">
        <x:f>IF(ISNUMBER(Q385),1,0)</x:f>
        <x:v>1</x:v>
      </x:c>
    </x:row>
    <x:row r="386" ht="21" customHeight="1">
      <x:c r="A386" s="17" t="n">
        <x:f>Summary!B18</x:f>
        <x:v>46419</x:v>
      </x:c>
      <x:c r="B386" s="1" t="str">
        <x:f>'Current inventory'!A8</x:f>
        <x:v>60</x:v>
      </x:c>
      <x:c r="C386" s="1" t="str">
        <x:f>'Current inventory'!B8</x:f>
        <x:v>800BBLKDSC</x:v>
      </x:c>
      <x:c r="D386" s="7" t="n">
        <x:f>A260</x:f>
        <x:v>46388</x:v>
      </x:c>
      <x:c r="E386" s="8" t="n">
        <x:f>L260</x:f>
        <x:v>12183.77823408624</x:v>
      </x:c>
      <x:c r="F386" s="8" t="n">
        <x:f>M260</x:f>
        <x:v>40000</x:v>
      </x:c>
      <x:c r="G386" s="8" t="n">
        <x:f>N260</x:f>
        <x:v>0</x:v>
      </x:c>
      <x:c r="H386" s="8" t="n">
        <x:f>SUMIFS('PO detail'!$U$2:$U$672,'PO detail'!$A$2:$A$672,B386,'PO detail'!$B$2:$B$672,C386,'PO detail'!$G$2:$G$672,"&gt;="&amp;D386,'PO detail'!$G$2:$G$672,"&lt;"&amp;A386)</x:f>
        <x:v>0</x:v>
      </x:c>
      <x:c r="I386" s="8" t="n">
        <x:f>SUMIFS('PO detail'!$V$2:$V$672,'PO detail'!$A$2:$A$672,B386,'PO detail'!$B$2:$B$672,C386,'PO detail'!$G$2:$G$672,"&gt;="&amp;D386,'PO detail'!$G$2:$G$672,"&lt;"&amp;A386)</x:f>
        <x:v>40000</x:v>
      </x:c>
      <x:c r="J386" s="8" t="n">
        <x:f>SUMIFS('PO detail'!$W$2:$W$672,'PO detail'!$A$2:$A$672,B386,'PO detail'!$B$2:$B$672,C386,'PO detail'!$G$2:$G$672,"&gt;="&amp;D386,'PO detail'!$G$2:$G$672,"&lt;"&amp;A386)</x:f>
        <x:v>0</x:v>
      </x:c>
      <x:c r="K386" s="8" t="n">
        <x:f>'Current inventory'!E8*Summary!$D$6*(A386-D386)/30.4375</x:f>
        <x:v>11483.367556468173</x:v>
      </x:c>
      <x:c r="L386" s="8" t="n">
        <x:f>MAX(0,E386+H386-K386)</x:f>
        <x:v>700.410677618067</x:v>
      </x:c>
      <x:c r="M386" s="8" t="n">
        <x:f>MAX(0,F386+I386-MAX(0,K386-E386-H386))</x:f>
        <x:v>80000</x:v>
      </x:c>
      <x:c r="N386" s="8" t="n">
        <x:f>MAX(0,G386+J386-K386)</x:f>
        <x:v>0</x:v>
      </x:c>
      <x:c r="O386" s="8" t="n">
        <x:f>SUM(L386:N386)</x:f>
        <x:v>80700.41067761807</x:v>
      </x:c>
      <x:c r="P386" s="14" t="n">
        <x:f>'Current inventory'!V8</x:f>
        <x:v>0.3332</x:v>
      </x:c>
      <x:c r="Q386" s="14" t="n">
        <x:f>'Current inventory'!W8</x:f>
        <x:v>0.34818</x:v>
      </x:c>
      <x:c r="R386" s="10" t="n">
        <x:f>L386*P386</x:f>
        <x:v>233.37683778233992</x:v>
      </x:c>
      <x:c r="S386" s="10" t="n">
        <x:f>M386*P386</x:f>
        <x:v>26656</x:v>
      </x:c>
      <x:c r="T386" s="10" t="n">
        <x:f>N386*P386</x:f>
        <x:v>0</x:v>
      </x:c>
      <x:c r="U386" s="10" t="n">
        <x:f>O386*P386</x:f>
        <x:v>26889.37683778234</x:v>
      </x:c>
      <x:c r="V386" s="10" t="n">
        <x:f>IF(ISNUMBER(Q386),O386*(Q386-P386),"n.a.")</x:f>
        <x:v>1208.8921519507182</x:v>
      </x:c>
      <x:c r="W386" s="10" t="n">
        <x:f>IF(ISNUMBER(Q386),U386,0)</x:f>
        <x:v>26889.37683778234</x:v>
      </x:c>
      <x:c r="X386" s="8" t="n">
        <x:f>MAX(0,K386-SUM(E386:J386))</x:f>
        <x:v>0</x:v>
      </x:c>
      <x:c r="Y386" s="1" t="str">
        <x:f>IF(AND(O386&gt;0,NOT(ISNUMBER(Q386))),"No proposed replacement standard",IF(X386&gt;0,"Demand exceeds available stock",""))</x:f>
      </x:c>
      <x:c r="Z386" s="1" t="n">
        <x:f>IF(ISNUMBER(Q386),1,0)</x:f>
        <x:v>1</x:v>
      </x:c>
    </x:row>
    <x:row r="387" ht="21" customHeight="1">
      <x:c r="A387" s="17" t="n">
        <x:f>Summary!B18</x:f>
        <x:v>46419</x:v>
      </x:c>
      <x:c r="B387" s="1" t="str">
        <x:f>'Current inventory'!A9</x:f>
        <x:v>10</x:v>
      </x:c>
      <x:c r="C387" s="1" t="str">
        <x:f>'Current inventory'!B9</x:f>
        <x:v>800BBLKDSC</x:v>
      </x:c>
      <x:c r="D387" s="7" t="n">
        <x:f>A261</x:f>
        <x:v>46388</x:v>
      </x:c>
      <x:c r="E387" s="8" t="n">
        <x:f>L261</x:f>
        <x:v>19681.51950718686</x:v>
      </x:c>
      <x:c r="F387" s="8" t="n">
        <x:f>M261</x:f>
        <x:v>40000</x:v>
      </x:c>
      <x:c r="G387" s="8" t="n">
        <x:f>N261</x:f>
        <x:v>0</x:v>
      </x:c>
      <x:c r="H387" s="8" t="n">
        <x:f>SUMIFS('PO detail'!$U$2:$U$672,'PO detail'!$A$2:$A$672,B387,'PO detail'!$B$2:$B$672,C387,'PO detail'!$G$2:$G$672,"&gt;="&amp;D387,'PO detail'!$G$2:$G$672,"&lt;"&amp;A387)</x:f>
        <x:v>0</x:v>
      </x:c>
      <x:c r="I387" s="8" t="n">
        <x:f>SUMIFS('PO detail'!$V$2:$V$672,'PO detail'!$A$2:$A$672,B387,'PO detail'!$B$2:$B$672,C387,'PO detail'!$G$2:$G$672,"&gt;="&amp;D387,'PO detail'!$G$2:$G$672,"&lt;"&amp;A387)</x:f>
        <x:v>40000</x:v>
      </x:c>
      <x:c r="J387" s="8" t="n">
        <x:f>SUMIFS('PO detail'!$W$2:$W$672,'PO detail'!$A$2:$A$672,B387,'PO detail'!$B$2:$B$672,C387,'PO detail'!$G$2:$G$672,"&gt;="&amp;D387,'PO detail'!$G$2:$G$672,"&lt;"&amp;A387)</x:f>
        <x:v>0</x:v>
      </x:c>
      <x:c r="K387" s="8" t="n">
        <x:f>'Current inventory'!E9*Summary!$D$6*(A387-D387)/30.4375</x:f>
        <x:v>10413.963039014374</x:v>
      </x:c>
      <x:c r="L387" s="8" t="n">
        <x:f>MAX(0,E387+H387-K387)</x:f>
        <x:v>9267.556468172485</x:v>
      </x:c>
      <x:c r="M387" s="8" t="n">
        <x:f>MAX(0,F387+I387-MAX(0,K387-E387-H387))</x:f>
        <x:v>80000</x:v>
      </x:c>
      <x:c r="N387" s="8" t="n">
        <x:f>MAX(0,G387+J387-K387)</x:f>
        <x:v>0</x:v>
      </x:c>
      <x:c r="O387" s="8" t="n">
        <x:f>SUM(L387:N387)</x:f>
        <x:v>89267.55646817248</x:v>
      </x:c>
      <x:c r="P387" s="14" t="n">
        <x:f>'Current inventory'!V9</x:f>
        <x:v>0.3332</x:v>
      </x:c>
      <x:c r="Q387" s="14" t="n">
        <x:f>'Current inventory'!W9</x:f>
        <x:v>0.34818</x:v>
      </x:c>
      <x:c r="R387" s="10" t="n">
        <x:f>L387*P387</x:f>
        <x:v>3087.949815195072</x:v>
      </x:c>
      <x:c r="S387" s="10" t="n">
        <x:f>M387*P387</x:f>
        <x:v>26656</x:v>
      </x:c>
      <x:c r="T387" s="10" t="n">
        <x:f>N387*P387</x:f>
        <x:v>0</x:v>
      </x:c>
      <x:c r="U387" s="10" t="n">
        <x:f>O387*P387</x:f>
        <x:v>29743.94981519507</x:v>
      </x:c>
      <x:c r="V387" s="10" t="n">
        <x:f>IF(ISNUMBER(Q387),O387*(Q387-P387),"n.a.")</x:f>
        <x:v>1337.2279958932231</x:v>
      </x:c>
      <x:c r="W387" s="10" t="n">
        <x:f>IF(ISNUMBER(Q387),U387,0)</x:f>
        <x:v>29743.94981519507</x:v>
      </x:c>
      <x:c r="X387" s="8" t="n">
        <x:f>MAX(0,K387-SUM(E387:J387))</x:f>
        <x:v>0</x:v>
      </x:c>
      <x:c r="Y387" s="1" t="str">
        <x:f>IF(AND(O387&gt;0,NOT(ISNUMBER(Q387))),"No proposed replacement standard",IF(X387&gt;0,"Demand exceeds available stock",""))</x:f>
      </x:c>
      <x:c r="Z387" s="1" t="n">
        <x:f>IF(ISNUMBER(Q387),1,0)</x:f>
        <x:v>1</x:v>
      </x:c>
    </x:row>
    <x:row r="388" ht="21" customHeight="1">
      <x:c r="A388" s="17" t="n">
        <x:f>Summary!B18</x:f>
        <x:v>46419</x:v>
      </x:c>
      <x:c r="B388" s="1" t="str">
        <x:f>'Current inventory'!A10</x:f>
        <x:v>60</x:v>
      </x:c>
      <x:c r="C388" s="1" t="str">
        <x:f>'Current inventory'!B10</x:f>
        <x:v>800BBLKISC</x:v>
      </x:c>
      <x:c r="D388" s="7" t="n">
        <x:f>A262</x:f>
        <x:v>46388</x:v>
      </x:c>
      <x:c r="E388" s="8" t="n">
        <x:f>L262</x:f>
        <x:v>80201.24123203284</x:v>
      </x:c>
      <x:c r="F388" s="8" t="n">
        <x:f>M262</x:f>
        <x:v>0</x:v>
      </x:c>
      <x:c r="G388" s="8" t="n">
        <x:f>N262</x:f>
        <x:v>0</x:v>
      </x:c>
      <x:c r="H388" s="8" t="n">
        <x:f>SUMIFS('PO detail'!$U$2:$U$672,'PO detail'!$A$2:$A$672,B388,'PO detail'!$B$2:$B$672,C388,'PO detail'!$G$2:$G$672,"&gt;="&amp;D388,'PO detail'!$G$2:$G$672,"&lt;"&amp;A388)</x:f>
        <x:v>0</x:v>
      </x:c>
      <x:c r="I388" s="8" t="n">
        <x:f>SUMIFS('PO detail'!$V$2:$V$672,'PO detail'!$A$2:$A$672,B388,'PO detail'!$B$2:$B$672,C388,'PO detail'!$G$2:$G$672,"&gt;="&amp;D388,'PO detail'!$G$2:$G$672,"&lt;"&amp;A388)</x:f>
        <x:v>0</x:v>
      </x:c>
      <x:c r="J388" s="8" t="n">
        <x:f>SUMIFS('PO detail'!$W$2:$W$672,'PO detail'!$A$2:$A$672,B388,'PO detail'!$B$2:$B$672,C388,'PO detail'!$G$2:$G$672,"&gt;="&amp;D388,'PO detail'!$G$2:$G$672,"&lt;"&amp;A388)</x:f>
        <x:v>0</x:v>
      </x:c>
      <x:c r="K388" s="8" t="n">
        <x:f>'Current inventory'!E10*Summary!$D$6*(A388-D388)/30.4375</x:f>
        <x:v>9225.732402464066</x:v>
      </x:c>
      <x:c r="L388" s="8" t="n">
        <x:f>MAX(0,E388+H388-K388)</x:f>
        <x:v>70975.50882956877</x:v>
      </x:c>
      <x:c r="M388" s="8" t="n">
        <x:f>MAX(0,F388+I388-MAX(0,K388-E388-H388))</x:f>
        <x:v>0</x:v>
      </x:c>
      <x:c r="N388" s="8" t="n">
        <x:f>MAX(0,G388+J388-K388)</x:f>
        <x:v>0</x:v>
      </x:c>
      <x:c r="O388" s="8" t="n">
        <x:f>SUM(L388:N388)</x:f>
        <x:v>70975.50882956877</x:v>
      </x:c>
      <x:c r="P388" s="14" t="n">
        <x:f>'Current inventory'!V10</x:f>
        <x:v>0.1612</x:v>
      </x:c>
      <x:c r="Q388" s="14" t="n">
        <x:f>'Current inventory'!W10</x:f>
        <x:v>0.16842</x:v>
      </x:c>
      <x:c r="R388" s="10" t="n">
        <x:f>L388*P388</x:f>
        <x:v>11441.252023326488</x:v>
      </x:c>
      <x:c r="S388" s="10" t="n">
        <x:f>M388*P388</x:f>
        <x:v>0</x:v>
      </x:c>
      <x:c r="T388" s="10" t="n">
        <x:f>N388*P388</x:f>
        <x:v>0</x:v>
      </x:c>
      <x:c r="U388" s="10" t="n">
        <x:f>O388*P388</x:f>
        <x:v>11441.252023326488</x:v>
      </x:c>
      <x:c r="V388" s="10" t="n">
        <x:f>IF(ISNUMBER(Q388),O388*(Q388-P388),"n.a.")</x:f>
        <x:v>512.4431737494849</x:v>
      </x:c>
      <x:c r="W388" s="10" t="n">
        <x:f>IF(ISNUMBER(Q388),U388,0)</x:f>
        <x:v>11441.252023326488</x:v>
      </x:c>
      <x:c r="X388" s="8" t="n">
        <x:f>MAX(0,K388-SUM(E388:J388))</x:f>
        <x:v>0</x:v>
      </x:c>
      <x:c r="Y388" s="1" t="str">
        <x:f>IF(AND(O388&gt;0,NOT(ISNUMBER(Q388))),"No proposed replacement standard",IF(X388&gt;0,"Demand exceeds available stock",""))</x:f>
      </x:c>
      <x:c r="Z388" s="1" t="n">
        <x:f>IF(ISNUMBER(Q388),1,0)</x:f>
        <x:v>1</x:v>
      </x:c>
    </x:row>
    <x:row r="389" ht="21" customHeight="1">
      <x:c r="A389" s="17" t="n">
        <x:f>Summary!B18</x:f>
        <x:v>46419</x:v>
      </x:c>
      <x:c r="B389" s="1" t="str">
        <x:f>'Current inventory'!A11</x:f>
        <x:v>30</x:v>
      </x:c>
      <x:c r="C389" s="1" t="str">
        <x:f>'Current inventory'!B11</x:f>
        <x:v>800BNAVASC</x:v>
      </x:c>
      <x:c r="D389" s="7" t="n">
        <x:f>A263</x:f>
        <x:v>46388</x:v>
      </x:c>
      <x:c r="E389" s="8" t="n">
        <x:f>L263</x:f>
        <x:v>0</x:v>
      </x:c>
      <x:c r="F389" s="8" t="n">
        <x:f>M263</x:f>
        <x:v>16468.163285420946</x:v>
      </x:c>
      <x:c r="G389" s="8" t="n">
        <x:f>N263</x:f>
        <x:v>0</x:v>
      </x:c>
      <x:c r="H389" s="8" t="n">
        <x:f>SUMIFS('PO detail'!$U$2:$U$672,'PO detail'!$A$2:$A$672,B389,'PO detail'!$B$2:$B$672,C389,'PO detail'!$G$2:$G$672,"&gt;="&amp;D389,'PO detail'!$G$2:$G$672,"&lt;"&amp;A389)</x:f>
        <x:v>0</x:v>
      </x:c>
      <x:c r="I389" s="8" t="n">
        <x:f>SUMIFS('PO detail'!$V$2:$V$672,'PO detail'!$A$2:$A$672,B389,'PO detail'!$B$2:$B$672,C389,'PO detail'!$G$2:$G$672,"&gt;="&amp;D389,'PO detail'!$G$2:$G$672,"&lt;"&amp;A389)</x:f>
        <x:v>40000</x:v>
      </x:c>
      <x:c r="J389" s="8" t="n">
        <x:f>SUMIFS('PO detail'!$W$2:$W$672,'PO detail'!$A$2:$A$672,B389,'PO detail'!$B$2:$B$672,C389,'PO detail'!$G$2:$G$672,"&gt;="&amp;D389,'PO detail'!$G$2:$G$672,"&lt;"&amp;A389)</x:f>
        <x:v>0</x:v>
      </x:c>
      <x:c r="K389" s="8" t="n">
        <x:f>'Current inventory'!E11*Summary!$D$6*(A389-D389)/30.4375</x:f>
        <x:v>8979.606406570843</x:v>
      </x:c>
      <x:c r="L389" s="8" t="n">
        <x:f>MAX(0,E389+H389-K389)</x:f>
        <x:v>0</x:v>
      </x:c>
      <x:c r="M389" s="8" t="n">
        <x:f>MAX(0,F389+I389-MAX(0,K389-E389-H389))</x:f>
        <x:v>47488.556878850104</x:v>
      </x:c>
      <x:c r="N389" s="8" t="n">
        <x:f>MAX(0,G389+J389-K389)</x:f>
        <x:v>0</x:v>
      </x:c>
      <x:c r="O389" s="8" t="n">
        <x:f>SUM(L389:N389)</x:f>
        <x:v>47488.556878850104</x:v>
      </x:c>
      <x:c r="P389" s="14" t="n">
        <x:f>'Current inventory'!V11</x:f>
        <x:v>0.1515</x:v>
      </x:c>
      <x:c r="Q389" s="14" t="n">
        <x:f>'Current inventory'!W11</x:f>
        <x:v>0.15834</x:v>
      </x:c>
      <x:c r="R389" s="10" t="n">
        <x:f>L389*P389</x:f>
        <x:v>0</x:v>
      </x:c>
      <x:c r="S389" s="10" t="n">
        <x:f>M389*P389</x:f>
        <x:v>7194.51636714579</x:v>
      </x:c>
      <x:c r="T389" s="10" t="n">
        <x:f>N389*P389</x:f>
        <x:v>0</x:v>
      </x:c>
      <x:c r="U389" s="10" t="n">
        <x:f>O389*P389</x:f>
        <x:v>7194.51636714579</x:v>
      </x:c>
      <x:c r="V389" s="10" t="n">
        <x:f>IF(ISNUMBER(Q389),O389*(Q389-P389),"n.a.")</x:f>
        <x:v>324.8217290513353</x:v>
      </x:c>
      <x:c r="W389" s="10" t="n">
        <x:f>IF(ISNUMBER(Q389),U389,0)</x:f>
        <x:v>7194.51636714579</x:v>
      </x:c>
      <x:c r="X389" s="8" t="n">
        <x:f>MAX(0,K389-SUM(E389:J389))</x:f>
        <x:v>0</x:v>
      </x:c>
      <x:c r="Y389" s="1" t="str">
        <x:f>IF(AND(O389&gt;0,NOT(ISNUMBER(Q389))),"No proposed replacement standard",IF(X389&gt;0,"Demand exceeds available stock",""))</x:f>
      </x:c>
      <x:c r="Z389" s="1" t="n">
        <x:f>IF(ISNUMBER(Q389),1,0)</x:f>
        <x:v>1</x:v>
      </x:c>
    </x:row>
    <x:row r="390" ht="21" customHeight="1">
      <x:c r="A390" s="17" t="n">
        <x:f>Summary!B18</x:f>
        <x:v>46419</x:v>
      </x:c>
      <x:c r="B390" s="1" t="str">
        <x:f>'Current inventory'!A12</x:f>
        <x:v>30</x:v>
      </x:c>
      <x:c r="C390" s="1" t="str">
        <x:f>'Current inventory'!B12</x:f>
        <x:v>800BBLKDSC</x:v>
      </x:c>
      <x:c r="D390" s="7" t="n">
        <x:f>A264</x:f>
        <x:v>46388</x:v>
      </x:c>
      <x:c r="E390" s="8" t="n">
        <x:f>L264</x:f>
        <x:v>0</x:v>
      </x:c>
      <x:c r="F390" s="8" t="n">
        <x:f>M264</x:f>
        <x:v>33558.11088295688</x:v>
      </x:c>
      <x:c r="G390" s="8" t="n">
        <x:f>N264</x:f>
        <x:v>0</x:v>
      </x:c>
      <x:c r="H390" s="8" t="n">
        <x:f>SUMIFS('PO detail'!$U$2:$U$672,'PO detail'!$A$2:$A$672,B390,'PO detail'!$B$2:$B$672,C390,'PO detail'!$G$2:$G$672,"&gt;="&amp;D390,'PO detail'!$G$2:$G$672,"&lt;"&amp;A390)</x:f>
        <x:v>0</x:v>
      </x:c>
      <x:c r="I390" s="8" t="n">
        <x:f>SUMIFS('PO detail'!$V$2:$V$672,'PO detail'!$A$2:$A$672,B390,'PO detail'!$B$2:$B$672,C390,'PO detail'!$G$2:$G$672,"&gt;="&amp;D390,'PO detail'!$G$2:$G$672,"&lt;"&amp;A390)</x:f>
        <x:v>40000</x:v>
      </x:c>
      <x:c r="J390" s="8" t="n">
        <x:f>SUMIFS('PO detail'!$W$2:$W$672,'PO detail'!$A$2:$A$672,B390,'PO detail'!$B$2:$B$672,C390,'PO detail'!$G$2:$G$672,"&gt;="&amp;D390,'PO detail'!$G$2:$G$672,"&lt;"&amp;A390)</x:f>
        <x:v>0</x:v>
      </x:c>
      <x:c r="K390" s="8" t="n">
        <x:f>'Current inventory'!E12*Summary!$D$6*(A390-D390)/30.4375</x:f>
        <x:v>6441.889117043122</x:v>
      </x:c>
      <x:c r="L390" s="8" t="n">
        <x:f>MAX(0,E390+H390-K390)</x:f>
        <x:v>0</x:v>
      </x:c>
      <x:c r="M390" s="8" t="n">
        <x:f>MAX(0,F390+I390-MAX(0,K390-E390-H390))</x:f>
        <x:v>67116.22176591377</x:v>
      </x:c>
      <x:c r="N390" s="8" t="n">
        <x:f>MAX(0,G390+J390-K390)</x:f>
        <x:v>0</x:v>
      </x:c>
      <x:c r="O390" s="8" t="n">
        <x:f>SUM(L390:N390)</x:f>
        <x:v>67116.22176591377</x:v>
      </x:c>
      <x:c r="P390" s="14" t="n">
        <x:f>'Current inventory'!V12</x:f>
        <x:v>0.3332</x:v>
      </x:c>
      <x:c r="Q390" s="14" t="n">
        <x:f>'Current inventory'!W12</x:f>
        <x:v>0.34818</x:v>
      </x:c>
      <x:c r="R390" s="10" t="n">
        <x:f>L390*P390</x:f>
        <x:v>0</x:v>
      </x:c>
      <x:c r="S390" s="10" t="n">
        <x:f>M390*P390</x:f>
        <x:v>22363.125092402468</x:v>
      </x:c>
      <x:c r="T390" s="10" t="n">
        <x:f>N390*P390</x:f>
        <x:v>0</x:v>
      </x:c>
      <x:c r="U390" s="10" t="n">
        <x:f>O390*P390</x:f>
        <x:v>22363.125092402468</x:v>
      </x:c>
      <x:c r="V390" s="10" t="n">
        <x:f>IF(ISNUMBER(Q390),O390*(Q390-P390),"n.a.")</x:f>
        <x:v>1005.4010020533877</x:v>
      </x:c>
      <x:c r="W390" s="10" t="n">
        <x:f>IF(ISNUMBER(Q390),U390,0)</x:f>
        <x:v>22363.125092402468</x:v>
      </x:c>
      <x:c r="X390" s="8" t="n">
        <x:f>MAX(0,K390-SUM(E390:J390))</x:f>
        <x:v>0</x:v>
      </x:c>
      <x:c r="Y390" s="1" t="str">
        <x:f>IF(AND(O390&gt;0,NOT(ISNUMBER(Q390))),"No proposed replacement standard",IF(X390&gt;0,"Demand exceeds available stock",""))</x:f>
      </x:c>
      <x:c r="Z390" s="1" t="n">
        <x:f>IF(ISNUMBER(Q390),1,0)</x:f>
        <x:v>1</x:v>
      </x:c>
    </x:row>
    <x:row r="391" ht="21" customHeight="1">
      <x:c r="A391" s="17" t="n">
        <x:f>Summary!B18</x:f>
        <x:v>46419</x:v>
      </x:c>
      <x:c r="B391" s="1" t="str">
        <x:f>'Current inventory'!A13</x:f>
        <x:v>60</x:v>
      </x:c>
      <x:c r="C391" s="1" t="str">
        <x:f>'Current inventory'!B13</x:f>
        <x:v>800BBLKCSC</x:v>
      </x:c>
      <x:c r="D391" s="7" t="n">
        <x:f>A265</x:f>
        <x:v>46388</x:v>
      </x:c>
      <x:c r="E391" s="8" t="n">
        <x:f>L265</x:f>
        <x:v>0</x:v>
      </x:c>
      <x:c r="F391" s="8" t="n">
        <x:f>M265</x:f>
        <x:v>0</x:v>
      </x:c>
      <x:c r="G391" s="8" t="n">
        <x:f>N265</x:f>
        <x:v>0</x:v>
      </x:c>
      <x:c r="H391" s="8" t="n">
        <x:f>SUMIFS('PO detail'!$U$2:$U$672,'PO detail'!$A$2:$A$672,B391,'PO detail'!$B$2:$B$672,C391,'PO detail'!$G$2:$G$672,"&gt;="&amp;D391,'PO detail'!$G$2:$G$672,"&lt;"&amp;A391)</x:f>
        <x:v>0</x:v>
      </x:c>
      <x:c r="I391" s="8" t="n">
        <x:f>SUMIFS('PO detail'!$V$2:$V$672,'PO detail'!$A$2:$A$672,B391,'PO detail'!$B$2:$B$672,C391,'PO detail'!$G$2:$G$672,"&gt;="&amp;D391,'PO detail'!$G$2:$G$672,"&lt;"&amp;A391)</x:f>
        <x:v>0</x:v>
      </x:c>
      <x:c r="J391" s="8" t="n">
        <x:f>SUMIFS('PO detail'!$W$2:$W$672,'PO detail'!$A$2:$A$672,B391,'PO detail'!$B$2:$B$672,C391,'PO detail'!$G$2:$G$672,"&gt;="&amp;D391,'PO detail'!$G$2:$G$672,"&lt;"&amp;A391)</x:f>
        <x:v>0</x:v>
      </x:c>
      <x:c r="K391" s="8" t="n">
        <x:f>'Current inventory'!E13*Summary!$D$6*(A391-D391)/30.4375</x:f>
        <x:v>4303.080082135523</x:v>
      </x:c>
      <x:c r="L391" s="8" t="n">
        <x:f>MAX(0,E391+H391-K391)</x:f>
        <x:v>0</x:v>
      </x:c>
      <x:c r="M391" s="8" t="n">
        <x:f>MAX(0,F391+I391-MAX(0,K391-E391-H391))</x:f>
        <x:v>0</x:v>
      </x:c>
      <x:c r="N391" s="8" t="n">
        <x:f>MAX(0,G391+J391-K391)</x:f>
        <x:v>0</x:v>
      </x:c>
      <x:c r="O391" s="8" t="n">
        <x:f>SUM(L391:N391)</x:f>
        <x:v>0</x:v>
      </x:c>
      <x:c r="P391" s="14" t="n">
        <x:f>'Current inventory'!V13</x:f>
        <x:v>0.1957</x:v>
      </x:c>
      <x:c r="Q391" s="14" t="str">
        <x:f>'Current inventory'!W13</x:f>
        <x:v>n.a.</x:v>
      </x:c>
      <x:c r="R391" s="10" t="n">
        <x:f>L391*P391</x:f>
        <x:v>0</x:v>
      </x:c>
      <x:c r="S391" s="10" t="n">
        <x:f>M391*P391</x:f>
        <x:v>0</x:v>
      </x:c>
      <x:c r="T391" s="10" t="n">
        <x:f>N391*P391</x:f>
        <x:v>0</x:v>
      </x:c>
      <x:c r="U391" s="10" t="n">
        <x:f>O391*P391</x:f>
        <x:v>0</x:v>
      </x:c>
      <x:c r="V391" s="10" t="str">
        <x:f>IF(ISNUMBER(Q391),O391*(Q391-P391),"n.a.")</x:f>
        <x:v>n.a.</x:v>
      </x:c>
      <x:c r="W391" s="10" t="n">
        <x:f>IF(ISNUMBER(Q391),U391,0)</x:f>
        <x:v>0</x:v>
      </x:c>
      <x:c r="X391" s="8" t="n">
        <x:f>MAX(0,K391-SUM(E391:J391))</x:f>
        <x:v>4303.080082135523</x:v>
      </x:c>
      <x:c r="Y391" s="1" t="str">
        <x:f>IF(AND(O391&gt;0,NOT(ISNUMBER(Q391))),"No proposed replacement standard",IF(X391&gt;0,"Demand exceeds available stock",""))</x:f>
        <x:v>Demand exceeds available stock</x:v>
      </x:c>
      <x:c r="Z391" s="1" t="n">
        <x:f>IF(ISNUMBER(Q391),1,0)</x:f>
        <x:v>0</x:v>
      </x:c>
    </x:row>
    <x:row r="392" ht="21" customHeight="1">
      <x:c r="A392" s="17" t="n">
        <x:f>Summary!B18</x:f>
        <x:v>46419</x:v>
      </x:c>
      <x:c r="B392" s="1" t="str">
        <x:f>'Current inventory'!A14</x:f>
        <x:v>10</x:v>
      </x:c>
      <x:c r="C392" s="1" t="str">
        <x:f>'Current inventory'!B14</x:f>
        <x:v>800BBLKCSC</x:v>
      </x:c>
      <x:c r="D392" s="7" t="n">
        <x:f>A266</x:f>
        <x:v>46388</x:v>
      </x:c>
      <x:c r="E392" s="8" t="n">
        <x:f>L266</x:f>
        <x:v>0</x:v>
      </x:c>
      <x:c r="F392" s="8" t="n">
        <x:f>M266</x:f>
        <x:v>0</x:v>
      </x:c>
      <x:c r="G392" s="8" t="n">
        <x:f>N266</x:f>
        <x:v>0</x:v>
      </x:c>
      <x:c r="H392" s="8" t="n">
        <x:f>SUMIFS('PO detail'!$U$2:$U$672,'PO detail'!$A$2:$A$672,B392,'PO detail'!$B$2:$B$672,C392,'PO detail'!$G$2:$G$672,"&gt;="&amp;D392,'PO detail'!$G$2:$G$672,"&lt;"&amp;A392)</x:f>
        <x:v>0</x:v>
      </x:c>
      <x:c r="I392" s="8" t="n">
        <x:f>SUMIFS('PO detail'!$V$2:$V$672,'PO detail'!$A$2:$A$672,B392,'PO detail'!$B$2:$B$672,C392,'PO detail'!$G$2:$G$672,"&gt;="&amp;D392,'PO detail'!$G$2:$G$672,"&lt;"&amp;A392)</x:f>
        <x:v>0</x:v>
      </x:c>
      <x:c r="J392" s="8" t="n">
        <x:f>SUMIFS('PO detail'!$W$2:$W$672,'PO detail'!$A$2:$A$672,B392,'PO detail'!$B$2:$B$672,C392,'PO detail'!$G$2:$G$672,"&gt;="&amp;D392,'PO detail'!$G$2:$G$672,"&lt;"&amp;A392)</x:f>
        <x:v>0</x:v>
      </x:c>
      <x:c r="K392" s="8" t="n">
        <x:f>'Current inventory'!E14*Summary!$D$6*(A392-D392)/30.4375</x:f>
        <x:v>3878.7200000000003</x:v>
      </x:c>
      <x:c r="L392" s="8" t="n">
        <x:f>MAX(0,E392+H392-K392)</x:f>
        <x:v>0</x:v>
      </x:c>
      <x:c r="M392" s="8" t="n">
        <x:f>MAX(0,F392+I392-MAX(0,K392-E392-H392))</x:f>
        <x:v>0</x:v>
      </x:c>
      <x:c r="N392" s="8" t="n">
        <x:f>MAX(0,G392+J392-K392)</x:f>
        <x:v>0</x:v>
      </x:c>
      <x:c r="O392" s="8" t="n">
        <x:f>SUM(L392:N392)</x:f>
        <x:v>0</x:v>
      </x:c>
      <x:c r="P392" s="14" t="n">
        <x:f>'Current inventory'!V14</x:f>
        <x:v>0.1957</x:v>
      </x:c>
      <x:c r="Q392" s="14" t="str">
        <x:f>'Current inventory'!W14</x:f>
        <x:v>n.a.</x:v>
      </x:c>
      <x:c r="R392" s="10" t="n">
        <x:f>L392*P392</x:f>
        <x:v>0</x:v>
      </x:c>
      <x:c r="S392" s="10" t="n">
        <x:f>M392*P392</x:f>
        <x:v>0</x:v>
      </x:c>
      <x:c r="T392" s="10" t="n">
        <x:f>N392*P392</x:f>
        <x:v>0</x:v>
      </x:c>
      <x:c r="U392" s="10" t="n">
        <x:f>O392*P392</x:f>
        <x:v>0</x:v>
      </x:c>
      <x:c r="V392" s="10" t="str">
        <x:f>IF(ISNUMBER(Q392),O392*(Q392-P392),"n.a.")</x:f>
        <x:v>n.a.</x:v>
      </x:c>
      <x:c r="W392" s="10" t="n">
        <x:f>IF(ISNUMBER(Q392),U392,0)</x:f>
        <x:v>0</x:v>
      </x:c>
      <x:c r="X392" s="8" t="n">
        <x:f>MAX(0,K392-SUM(E392:J392))</x:f>
        <x:v>3878.7200000000003</x:v>
      </x:c>
      <x:c r="Y392" s="1" t="str">
        <x:f>IF(AND(O392&gt;0,NOT(ISNUMBER(Q392))),"No proposed replacement standard",IF(X392&gt;0,"Demand exceeds available stock",""))</x:f>
        <x:v>Demand exceeds available stock</x:v>
      </x:c>
      <x:c r="Z392" s="1" t="n">
        <x:f>IF(ISNUMBER(Q392),1,0)</x:f>
        <x:v>0</x:v>
      </x:c>
    </x:row>
    <x:row r="393" ht="21" customHeight="1">
      <x:c r="A393" s="17" t="n">
        <x:f>Summary!B18</x:f>
        <x:v>46419</x:v>
      </x:c>
      <x:c r="B393" s="1" t="str">
        <x:f>'Current inventory'!A15</x:f>
        <x:v>10</x:v>
      </x:c>
      <x:c r="C393" s="1" t="str">
        <x:f>'Current inventory'!B15</x:f>
        <x:v>800BNAVBRC</x:v>
      </x:c>
      <x:c r="D393" s="7" t="n">
        <x:f>A267</x:f>
        <x:v>46388</x:v>
      </x:c>
      <x:c r="E393" s="8" t="n">
        <x:f>L267</x:f>
        <x:v>0</x:v>
      </x:c>
      <x:c r="F393" s="8" t="n">
        <x:f>M267</x:f>
        <x:v>0</x:v>
      </x:c>
      <x:c r="G393" s="8" t="n">
        <x:f>N267</x:f>
        <x:v>0</x:v>
      </x:c>
      <x:c r="H393" s="8" t="n">
        <x:f>SUMIFS('PO detail'!$U$2:$U$672,'PO detail'!$A$2:$A$672,B393,'PO detail'!$B$2:$B$672,C393,'PO detail'!$G$2:$G$672,"&gt;="&amp;D393,'PO detail'!$G$2:$G$672,"&lt;"&amp;A393)</x:f>
        <x:v>0</x:v>
      </x:c>
      <x:c r="I393" s="8" t="n">
        <x:f>SUMIFS('PO detail'!$V$2:$V$672,'PO detail'!$A$2:$A$672,B393,'PO detail'!$B$2:$B$672,C393,'PO detail'!$G$2:$G$672,"&gt;="&amp;D393,'PO detail'!$G$2:$G$672,"&lt;"&amp;A393)</x:f>
        <x:v>0</x:v>
      </x:c>
      <x:c r="J393" s="8" t="n">
        <x:f>SUMIFS('PO detail'!$W$2:$W$672,'PO detail'!$A$2:$A$672,B393,'PO detail'!$B$2:$B$672,C393,'PO detail'!$G$2:$G$672,"&gt;="&amp;D393,'PO detail'!$G$2:$G$672,"&lt;"&amp;A393)</x:f>
        <x:v>0</x:v>
      </x:c>
      <x:c r="K393" s="8" t="n">
        <x:f>'Current inventory'!E15*Summary!$D$6*(A393-D393)/30.4375</x:f>
        <x:v>3666.5297741273102</x:v>
      </x:c>
      <x:c r="L393" s="8" t="n">
        <x:f>MAX(0,E393+H393-K393)</x:f>
        <x:v>0</x:v>
      </x:c>
      <x:c r="M393" s="8" t="n">
        <x:f>MAX(0,F393+I393-MAX(0,K393-E393-H393))</x:f>
        <x:v>0</x:v>
      </x:c>
      <x:c r="N393" s="8" t="n">
        <x:f>MAX(0,G393+J393-K393)</x:f>
        <x:v>0</x:v>
      </x:c>
      <x:c r="O393" s="8" t="n">
        <x:f>SUM(L393:N393)</x:f>
        <x:v>0</x:v>
      </x:c>
      <x:c r="P393" s="14" t="n">
        <x:f>'Current inventory'!V15</x:f>
        <x:v>0.17370000000000002</x:v>
      </x:c>
      <x:c r="Q393" s="14" t="str">
        <x:f>'Current inventory'!W15</x:f>
        <x:v>n.a.</x:v>
      </x:c>
      <x:c r="R393" s="10" t="n">
        <x:f>L393*P393</x:f>
        <x:v>0</x:v>
      </x:c>
      <x:c r="S393" s="10" t="n">
        <x:f>M393*P393</x:f>
        <x:v>0</x:v>
      </x:c>
      <x:c r="T393" s="10" t="n">
        <x:f>N393*P393</x:f>
        <x:v>0</x:v>
      </x:c>
      <x:c r="U393" s="10" t="n">
        <x:f>O393*P393</x:f>
        <x:v>0</x:v>
      </x:c>
      <x:c r="V393" s="10" t="str">
        <x:f>IF(ISNUMBER(Q393),O393*(Q393-P393),"n.a.")</x:f>
        <x:v>n.a.</x:v>
      </x:c>
      <x:c r="W393" s="10" t="n">
        <x:f>IF(ISNUMBER(Q393),U393,0)</x:f>
        <x:v>0</x:v>
      </x:c>
      <x:c r="X393" s="8" t="n">
        <x:f>MAX(0,K393-SUM(E393:J393))</x:f>
        <x:v>3666.5297741273102</x:v>
      </x:c>
      <x:c r="Y393" s="1" t="str">
        <x:f>IF(AND(O393&gt;0,NOT(ISNUMBER(Q393))),"No proposed replacement standard",IF(X393&gt;0,"Demand exceeds available stock",""))</x:f>
        <x:v>Demand exceeds available stock</x:v>
      </x:c>
      <x:c r="Z393" s="1" t="n">
        <x:f>IF(ISNUMBER(Q393),1,0)</x:f>
        <x:v>0</x:v>
      </x:c>
    </x:row>
    <x:row r="394" ht="21" customHeight="1">
      <x:c r="A394" s="17" t="n">
        <x:f>Summary!B18</x:f>
        <x:v>46419</x:v>
      </x:c>
      <x:c r="B394" s="1" t="str">
        <x:f>'Current inventory'!A16</x:f>
        <x:v>10</x:v>
      </x:c>
      <x:c r="C394" s="1" t="str">
        <x:f>'Current inventory'!B16</x:f>
        <x:v>800BMARASC</x:v>
      </x:c>
      <x:c r="D394" s="7" t="n">
        <x:f>A268</x:f>
        <x:v>46388</x:v>
      </x:c>
      <x:c r="E394" s="8" t="n">
        <x:f>L268</x:f>
        <x:v>22402.874743326487</x:v>
      </x:c>
      <x:c r="F394" s="8" t="n">
        <x:f>M268</x:f>
        <x:v>20000</x:v>
      </x:c>
      <x:c r="G394" s="8" t="n">
        <x:f>N268</x:f>
        <x:v>0</x:v>
      </x:c>
      <x:c r="H394" s="8" t="n">
        <x:f>SUMIFS('PO detail'!$U$2:$U$672,'PO detail'!$A$2:$A$672,B394,'PO detail'!$B$2:$B$672,C394,'PO detail'!$G$2:$G$672,"&gt;="&amp;D394,'PO detail'!$G$2:$G$672,"&lt;"&amp;A394)</x:f>
        <x:v>0</x:v>
      </x:c>
      <x:c r="I394" s="8" t="n">
        <x:f>SUMIFS('PO detail'!$V$2:$V$672,'PO detail'!$A$2:$A$672,B394,'PO detail'!$B$2:$B$672,C394,'PO detail'!$G$2:$G$672,"&gt;="&amp;D394,'PO detail'!$G$2:$G$672,"&lt;"&amp;A394)</x:f>
        <x:v>0</x:v>
      </x:c>
      <x:c r="J394" s="8" t="n">
        <x:f>SUMIFS('PO detail'!$W$2:$W$672,'PO detail'!$A$2:$A$672,B394,'PO detail'!$B$2:$B$672,C394,'PO detail'!$G$2:$G$672,"&gt;="&amp;D394,'PO detail'!$G$2:$G$672,"&lt;"&amp;A394)</x:f>
        <x:v>0</x:v>
      </x:c>
      <x:c r="K394" s="8" t="n">
        <x:f>'Current inventory'!E16*Summary!$D$6*(A394-D394)/30.4375</x:f>
        <x:v>3615.605749486653</x:v>
      </x:c>
      <x:c r="L394" s="8" t="n">
        <x:f>MAX(0,E394+H394-K394)</x:f>
        <x:v>18787.268993839833</x:v>
      </x:c>
      <x:c r="M394" s="8" t="n">
        <x:f>MAX(0,F394+I394-MAX(0,K394-E394-H394))</x:f>
        <x:v>20000</x:v>
      </x:c>
      <x:c r="N394" s="8" t="n">
        <x:f>MAX(0,G394+J394-K394)</x:f>
        <x:v>0</x:v>
      </x:c>
      <x:c r="O394" s="8" t="n">
        <x:f>SUM(L394:N394)</x:f>
        <x:v>38787.26899383983</x:v>
      </x:c>
      <x:c r="P394" s="14" t="n">
        <x:f>'Current inventory'!V16</x:f>
        <x:v>0.1598</x:v>
      </x:c>
      <x:c r="Q394" s="14" t="n">
        <x:f>'Current inventory'!W16</x:f>
        <x:v>0.16695000000000002</x:v>
      </x:c>
      <x:c r="R394" s="10" t="n">
        <x:f>L394*P394</x:f>
        <x:v>3002.205585215605</x:v>
      </x:c>
      <x:c r="S394" s="10" t="n">
        <x:f>M394*P394</x:f>
        <x:v>3196</x:v>
      </x:c>
      <x:c r="T394" s="10" t="n">
        <x:f>N394*P394</x:f>
        <x:v>0</x:v>
      </x:c>
      <x:c r="U394" s="10" t="n">
        <x:f>O394*P394</x:f>
        <x:v>6198.205585215605</x:v>
      </x:c>
      <x:c r="V394" s="10" t="n">
        <x:f>IF(ISNUMBER(Q394),O394*(Q394-P394),"n.a.")</x:f>
        <x:v>277.32897330595546</x:v>
      </x:c>
      <x:c r="W394" s="10" t="n">
        <x:f>IF(ISNUMBER(Q394),U394,0)</x:f>
        <x:v>6198.205585215605</x:v>
      </x:c>
      <x:c r="X394" s="8" t="n">
        <x:f>MAX(0,K394-SUM(E394:J394))</x:f>
        <x:v>0</x:v>
      </x:c>
      <x:c r="Y394" s="1" t="str">
        <x:f>IF(AND(O394&gt;0,NOT(ISNUMBER(Q394))),"No proposed replacement standard",IF(X394&gt;0,"Demand exceeds available stock",""))</x:f>
      </x:c>
      <x:c r="Z394" s="1" t="n">
        <x:f>IF(ISNUMBER(Q394),1,0)</x:f>
        <x:v>1</x:v>
      </x:c>
    </x:row>
    <x:row r="395" ht="21" customHeight="1">
      <x:c r="A395" s="17" t="n">
        <x:f>Summary!B18</x:f>
        <x:v>46419</x:v>
      </x:c>
      <x:c r="B395" s="1" t="str">
        <x:f>'Current inventory'!A17</x:f>
        <x:v>60</x:v>
      </x:c>
      <x:c r="C395" s="1" t="str">
        <x:f>'Current inventory'!B17</x:f>
        <x:v>800BNAVISC</x:v>
      </x:c>
      <x:c r="D395" s="7" t="n">
        <x:f>A269</x:f>
        <x:v>46388</x:v>
      </x:c>
      <x:c r="E395" s="8" t="n">
        <x:f>L269</x:f>
        <x:v>0</x:v>
      </x:c>
      <x:c r="F395" s="8" t="n">
        <x:f>M269</x:f>
        <x:v>0</x:v>
      </x:c>
      <x:c r="G395" s="8" t="n">
        <x:f>N269</x:f>
        <x:v>0</x:v>
      </x:c>
      <x:c r="H395" s="8" t="n">
        <x:f>SUMIFS('PO detail'!$U$2:$U$672,'PO detail'!$A$2:$A$672,B395,'PO detail'!$B$2:$B$672,C395,'PO detail'!$G$2:$G$672,"&gt;="&amp;D395,'PO detail'!$G$2:$G$672,"&lt;"&amp;A395)</x:f>
        <x:v>0</x:v>
      </x:c>
      <x:c r="I395" s="8" t="n">
        <x:f>SUMIFS('PO detail'!$V$2:$V$672,'PO detail'!$A$2:$A$672,B395,'PO detail'!$B$2:$B$672,C395,'PO detail'!$G$2:$G$672,"&gt;="&amp;D395,'PO detail'!$G$2:$G$672,"&lt;"&amp;A395)</x:f>
        <x:v>0</x:v>
      </x:c>
      <x:c r="J395" s="8" t="n">
        <x:f>SUMIFS('PO detail'!$W$2:$W$672,'PO detail'!$A$2:$A$672,B395,'PO detail'!$B$2:$B$672,C395,'PO detail'!$G$2:$G$672,"&gt;="&amp;D395,'PO detail'!$G$2:$G$672,"&lt;"&amp;A395)</x:f>
        <x:v>0</x:v>
      </x:c>
      <x:c r="K395" s="8" t="n">
        <x:f>'Current inventory'!E17*Summary!$D$6*(A395-D395)/30.4375</x:f>
        <x:v>3174.2675975359343</x:v>
      </x:c>
      <x:c r="L395" s="8" t="n">
        <x:f>MAX(0,E395+H395-K395)</x:f>
        <x:v>0</x:v>
      </x:c>
      <x:c r="M395" s="8" t="n">
        <x:f>MAX(0,F395+I395-MAX(0,K395-E395-H395))</x:f>
        <x:v>0</x:v>
      </x:c>
      <x:c r="N395" s="8" t="n">
        <x:f>MAX(0,G395+J395-K395)</x:f>
        <x:v>0</x:v>
      </x:c>
      <x:c r="O395" s="8" t="n">
        <x:f>SUM(L395:N395)</x:f>
        <x:v>0</x:v>
      </x:c>
      <x:c r="P395" s="14" t="n">
        <x:f>'Current inventory'!V17</x:f>
        <x:v>0.16870000000000002</x:v>
      </x:c>
      <x:c r="Q395" s="14" t="str">
        <x:f>'Current inventory'!W17</x:f>
        <x:v>n.a.</x:v>
      </x:c>
      <x:c r="R395" s="10" t="n">
        <x:f>L395*P395</x:f>
        <x:v>0</x:v>
      </x:c>
      <x:c r="S395" s="10" t="n">
        <x:f>M395*P395</x:f>
        <x:v>0</x:v>
      </x:c>
      <x:c r="T395" s="10" t="n">
        <x:f>N395*P395</x:f>
        <x:v>0</x:v>
      </x:c>
      <x:c r="U395" s="10" t="n">
        <x:f>O395*P395</x:f>
        <x:v>0</x:v>
      </x:c>
      <x:c r="V395" s="10" t="str">
        <x:f>IF(ISNUMBER(Q395),O395*(Q395-P395),"n.a.")</x:f>
        <x:v>n.a.</x:v>
      </x:c>
      <x:c r="W395" s="10" t="n">
        <x:f>IF(ISNUMBER(Q395),U395,0)</x:f>
        <x:v>0</x:v>
      </x:c>
      <x:c r="X395" s="8" t="n">
        <x:f>MAX(0,K395-SUM(E395:J395))</x:f>
        <x:v>3174.2675975359343</x:v>
      </x:c>
      <x:c r="Y395" s="1" t="str">
        <x:f>IF(AND(O395&gt;0,NOT(ISNUMBER(Q395))),"No proposed replacement standard",IF(X395&gt;0,"Demand exceeds available stock",""))</x:f>
        <x:v>Demand exceeds available stock</x:v>
      </x:c>
      <x:c r="Z395" s="1" t="n">
        <x:f>IF(ISNUMBER(Q395),1,0)</x:f>
        <x:v>0</x:v>
      </x:c>
    </x:row>
    <x:row r="396" ht="21" customHeight="1">
      <x:c r="A396" s="17" t="n">
        <x:f>Summary!B18</x:f>
        <x:v>46419</x:v>
      </x:c>
      <x:c r="B396" s="1" t="str">
        <x:f>'Current inventory'!A18</x:f>
        <x:v>10</x:v>
      </x:c>
      <x:c r="C396" s="1" t="str">
        <x:f>'Current inventory'!B18</x:f>
        <x:v>800BNAVISC</x:v>
      </x:c>
      <x:c r="D396" s="7" t="n">
        <x:f>A270</x:f>
        <x:v>46388</x:v>
      </x:c>
      <x:c r="E396" s="8" t="n">
        <x:f>L270</x:f>
        <x:v>0</x:v>
      </x:c>
      <x:c r="F396" s="8" t="n">
        <x:f>M270</x:f>
        <x:v>0</x:v>
      </x:c>
      <x:c r="G396" s="8" t="n">
        <x:f>N270</x:f>
        <x:v>0</x:v>
      </x:c>
      <x:c r="H396" s="8" t="n">
        <x:f>SUMIFS('PO detail'!$U$2:$U$672,'PO detail'!$A$2:$A$672,B396,'PO detail'!$B$2:$B$672,C396,'PO detail'!$G$2:$G$672,"&gt;="&amp;D396,'PO detail'!$G$2:$G$672,"&lt;"&amp;A396)</x:f>
        <x:v>0</x:v>
      </x:c>
      <x:c r="I396" s="8" t="n">
        <x:f>SUMIFS('PO detail'!$V$2:$V$672,'PO detail'!$A$2:$A$672,B396,'PO detail'!$B$2:$B$672,C396,'PO detail'!$G$2:$G$672,"&gt;="&amp;D396,'PO detail'!$G$2:$G$672,"&lt;"&amp;A396)</x:f>
        <x:v>0</x:v>
      </x:c>
      <x:c r="J396" s="8" t="n">
        <x:f>SUMIFS('PO detail'!$W$2:$W$672,'PO detail'!$A$2:$A$672,B396,'PO detail'!$B$2:$B$672,C396,'PO detail'!$G$2:$G$672,"&gt;="&amp;D396,'PO detail'!$G$2:$G$672,"&lt;"&amp;A396)</x:f>
        <x:v>0</x:v>
      </x:c>
      <x:c r="K396" s="8" t="n">
        <x:f>'Current inventory'!E18*Summary!$D$6*(A396-D396)/30.4375</x:f>
        <x:v>3123.3435728952772</x:v>
      </x:c>
      <x:c r="L396" s="8" t="n">
        <x:f>MAX(0,E396+H396-K396)</x:f>
        <x:v>0</x:v>
      </x:c>
      <x:c r="M396" s="8" t="n">
        <x:f>MAX(0,F396+I396-MAX(0,K396-E396-H396))</x:f>
        <x:v>0</x:v>
      </x:c>
      <x:c r="N396" s="8" t="n">
        <x:f>MAX(0,G396+J396-K396)</x:f>
        <x:v>0</x:v>
      </x:c>
      <x:c r="O396" s="8" t="n">
        <x:f>SUM(L396:N396)</x:f>
        <x:v>0</x:v>
      </x:c>
      <x:c r="P396" s="14" t="n">
        <x:f>'Current inventory'!V18</x:f>
        <x:v>0.16870000000000002</x:v>
      </x:c>
      <x:c r="Q396" s="14" t="str">
        <x:f>'Current inventory'!W18</x:f>
        <x:v>n.a.</x:v>
      </x:c>
      <x:c r="R396" s="10" t="n">
        <x:f>L396*P396</x:f>
        <x:v>0</x:v>
      </x:c>
      <x:c r="S396" s="10" t="n">
        <x:f>M396*P396</x:f>
        <x:v>0</x:v>
      </x:c>
      <x:c r="T396" s="10" t="n">
        <x:f>N396*P396</x:f>
        <x:v>0</x:v>
      </x:c>
      <x:c r="U396" s="10" t="n">
        <x:f>O396*P396</x:f>
        <x:v>0</x:v>
      </x:c>
      <x:c r="V396" s="10" t="str">
        <x:f>IF(ISNUMBER(Q396),O396*(Q396-P396),"n.a.")</x:f>
        <x:v>n.a.</x:v>
      </x:c>
      <x:c r="W396" s="10" t="n">
        <x:f>IF(ISNUMBER(Q396),U396,0)</x:f>
        <x:v>0</x:v>
      </x:c>
      <x:c r="X396" s="8" t="n">
        <x:f>MAX(0,K396-SUM(E396:J396))</x:f>
        <x:v>3123.3435728952772</x:v>
      </x:c>
      <x:c r="Y396" s="1" t="str">
        <x:f>IF(AND(O396&gt;0,NOT(ISNUMBER(Q396))),"No proposed replacement standard",IF(X396&gt;0,"Demand exceeds available stock",""))</x:f>
        <x:v>Demand exceeds available stock</x:v>
      </x:c>
      <x:c r="Z396" s="1" t="n">
        <x:f>IF(ISNUMBER(Q396),1,0)</x:f>
        <x:v>0</x:v>
      </x:c>
    </x:row>
    <x:row r="397" ht="21" customHeight="1">
      <x:c r="A397" s="17" t="n">
        <x:f>Summary!B18</x:f>
        <x:v>46419</x:v>
      </x:c>
      <x:c r="B397" s="1" t="str">
        <x:f>'Current inventory'!A19</x:f>
        <x:v>60</x:v>
      </x:c>
      <x:c r="C397" s="1" t="str">
        <x:f>'Current inventory'!B19</x:f>
        <x:v>800BMARASC</x:v>
      </x:c>
      <x:c r="D397" s="7" t="n">
        <x:f>A271</x:f>
        <x:v>46388</x:v>
      </x:c>
      <x:c r="E397" s="8" t="n">
        <x:f>L271</x:f>
        <x:v>0</x:v>
      </x:c>
      <x:c r="F397" s="8" t="n">
        <x:f>M271</x:f>
        <x:v>57811.71351129364</x:v>
      </x:c>
      <x:c r="G397" s="8" t="n">
        <x:f>N271</x:f>
        <x:v>0</x:v>
      </x:c>
      <x:c r="H397" s="8" t="n">
        <x:f>SUMIFS('PO detail'!$U$2:$U$672,'PO detail'!$A$2:$A$672,B397,'PO detail'!$B$2:$B$672,C397,'PO detail'!$G$2:$G$672,"&gt;="&amp;D397,'PO detail'!$G$2:$G$672,"&lt;"&amp;A397)</x:f>
        <x:v>0</x:v>
      </x:c>
      <x:c r="I397" s="8" t="n">
        <x:f>SUMIFS('PO detail'!$V$2:$V$672,'PO detail'!$A$2:$A$672,B397,'PO detail'!$B$2:$B$672,C397,'PO detail'!$G$2:$G$672,"&gt;="&amp;D397,'PO detail'!$G$2:$G$672,"&lt;"&amp;A397)</x:f>
        <x:v>0</x:v>
      </x:c>
      <x:c r="J397" s="8" t="n">
        <x:f>SUMIFS('PO detail'!$W$2:$W$672,'PO detail'!$A$2:$A$672,B397,'PO detail'!$B$2:$B$672,C397,'PO detail'!$G$2:$G$672,"&gt;="&amp;D397,'PO detail'!$G$2:$G$672,"&lt;"&amp;A397)</x:f>
        <x:v>0</x:v>
      </x:c>
      <x:c r="K397" s="8" t="n">
        <x:f>'Current inventory'!E19*Summary!$D$6*(A397-D397)/30.4375</x:f>
        <x:v>2911.1533470225872</x:v>
      </x:c>
      <x:c r="L397" s="8" t="n">
        <x:f>MAX(0,E397+H397-K397)</x:f>
        <x:v>0</x:v>
      </x:c>
      <x:c r="M397" s="8" t="n">
        <x:f>MAX(0,F397+I397-MAX(0,K397-E397-H397))</x:f>
        <x:v>54900.56016427105</x:v>
      </x:c>
      <x:c r="N397" s="8" t="n">
        <x:f>MAX(0,G397+J397-K397)</x:f>
        <x:v>0</x:v>
      </x:c>
      <x:c r="O397" s="8" t="n">
        <x:f>SUM(L397:N397)</x:f>
        <x:v>54900.56016427105</x:v>
      </x:c>
      <x:c r="P397" s="14" t="n">
        <x:f>'Current inventory'!V19</x:f>
        <x:v>0.1598</x:v>
      </x:c>
      <x:c r="Q397" s="14" t="n">
        <x:f>'Current inventory'!W19</x:f>
        <x:v>0.16695000000000002</x:v>
      </x:c>
      <x:c r="R397" s="10" t="n">
        <x:f>L397*P397</x:f>
        <x:v>0</x:v>
      </x:c>
      <x:c r="S397" s="10" t="n">
        <x:f>M397*P397</x:f>
        <x:v>8773.109514250515</x:v>
      </x:c>
      <x:c r="T397" s="10" t="n">
        <x:f>N397*P397</x:f>
        <x:v>0</x:v>
      </x:c>
      <x:c r="U397" s="10" t="n">
        <x:f>O397*P397</x:f>
        <x:v>8773.109514250515</x:v>
      </x:c>
      <x:c r="V397" s="10" t="n">
        <x:f>IF(ISNUMBER(Q397),O397*(Q397-P397),"n.a.")</x:f>
        <x:v>392.539005174539</x:v>
      </x:c>
      <x:c r="W397" s="10" t="n">
        <x:f>IF(ISNUMBER(Q397),U397,0)</x:f>
        <x:v>8773.109514250515</x:v>
      </x:c>
      <x:c r="X397" s="8" t="n">
        <x:f>MAX(0,K397-SUM(E397:J397))</x:f>
        <x:v>0</x:v>
      </x:c>
      <x:c r="Y397" s="1" t="str">
        <x:f>IF(AND(O397&gt;0,NOT(ISNUMBER(Q397))),"No proposed replacement standard",IF(X397&gt;0,"Demand exceeds available stock",""))</x:f>
      </x:c>
      <x:c r="Z397" s="1" t="n">
        <x:f>IF(ISNUMBER(Q397),1,0)</x:f>
        <x:v>1</x:v>
      </x:c>
    </x:row>
    <x:row r="398" ht="21" customHeight="1">
      <x:c r="A398" s="17" t="n">
        <x:f>Summary!B18</x:f>
        <x:v>46419</x:v>
      </x:c>
      <x:c r="B398" s="1" t="str">
        <x:f>'Current inventory'!A20</x:f>
        <x:v>30</x:v>
      </x:c>
      <x:c r="C398" s="1" t="str">
        <x:f>'Current inventory'!B20</x:f>
        <x:v>800BBLKISC</x:v>
      </x:c>
      <x:c r="D398" s="7" t="n">
        <x:f>A272</x:f>
        <x:v>46388</x:v>
      </x:c>
      <x:c r="E398" s="8" t="n">
        <x:f>L272</x:f>
        <x:v>34155.64681724847</x:v>
      </x:c>
      <x:c r="F398" s="8" t="n">
        <x:f>M272</x:f>
        <x:v>0</x:v>
      </x:c>
      <x:c r="G398" s="8" t="n">
        <x:f>N272</x:f>
        <x:v>0</x:v>
      </x:c>
      <x:c r="H398" s="8" t="n">
        <x:f>SUMIFS('PO detail'!$U$2:$U$672,'PO detail'!$A$2:$A$672,B398,'PO detail'!$B$2:$B$672,C398,'PO detail'!$G$2:$G$672,"&gt;="&amp;D398,'PO detail'!$G$2:$G$672,"&lt;"&amp;A398)</x:f>
        <x:v>0</x:v>
      </x:c>
      <x:c r="I398" s="8" t="n">
        <x:f>SUMIFS('PO detail'!$V$2:$V$672,'PO detail'!$A$2:$A$672,B398,'PO detail'!$B$2:$B$672,C398,'PO detail'!$G$2:$G$672,"&gt;="&amp;D398,'PO detail'!$G$2:$G$672,"&lt;"&amp;A398)</x:f>
        <x:v>0</x:v>
      </x:c>
      <x:c r="J398" s="8" t="n">
        <x:f>SUMIFS('PO detail'!$W$2:$W$672,'PO detail'!$A$2:$A$672,B398,'PO detail'!$B$2:$B$672,C398,'PO detail'!$G$2:$G$672,"&gt;="&amp;D398,'PO detail'!$G$2:$G$672,"&lt;"&amp;A398)</x:f>
        <x:v>0</x:v>
      </x:c>
      <x:c r="K398" s="8" t="n">
        <x:f>'Current inventory'!E20*Summary!$D$6*(A398-D398)/30.4375</x:f>
        <x:v>2673.5112936344967</x:v>
      </x:c>
      <x:c r="L398" s="8" t="n">
        <x:f>MAX(0,E398+H398-K398)</x:f>
        <x:v>31482.13552361397</x:v>
      </x:c>
      <x:c r="M398" s="8" t="n">
        <x:f>MAX(0,F398+I398-MAX(0,K398-E398-H398))</x:f>
        <x:v>0</x:v>
      </x:c>
      <x:c r="N398" s="8" t="n">
        <x:f>MAX(0,G398+J398-K398)</x:f>
        <x:v>0</x:v>
      </x:c>
      <x:c r="O398" s="8" t="n">
        <x:f>SUM(L398:N398)</x:f>
        <x:v>31482.13552361397</x:v>
      </x:c>
      <x:c r="P398" s="14" t="n">
        <x:f>'Current inventory'!V20</x:f>
        <x:v>0.1612</x:v>
      </x:c>
      <x:c r="Q398" s="14" t="n">
        <x:f>'Current inventory'!W20</x:f>
        <x:v>0.16842</x:v>
      </x:c>
      <x:c r="R398" s="10" t="n">
        <x:f>L398*P398</x:f>
        <x:v>5074.920246406573</x:v>
      </x:c>
      <x:c r="S398" s="10" t="n">
        <x:f>M398*P398</x:f>
        <x:v>0</x:v>
      </x:c>
      <x:c r="T398" s="10" t="n">
        <x:f>N398*P398</x:f>
        <x:v>0</x:v>
      </x:c>
      <x:c r="U398" s="10" t="n">
        <x:f>O398*P398</x:f>
        <x:v>5074.920246406573</x:v>
      </x:c>
      <x:c r="V398" s="10" t="n">
        <x:f>IF(ISNUMBER(Q398),O398*(Q398-P398),"n.a.")</x:f>
        <x:v>227.30101848049213</x:v>
      </x:c>
      <x:c r="W398" s="10" t="n">
        <x:f>IF(ISNUMBER(Q398),U398,0)</x:f>
        <x:v>5074.920246406573</x:v>
      </x:c>
      <x:c r="X398" s="8" t="n">
        <x:f>MAX(0,K398-SUM(E398:J398))</x:f>
        <x:v>0</x:v>
      </x:c>
      <x:c r="Y398" s="1" t="str">
        <x:f>IF(AND(O398&gt;0,NOT(ISNUMBER(Q398))),"No proposed replacement standard",IF(X398&gt;0,"Demand exceeds available stock",""))</x:f>
      </x:c>
      <x:c r="Z398" s="1" t="n">
        <x:f>IF(ISNUMBER(Q398),1,0)</x:f>
        <x:v>1</x:v>
      </x:c>
    </x:row>
    <x:row r="399" ht="21" customHeight="1">
      <x:c r="A399" s="17" t="n">
        <x:f>Summary!B18</x:f>
        <x:v>46419</x:v>
      </x:c>
      <x:c r="B399" s="1" t="str">
        <x:f>'Current inventory'!A21</x:f>
        <x:v>10</x:v>
      </x:c>
      <x:c r="C399" s="1" t="str">
        <x:f>'Current inventory'!B21</x:f>
        <x:v>800BBLKBRC</x:v>
      </x:c>
      <x:c r="D399" s="7" t="n">
        <x:f>A273</x:f>
        <x:v>46388</x:v>
      </x:c>
      <x:c r="E399" s="8" t="n">
        <x:f>L273</x:f>
        <x:v>0</x:v>
      </x:c>
      <x:c r="F399" s="8" t="n">
        <x:f>M273</x:f>
        <x:v>0</x:v>
      </x:c>
      <x:c r="G399" s="8" t="n">
        <x:f>N273</x:f>
        <x:v>0</x:v>
      </x:c>
      <x:c r="H399" s="8" t="n">
        <x:f>SUMIFS('PO detail'!$U$2:$U$672,'PO detail'!$A$2:$A$672,B399,'PO detail'!$B$2:$B$672,C399,'PO detail'!$G$2:$G$672,"&gt;="&amp;D399,'PO detail'!$G$2:$G$672,"&lt;"&amp;A399)</x:f>
        <x:v>0</x:v>
      </x:c>
      <x:c r="I399" s="8" t="n">
        <x:f>SUMIFS('PO detail'!$V$2:$V$672,'PO detail'!$A$2:$A$672,B399,'PO detail'!$B$2:$B$672,C399,'PO detail'!$G$2:$G$672,"&gt;="&amp;D399,'PO detail'!$G$2:$G$672,"&lt;"&amp;A399)</x:f>
        <x:v>0</x:v>
      </x:c>
      <x:c r="J399" s="8" t="n">
        <x:f>SUMIFS('PO detail'!$W$2:$W$672,'PO detail'!$A$2:$A$672,B399,'PO detail'!$B$2:$B$672,C399,'PO detail'!$G$2:$G$672,"&gt;="&amp;D399,'PO detail'!$G$2:$G$672,"&lt;"&amp;A399)</x:f>
        <x:v>0</x:v>
      </x:c>
      <x:c r="K399" s="8" t="n">
        <x:f>'Current inventory'!E21*Summary!$D$6*(A399-D399)/30.4375</x:f>
        <x:v>2486.7932648870637</x:v>
      </x:c>
      <x:c r="L399" s="8" t="n">
        <x:f>MAX(0,E399+H399-K399)</x:f>
        <x:v>0</x:v>
      </x:c>
      <x:c r="M399" s="8" t="n">
        <x:f>MAX(0,F399+I399-MAX(0,K399-E399-H399))</x:f>
        <x:v>0</x:v>
      </x:c>
      <x:c r="N399" s="8" t="n">
        <x:f>MAX(0,G399+J399-K399)</x:f>
        <x:v>0</x:v>
      </x:c>
      <x:c r="O399" s="8" t="n">
        <x:f>SUM(L399:N399)</x:f>
        <x:v>0</x:v>
      </x:c>
      <x:c r="P399" s="14" t="n">
        <x:f>'Current inventory'!V21</x:f>
        <x:v>0.16829999999999998</x:v>
      </x:c>
      <x:c r="Q399" s="14" t="str">
        <x:f>'Current inventory'!W21</x:f>
        <x:v>n.a.</x:v>
      </x:c>
      <x:c r="R399" s="10" t="n">
        <x:f>L399*P399</x:f>
        <x:v>0</x:v>
      </x:c>
      <x:c r="S399" s="10" t="n">
        <x:f>M399*P399</x:f>
        <x:v>0</x:v>
      </x:c>
      <x:c r="T399" s="10" t="n">
        <x:f>N399*P399</x:f>
        <x:v>0</x:v>
      </x:c>
      <x:c r="U399" s="10" t="n">
        <x:f>O399*P399</x:f>
        <x:v>0</x:v>
      </x:c>
      <x:c r="V399" s="10" t="str">
        <x:f>IF(ISNUMBER(Q399),O399*(Q399-P399),"n.a.")</x:f>
        <x:v>n.a.</x:v>
      </x:c>
      <x:c r="W399" s="10" t="n">
        <x:f>IF(ISNUMBER(Q399),U399,0)</x:f>
        <x:v>0</x:v>
      </x:c>
      <x:c r="X399" s="8" t="n">
        <x:f>MAX(0,K399-SUM(E399:J399))</x:f>
        <x:v>2486.7932648870637</x:v>
      </x:c>
      <x:c r="Y399" s="1" t="str">
        <x:f>IF(AND(O399&gt;0,NOT(ISNUMBER(Q399))),"No proposed replacement standard",IF(X399&gt;0,"Demand exceeds available stock",""))</x:f>
        <x:v>Demand exceeds available stock</x:v>
      </x:c>
      <x:c r="Z399" s="1" t="n">
        <x:f>IF(ISNUMBER(Q399),1,0)</x:f>
        <x:v>0</x:v>
      </x:c>
    </x:row>
    <x:row r="400" ht="21" customHeight="1">
      <x:c r="A400" s="17" t="n">
        <x:f>Summary!B18</x:f>
        <x:v>46419</x:v>
      </x:c>
      <x:c r="B400" s="1" t="str">
        <x:f>'Current inventory'!A22</x:f>
        <x:v>60</x:v>
      </x:c>
      <x:c r="C400" s="1" t="str">
        <x:f>'Current inventory'!B22</x:f>
        <x:v>800NAVE</x:v>
      </x:c>
      <x:c r="D400" s="7" t="n">
        <x:f>A274</x:f>
        <x:v>46388</x:v>
      </x:c>
      <x:c r="E400" s="8" t="n">
        <x:f>L274</x:f>
        <x:v>0</x:v>
      </x:c>
      <x:c r="F400" s="8" t="n">
        <x:f>M274</x:f>
        <x:v>8823.127310061602</x:v>
      </x:c>
      <x:c r="G400" s="8" t="n">
        <x:f>N274</x:f>
        <x:v>0</x:v>
      </x:c>
      <x:c r="H400" s="8" t="n">
        <x:f>SUMIFS('PO detail'!$U$2:$U$672,'PO detail'!$A$2:$A$672,B400,'PO detail'!$B$2:$B$672,C400,'PO detail'!$G$2:$G$672,"&gt;="&amp;D400,'PO detail'!$G$2:$G$672,"&lt;"&amp;A400)</x:f>
        <x:v>0</x:v>
      </x:c>
      <x:c r="I400" s="8" t="n">
        <x:f>SUMIFS('PO detail'!$V$2:$V$672,'PO detail'!$A$2:$A$672,B400,'PO detail'!$B$2:$B$672,C400,'PO detail'!$G$2:$G$672,"&gt;="&amp;D400,'PO detail'!$G$2:$G$672,"&lt;"&amp;A400)</x:f>
        <x:v>0</x:v>
      </x:c>
      <x:c r="J400" s="8" t="n">
        <x:f>SUMIFS('PO detail'!$W$2:$W$672,'PO detail'!$A$2:$A$672,B400,'PO detail'!$B$2:$B$672,C400,'PO detail'!$G$2:$G$672,"&gt;="&amp;D400,'PO detail'!$G$2:$G$672,"&lt;"&amp;A400)</x:f>
        <x:v>0</x:v>
      </x:c>
      <x:c r="K400" s="8" t="n">
        <x:f>'Current inventory'!E22*Summary!$D$6*(A400-D400)/30.4375</x:f>
        <x:v>2427.5482546201233</x:v>
      </x:c>
      <x:c r="L400" s="8" t="n">
        <x:f>MAX(0,E400+H400-K400)</x:f>
        <x:v>0</x:v>
      </x:c>
      <x:c r="M400" s="8" t="n">
        <x:f>MAX(0,F400+I400-MAX(0,K400-E400-H400))</x:f>
        <x:v>6395.579055441478</x:v>
      </x:c>
      <x:c r="N400" s="8" t="n">
        <x:f>MAX(0,G400+J400-K400)</x:f>
        <x:v>0</x:v>
      </x:c>
      <x:c r="O400" s="8" t="n">
        <x:f>SUM(L400:N400)</x:f>
        <x:v>6395.579055441478</x:v>
      </x:c>
      <x:c r="P400" s="14" t="n">
        <x:f>'Current inventory'!V22</x:f>
        <x:v>1.04328</x:v>
      </x:c>
      <x:c r="Q400" s="14" t="n">
        <x:f>'Current inventory'!W22</x:f>
        <x:v>1.090215</x:v>
      </x:c>
      <x:c r="R400" s="10" t="n">
        <x:f>L400*P400</x:f>
        <x:v>0</x:v>
      </x:c>
      <x:c r="S400" s="10" t="n">
        <x:f>M400*P400</x:f>
        <x:v>6672.379716960985</x:v>
      </x:c>
      <x:c r="T400" s="10" t="n">
        <x:f>N400*P400</x:f>
        <x:v>0</x:v>
      </x:c>
      <x:c r="U400" s="10" t="n">
        <x:f>O400*P400</x:f>
        <x:v>6672.379716960985</x:v>
      </x:c>
      <x:c r="V400" s="10" t="n">
        <x:f>IF(ISNUMBER(Q400),O400*(Q400-P400),"n.a.")</x:f>
        <x:v>300.17650296714544</x:v>
      </x:c>
      <x:c r="W400" s="10" t="n">
        <x:f>IF(ISNUMBER(Q400),U400,0)</x:f>
        <x:v>6672.379716960985</x:v>
      </x:c>
      <x:c r="X400" s="8" t="n">
        <x:f>MAX(0,K400-SUM(E400:J400))</x:f>
        <x:v>0</x:v>
      </x:c>
      <x:c r="Y400" s="1" t="str">
        <x:f>IF(AND(O400&gt;0,NOT(ISNUMBER(Q400))),"No proposed replacement standard",IF(X400&gt;0,"Demand exceeds available stock",""))</x:f>
      </x:c>
      <x:c r="Z400" s="1" t="n">
        <x:f>IF(ISNUMBER(Q400),1,0)</x:f>
        <x:v>1</x:v>
      </x:c>
    </x:row>
    <x:row r="401" ht="21" customHeight="1">
      <x:c r="A401" s="17" t="n">
        <x:f>Summary!B18</x:f>
        <x:v>46419</x:v>
      </x:c>
      <x:c r="B401" s="1" t="str">
        <x:f>'Current inventory'!A23</x:f>
        <x:v>10</x:v>
      </x:c>
      <x:c r="C401" s="1" t="str">
        <x:f>'Current inventory'!B23</x:f>
        <x:v>800NAVE</x:v>
      </x:c>
      <x:c r="D401" s="7" t="n">
        <x:f>A275</x:f>
        <x:v>46388</x:v>
      </x:c>
      <x:c r="E401" s="8" t="n">
        <x:f>L275</x:f>
        <x:v>12610.42406570842</x:v>
      </x:c>
      <x:c r="F401" s="8" t="n">
        <x:f>M275</x:f>
        <x:v>10000</x:v>
      </x:c>
      <x:c r="G401" s="8" t="n">
        <x:f>N275</x:f>
        <x:v>0</x:v>
      </x:c>
      <x:c r="H401" s="8" t="n">
        <x:f>SUMIFS('PO detail'!$U$2:$U$672,'PO detail'!$A$2:$A$672,B401,'PO detail'!$B$2:$B$672,C401,'PO detail'!$G$2:$G$672,"&gt;="&amp;D401,'PO detail'!$G$2:$G$672,"&lt;"&amp;A401)</x:f>
        <x:v>0</x:v>
      </x:c>
      <x:c r="I401" s="8" t="n">
        <x:f>SUMIFS('PO detail'!$V$2:$V$672,'PO detail'!$A$2:$A$672,B401,'PO detail'!$B$2:$B$672,C401,'PO detail'!$G$2:$G$672,"&gt;="&amp;D401,'PO detail'!$G$2:$G$672,"&lt;"&amp;A401)</x:f>
        <x:v>0</x:v>
      </x:c>
      <x:c r="J401" s="8" t="n">
        <x:f>SUMIFS('PO detail'!$W$2:$W$672,'PO detail'!$A$2:$A$672,B401,'PO detail'!$B$2:$B$672,C401,'PO detail'!$G$2:$G$672,"&gt;="&amp;D401,'PO detail'!$G$2:$G$672,"&lt;"&amp;A401)</x:f>
        <x:v>0</x:v>
      </x:c>
      <x:c r="K401" s="8" t="n">
        <x:f>'Current inventory'!E23*Summary!$D$6*(A401-D401)/30.4375</x:f>
        <x:v>1956.164928131417</x:v>
      </x:c>
      <x:c r="L401" s="8" t="n">
        <x:f>MAX(0,E401+H401-K401)</x:f>
        <x:v>10654.259137577003</x:v>
      </x:c>
      <x:c r="M401" s="8" t="n">
        <x:f>MAX(0,F401+I401-MAX(0,K401-E401-H401))</x:f>
        <x:v>10000</x:v>
      </x:c>
      <x:c r="N401" s="8" t="n">
        <x:f>MAX(0,G401+J401-K401)</x:f>
        <x:v>0</x:v>
      </x:c>
      <x:c r="O401" s="8" t="n">
        <x:f>SUM(L401:N401)</x:f>
        <x:v>20654.259137577003</x:v>
      </x:c>
      <x:c r="P401" s="14" t="n">
        <x:f>'Current inventory'!V23</x:f>
        <x:v>1.04328</x:v>
      </x:c>
      <x:c r="Q401" s="14" t="n">
        <x:f>'Current inventory'!W23</x:f>
        <x:v>1.090215</x:v>
      </x:c>
      <x:c r="R401" s="10" t="n">
        <x:f>L401*P401</x:f>
        <x:v>11115.375473051336</x:v>
      </x:c>
      <x:c r="S401" s="10" t="n">
        <x:f>M401*P401</x:f>
        <x:v>10432.8</x:v>
      </x:c>
      <x:c r="T401" s="10" t="n">
        <x:f>N401*P401</x:f>
        <x:v>0</x:v>
      </x:c>
      <x:c r="U401" s="10" t="n">
        <x:f>O401*P401</x:f>
        <x:v>21548.175473051335</x:v>
      </x:c>
      <x:c r="V401" s="10" t="n">
        <x:f>IF(ISNUMBER(Q401),O401*(Q401-P401),"n.a.")</x:f>
        <x:v>969.4076526221755</x:v>
      </x:c>
      <x:c r="W401" s="10" t="n">
        <x:f>IF(ISNUMBER(Q401),U401,0)</x:f>
        <x:v>21548.175473051335</x:v>
      </x:c>
      <x:c r="X401" s="8" t="n">
        <x:f>MAX(0,K401-SUM(E401:J401))</x:f>
        <x:v>0</x:v>
      </x:c>
      <x:c r="Y401" s="1" t="str">
        <x:f>IF(AND(O401&gt;0,NOT(ISNUMBER(Q401))),"No proposed replacement standard",IF(X401&gt;0,"Demand exceeds available stock",""))</x:f>
      </x:c>
      <x:c r="Z401" s="1" t="n">
        <x:f>IF(ISNUMBER(Q401),1,0)</x:f>
        <x:v>1</x:v>
      </x:c>
    </x:row>
    <x:row r="402" ht="21" customHeight="1">
      <x:c r="A402" s="17" t="n">
        <x:f>Summary!B18</x:f>
        <x:v>46419</x:v>
      </x:c>
      <x:c r="B402" s="1" t="str">
        <x:f>'Current inventory'!A24</x:f>
        <x:v>60</x:v>
      </x:c>
      <x:c r="C402" s="1" t="str">
        <x:f>'Current inventory'!B24</x:f>
        <x:v>800BBLKBRC</x:v>
      </x:c>
      <x:c r="D402" s="7" t="n">
        <x:f>A276</x:f>
        <x:v>46388</x:v>
      </x:c>
      <x:c r="E402" s="8" t="n">
        <x:f>L276</x:f>
        <x:v>0</x:v>
      </x:c>
      <x:c r="F402" s="8" t="n">
        <x:f>M276</x:f>
        <x:v>0</x:v>
      </x:c>
      <x:c r="G402" s="8" t="n">
        <x:f>N276</x:f>
        <x:v>1332.4435318275152</x:v>
      </x:c>
      <x:c r="H402" s="8" t="n">
        <x:f>SUMIFS('PO detail'!$U$2:$U$672,'PO detail'!$A$2:$A$672,B402,'PO detail'!$B$2:$B$672,C402,'PO detail'!$G$2:$G$672,"&gt;="&amp;D402,'PO detail'!$G$2:$G$672,"&lt;"&amp;A402)</x:f>
        <x:v>0</x:v>
      </x:c>
      <x:c r="I402" s="8" t="n">
        <x:f>SUMIFS('PO detail'!$V$2:$V$672,'PO detail'!$A$2:$A$672,B402,'PO detail'!$B$2:$B$672,C402,'PO detail'!$G$2:$G$672,"&gt;="&amp;D402,'PO detail'!$G$2:$G$672,"&lt;"&amp;A402)</x:f>
        <x:v>0</x:v>
      </x:c>
      <x:c r="J402" s="8" t="n">
        <x:f>SUMIFS('PO detail'!$W$2:$W$672,'PO detail'!$A$2:$A$672,B402,'PO detail'!$B$2:$B$672,C402,'PO detail'!$G$2:$G$672,"&gt;="&amp;D402,'PO detail'!$G$2:$G$672,"&lt;"&amp;A402)</x:f>
        <x:v>0</x:v>
      </x:c>
      <x:c r="K402" s="8" t="n">
        <x:f>'Current inventory'!E24*Summary!$D$6*(A402-D402)/30.4375</x:f>
        <x:v>1833.2648870636551</x:v>
      </x:c>
      <x:c r="L402" s="8" t="n">
        <x:f>MAX(0,E402+H402-K402)</x:f>
        <x:v>0</x:v>
      </x:c>
      <x:c r="M402" s="8" t="n">
        <x:f>MAX(0,F402+I402-MAX(0,K402-E402-H402))</x:f>
        <x:v>0</x:v>
      </x:c>
      <x:c r="N402" s="8" t="n">
        <x:f>MAX(0,G402+J402-K402)</x:f>
        <x:v>0</x:v>
      </x:c>
      <x:c r="O402" s="8" t="n">
        <x:f>SUM(L402:N402)</x:f>
        <x:v>0</x:v>
      </x:c>
      <x:c r="P402" s="14" t="n">
        <x:f>'Current inventory'!V24</x:f>
        <x:v>0.16829999999999998</x:v>
      </x:c>
      <x:c r="Q402" s="14" t="str">
        <x:f>'Current inventory'!W24</x:f>
        <x:v>n.a.</x:v>
      </x:c>
      <x:c r="R402" s="10" t="n">
        <x:f>L402*P402</x:f>
        <x:v>0</x:v>
      </x:c>
      <x:c r="S402" s="10" t="n">
        <x:f>M402*P402</x:f>
        <x:v>0</x:v>
      </x:c>
      <x:c r="T402" s="10" t="n">
        <x:f>N402*P402</x:f>
        <x:v>0</x:v>
      </x:c>
      <x:c r="U402" s="10" t="n">
        <x:f>O402*P402</x:f>
        <x:v>0</x:v>
      </x:c>
      <x:c r="V402" s="10" t="str">
        <x:f>IF(ISNUMBER(Q402),O402*(Q402-P402),"n.a.")</x:f>
        <x:v>n.a.</x:v>
      </x:c>
      <x:c r="W402" s="10" t="n">
        <x:f>IF(ISNUMBER(Q402),U402,0)</x:f>
        <x:v>0</x:v>
      </x:c>
      <x:c r="X402" s="8" t="n">
        <x:f>MAX(0,K402-SUM(E402:J402))</x:f>
        <x:v>500.8213552361399</x:v>
      </x:c>
      <x:c r="Y402" s="1" t="str">
        <x:f>IF(AND(O402&gt;0,NOT(ISNUMBER(Q402))),"No proposed replacement standard",IF(X402&gt;0,"Demand exceeds available stock",""))</x:f>
        <x:v>Demand exceeds available stock</x:v>
      </x:c>
      <x:c r="Z402" s="1" t="n">
        <x:f>IF(ISNUMBER(Q402),1,0)</x:f>
        <x:v>0</x:v>
      </x:c>
    </x:row>
    <x:row r="403" ht="21" customHeight="1">
      <x:c r="A403" s="17" t="n">
        <x:f>Summary!B18</x:f>
        <x:v>46419</x:v>
      </x:c>
      <x:c r="B403" s="1" t="str">
        <x:f>'Current inventory'!A25</x:f>
        <x:v>10</x:v>
      </x:c>
      <x:c r="C403" s="1" t="str">
        <x:f>'Current inventory'!B25</x:f>
        <x:v>800BLKE</x:v>
      </x:c>
      <x:c r="D403" s="7" t="n">
        <x:f>A277</x:f>
        <x:v>46388</x:v>
      </x:c>
      <x:c r="E403" s="8" t="n">
        <x:f>L277</x:f>
        <x:v>14278.91679671458</x:v>
      </x:c>
      <x:c r="F403" s="8" t="n">
        <x:f>M277</x:f>
        <x:v>0</x:v>
      </x:c>
      <x:c r="G403" s="8" t="n">
        <x:f>N277</x:f>
        <x:v>0</x:v>
      </x:c>
      <x:c r="H403" s="8" t="n">
        <x:f>SUMIFS('PO detail'!$U$2:$U$672,'PO detail'!$A$2:$A$672,B403,'PO detail'!$B$2:$B$672,C403,'PO detail'!$G$2:$G$672,"&gt;="&amp;D403,'PO detail'!$G$2:$G$672,"&lt;"&amp;A403)</x:f>
        <x:v>0</x:v>
      </x:c>
      <x:c r="I403" s="8" t="n">
        <x:f>SUMIFS('PO detail'!$V$2:$V$672,'PO detail'!$A$2:$A$672,B403,'PO detail'!$B$2:$B$672,C403,'PO detail'!$G$2:$G$672,"&gt;="&amp;D403,'PO detail'!$G$2:$G$672,"&lt;"&amp;A403)</x:f>
        <x:v>0</x:v>
      </x:c>
      <x:c r="J403" s="8" t="n">
        <x:f>SUMIFS('PO detail'!$W$2:$W$672,'PO detail'!$A$2:$A$672,B403,'PO detail'!$B$2:$B$672,C403,'PO detail'!$G$2:$G$672,"&gt;="&amp;D403,'PO detail'!$G$2:$G$672,"&lt;"&amp;A403)</x:f>
        <x:v>0</x:v>
      </x:c>
      <x:c r="K403" s="8" t="n">
        <x:f>'Current inventory'!E25*Summary!$D$6*(A403-D403)/30.4375</x:f>
        <x:v>1767.399753593429</x:v>
      </x:c>
      <x:c r="L403" s="8" t="n">
        <x:f>MAX(0,E403+H403-K403)</x:f>
        <x:v>12511.517043121152</x:v>
      </x:c>
      <x:c r="M403" s="8" t="n">
        <x:f>MAX(0,F403+I403-MAX(0,K403-E403-H403))</x:f>
        <x:v>0</x:v>
      </x:c>
      <x:c r="N403" s="8" t="n">
        <x:f>MAX(0,G403+J403-K403)</x:f>
        <x:v>0</x:v>
      </x:c>
      <x:c r="O403" s="8" t="n">
        <x:f>SUM(L403:N403)</x:f>
        <x:v>12511.517043121152</x:v>
      </x:c>
      <x:c r="P403" s="14" t="n">
        <x:f>'Current inventory'!V25</x:f>
        <x:v>0.90416</x:v>
      </x:c>
      <x:c r="Q403" s="14" t="n">
        <x:f>'Current inventory'!W25</x:f>
        <x:v>0.94479</x:v>
      </x:c>
      <x:c r="R403" s="10" t="n">
        <x:f>L403*P403</x:f>
        <x:v>11312.413249708421</x:v>
      </x:c>
      <x:c r="S403" s="10" t="n">
        <x:f>M403*P403</x:f>
        <x:v>0</x:v>
      </x:c>
      <x:c r="T403" s="10" t="n">
        <x:f>N403*P403</x:f>
        <x:v>0</x:v>
      </x:c>
      <x:c r="U403" s="10" t="n">
        <x:f>O403*P403</x:f>
        <x:v>11312.413249708421</x:v>
      </x:c>
      <x:c r="V403" s="10" t="n">
        <x:f>IF(ISNUMBER(Q403),O403*(Q403-P403),"n.a.")</x:f>
        <x:v>508.3429374620131</x:v>
      </x:c>
      <x:c r="W403" s="10" t="n">
        <x:f>IF(ISNUMBER(Q403),U403,0)</x:f>
        <x:v>11312.413249708421</x:v>
      </x:c>
      <x:c r="X403" s="8" t="n">
        <x:f>MAX(0,K403-SUM(E403:J403))</x:f>
        <x:v>0</x:v>
      </x:c>
      <x:c r="Y403" s="1" t="str">
        <x:f>IF(AND(O403&gt;0,NOT(ISNUMBER(Q403))),"No proposed replacement standard",IF(X403&gt;0,"Demand exceeds available stock",""))</x:f>
      </x:c>
      <x:c r="Z403" s="1" t="n">
        <x:f>IF(ISNUMBER(Q403),1,0)</x:f>
        <x:v>1</x:v>
      </x:c>
    </x:row>
    <x:row r="404" ht="21" customHeight="1">
      <x:c r="A404" s="17" t="n">
        <x:f>Summary!B18</x:f>
        <x:v>46419</x:v>
      </x:c>
      <x:c r="B404" s="1" t="str">
        <x:f>'Current inventory'!A26</x:f>
        <x:v>60</x:v>
      </x:c>
      <x:c r="C404" s="1" t="str">
        <x:f>'Current inventory'!B26</x:f>
        <x:v>800BLKE</x:v>
      </x:c>
      <x:c r="D404" s="7" t="n">
        <x:f>A278</x:f>
        <x:v>46388</x:v>
      </x:c>
      <x:c r="E404" s="8" t="n">
        <x:f>L278</x:f>
        <x:v>11175.720739219712</x:v>
      </x:c>
      <x:c r="F404" s="8" t="n">
        <x:f>M278</x:f>
        <x:v>0</x:v>
      </x:c>
      <x:c r="G404" s="8" t="n">
        <x:f>N278</x:f>
        <x:v>0</x:v>
      </x:c>
      <x:c r="H404" s="8" t="n">
        <x:f>SUMIFS('PO detail'!$U$2:$U$672,'PO detail'!$A$2:$A$672,B404,'PO detail'!$B$2:$B$672,C404,'PO detail'!$G$2:$G$672,"&gt;="&amp;D404,'PO detail'!$G$2:$G$672,"&lt;"&amp;A404)</x:f>
        <x:v>0</x:v>
      </x:c>
      <x:c r="I404" s="8" t="n">
        <x:f>SUMIFS('PO detail'!$V$2:$V$672,'PO detail'!$A$2:$A$672,B404,'PO detail'!$B$2:$B$672,C404,'PO detail'!$G$2:$G$672,"&gt;="&amp;D404,'PO detail'!$G$2:$G$672,"&lt;"&amp;A404)</x:f>
        <x:v>0</x:v>
      </x:c>
      <x:c r="J404" s="8" t="n">
        <x:f>SUMIFS('PO detail'!$W$2:$W$672,'PO detail'!$A$2:$A$672,B404,'PO detail'!$B$2:$B$672,C404,'PO detail'!$G$2:$G$672,"&gt;="&amp;D404,'PO detail'!$G$2:$G$672,"&lt;"&amp;A404)</x:f>
        <x:v>0</x:v>
      </x:c>
      <x:c r="K404" s="8" t="n">
        <x:f>'Current inventory'!E26*Summary!$D$6*(A404-D404)/30.4375</x:f>
        <x:v>1739.0554414784394</x:v>
      </x:c>
      <x:c r="L404" s="8" t="n">
        <x:f>MAX(0,E404+H404-K404)</x:f>
        <x:v>9436.665297741272</x:v>
      </x:c>
      <x:c r="M404" s="8" t="n">
        <x:f>MAX(0,F404+I404-MAX(0,K404-E404-H404))</x:f>
        <x:v>0</x:v>
      </x:c>
      <x:c r="N404" s="8" t="n">
        <x:f>MAX(0,G404+J404-K404)</x:f>
        <x:v>0</x:v>
      </x:c>
      <x:c r="O404" s="8" t="n">
        <x:f>SUM(L404:N404)</x:f>
        <x:v>9436.665297741272</x:v>
      </x:c>
      <x:c r="P404" s="14" t="n">
        <x:f>'Current inventory'!V26</x:f>
        <x:v>0.90416</x:v>
      </x:c>
      <x:c r="Q404" s="14" t="n">
        <x:f>'Current inventory'!W26</x:f>
        <x:v>0.94479</x:v>
      </x:c>
      <x:c r="R404" s="10" t="n">
        <x:f>L404*P404</x:f>
        <x:v>8532.255295605748</x:v>
      </x:c>
      <x:c r="S404" s="10" t="n">
        <x:f>M404*P404</x:f>
        <x:v>0</x:v>
      </x:c>
      <x:c r="T404" s="10" t="n">
        <x:f>N404*P404</x:f>
        <x:v>0</x:v>
      </x:c>
      <x:c r="U404" s="10" t="n">
        <x:f>O404*P404</x:f>
        <x:v>8532.255295605748</x:v>
      </x:c>
      <x:c r="V404" s="10" t="n">
        <x:f>IF(ISNUMBER(Q404),O404*(Q404-P404),"n.a.")</x:f>
        <x:v>383.41171104722844</x:v>
      </x:c>
      <x:c r="W404" s="10" t="n">
        <x:f>IF(ISNUMBER(Q404),U404,0)</x:f>
        <x:v>8532.255295605748</x:v>
      </x:c>
      <x:c r="X404" s="8" t="n">
        <x:f>MAX(0,K404-SUM(E404:J404))</x:f>
        <x:v>0</x:v>
      </x:c>
      <x:c r="Y404" s="1" t="str">
        <x:f>IF(AND(O404&gt;0,NOT(ISNUMBER(Q404))),"No proposed replacement standard",IF(X404&gt;0,"Demand exceeds available stock",""))</x:f>
      </x:c>
      <x:c r="Z404" s="1" t="n">
        <x:f>IF(ISNUMBER(Q404),1,0)</x:f>
        <x:v>1</x:v>
      </x:c>
    </x:row>
    <x:row r="405" ht="21" customHeight="1">
      <x:c r="A405" s="17" t="n">
        <x:f>Summary!B18</x:f>
        <x:v>46419</x:v>
      </x:c>
      <x:c r="B405" s="1" t="str">
        <x:f>'Current inventory'!A27</x:f>
        <x:v>60</x:v>
      </x:c>
      <x:c r="C405" s="1" t="str">
        <x:f>'Current inventory'!B27</x:f>
        <x:v>800BNAVDSC</x:v>
      </x:c>
      <x:c r="D405" s="7" t="n">
        <x:f>A279</x:f>
        <x:v>46388</x:v>
      </x:c>
      <x:c r="E405" s="8" t="n">
        <x:f>L279</x:f>
        <x:v>0</x:v>
      </x:c>
      <x:c r="F405" s="8" t="n">
        <x:f>M279</x:f>
        <x:v>0</x:v>
      </x:c>
      <x:c r="G405" s="8" t="n">
        <x:f>N279</x:f>
        <x:v>0</x:v>
      </x:c>
      <x:c r="H405" s="8" t="n">
        <x:f>SUMIFS('PO detail'!$U$2:$U$672,'PO detail'!$A$2:$A$672,B405,'PO detail'!$B$2:$B$672,C405,'PO detail'!$G$2:$G$672,"&gt;="&amp;D405,'PO detail'!$G$2:$G$672,"&lt;"&amp;A405)</x:f>
        <x:v>0</x:v>
      </x:c>
      <x:c r="I405" s="8" t="n">
        <x:f>SUMIFS('PO detail'!$V$2:$V$672,'PO detail'!$A$2:$A$672,B405,'PO detail'!$B$2:$B$672,C405,'PO detail'!$G$2:$G$672,"&gt;="&amp;D405,'PO detail'!$G$2:$G$672,"&lt;"&amp;A405)</x:f>
        <x:v>0</x:v>
      </x:c>
      <x:c r="J405" s="8" t="n">
        <x:f>SUMIFS('PO detail'!$W$2:$W$672,'PO detail'!$A$2:$A$672,B405,'PO detail'!$B$2:$B$672,C405,'PO detail'!$G$2:$G$672,"&gt;="&amp;D405,'PO detail'!$G$2:$G$672,"&lt;"&amp;A405)</x:f>
        <x:v>0</x:v>
      </x:c>
      <x:c r="K405" s="8" t="n">
        <x:f>'Current inventory'!E27*Summary!$D$6*(A405-D405)/30.4375</x:f>
        <x:v>1629.5687885010268</x:v>
      </x:c>
      <x:c r="L405" s="8" t="n">
        <x:f>MAX(0,E405+H405-K405)</x:f>
        <x:v>0</x:v>
      </x:c>
      <x:c r="M405" s="8" t="n">
        <x:f>MAX(0,F405+I405-MAX(0,K405-E405-H405))</x:f>
        <x:v>0</x:v>
      </x:c>
      <x:c r="N405" s="8" t="n">
        <x:f>MAX(0,G405+J405-K405)</x:f>
        <x:v>0</x:v>
      </x:c>
      <x:c r="O405" s="8" t="n">
        <x:f>SUM(L405:N405)</x:f>
        <x:v>0</x:v>
      </x:c>
      <x:c r="P405" s="14" t="n">
        <x:f>'Current inventory'!V27</x:f>
        <x:v>0.34509999999999996</x:v>
      </x:c>
      <x:c r="Q405" s="14" t="str">
        <x:f>'Current inventory'!W27</x:f>
        <x:v>n.a.</x:v>
      </x:c>
      <x:c r="R405" s="10" t="n">
        <x:f>L405*P405</x:f>
        <x:v>0</x:v>
      </x:c>
      <x:c r="S405" s="10" t="n">
        <x:f>M405*P405</x:f>
        <x:v>0</x:v>
      </x:c>
      <x:c r="T405" s="10" t="n">
        <x:f>N405*P405</x:f>
        <x:v>0</x:v>
      </x:c>
      <x:c r="U405" s="10" t="n">
        <x:f>O405*P405</x:f>
        <x:v>0</x:v>
      </x:c>
      <x:c r="V405" s="10" t="str">
        <x:f>IF(ISNUMBER(Q405),O405*(Q405-P405),"n.a.")</x:f>
        <x:v>n.a.</x:v>
      </x:c>
      <x:c r="W405" s="10" t="n">
        <x:f>IF(ISNUMBER(Q405),U405,0)</x:f>
        <x:v>0</x:v>
      </x:c>
      <x:c r="X405" s="8" t="n">
        <x:f>MAX(0,K405-SUM(E405:J405))</x:f>
        <x:v>1629.5687885010268</x:v>
      </x:c>
      <x:c r="Y405" s="1" t="str">
        <x:f>IF(AND(O405&gt;0,NOT(ISNUMBER(Q405))),"No proposed replacement standard",IF(X405&gt;0,"Demand exceeds available stock",""))</x:f>
        <x:v>Demand exceeds available stock</x:v>
      </x:c>
      <x:c r="Z405" s="1" t="n">
        <x:f>IF(ISNUMBER(Q405),1,0)</x:f>
        <x:v>0</x:v>
      </x:c>
    </x:row>
    <x:row r="406" ht="21" customHeight="1">
      <x:c r="A406" s="17" t="n">
        <x:f>Summary!B18</x:f>
        <x:v>46419</x:v>
      </x:c>
      <x:c r="B406" s="1" t="str">
        <x:f>'Current inventory'!A28</x:f>
        <x:v>10</x:v>
      </x:c>
      <x:c r="C406" s="1" t="str">
        <x:f>'Current inventory'!B28</x:f>
        <x:v>800BNAVDSC</x:v>
      </x:c>
      <x:c r="D406" s="7" t="n">
        <x:f>A280</x:f>
        <x:v>46388</x:v>
      </x:c>
      <x:c r="E406" s="8" t="n">
        <x:f>L280</x:f>
        <x:v>0</x:v>
      </x:c>
      <x:c r="F406" s="8" t="n">
        <x:f>M280</x:f>
        <x:v>0</x:v>
      </x:c>
      <x:c r="G406" s="8" t="n">
        <x:f>N280</x:f>
        <x:v>0</x:v>
      </x:c>
      <x:c r="H406" s="8" t="n">
        <x:f>SUMIFS('PO detail'!$U$2:$U$672,'PO detail'!$A$2:$A$672,B406,'PO detail'!$B$2:$B$672,C406,'PO detail'!$G$2:$G$672,"&gt;="&amp;D406,'PO detail'!$G$2:$G$672,"&lt;"&amp;A406)</x:f>
        <x:v>0</x:v>
      </x:c>
      <x:c r="I406" s="8" t="n">
        <x:f>SUMIFS('PO detail'!$V$2:$V$672,'PO detail'!$A$2:$A$672,B406,'PO detail'!$B$2:$B$672,C406,'PO detail'!$G$2:$G$672,"&gt;="&amp;D406,'PO detail'!$G$2:$G$672,"&lt;"&amp;A406)</x:f>
        <x:v>0</x:v>
      </x:c>
      <x:c r="J406" s="8" t="n">
        <x:f>SUMIFS('PO detail'!$W$2:$W$672,'PO detail'!$A$2:$A$672,B406,'PO detail'!$B$2:$B$672,C406,'PO detail'!$G$2:$G$672,"&gt;="&amp;D406,'PO detail'!$G$2:$G$672,"&lt;"&amp;A406)</x:f>
        <x:v>0</x:v>
      </x:c>
      <x:c r="K406" s="8" t="n">
        <x:f>'Current inventory'!E28*Summary!$D$6*(A406-D406)/30.4375</x:f>
        <x:v>1468.3025872689939</x:v>
      </x:c>
      <x:c r="L406" s="8" t="n">
        <x:f>MAX(0,E406+H406-K406)</x:f>
        <x:v>0</x:v>
      </x:c>
      <x:c r="M406" s="8" t="n">
        <x:f>MAX(0,F406+I406-MAX(0,K406-E406-H406))</x:f>
        <x:v>0</x:v>
      </x:c>
      <x:c r="N406" s="8" t="n">
        <x:f>MAX(0,G406+J406-K406)</x:f>
        <x:v>0</x:v>
      </x:c>
      <x:c r="O406" s="8" t="n">
        <x:f>SUM(L406:N406)</x:f>
        <x:v>0</x:v>
      </x:c>
      <x:c r="P406" s="14" t="n">
        <x:f>'Current inventory'!V28</x:f>
        <x:v>0.34509999999999996</x:v>
      </x:c>
      <x:c r="Q406" s="14" t="str">
        <x:f>'Current inventory'!W28</x:f>
        <x:v>n.a.</x:v>
      </x:c>
      <x:c r="R406" s="10" t="n">
        <x:f>L406*P406</x:f>
        <x:v>0</x:v>
      </x:c>
      <x:c r="S406" s="10" t="n">
        <x:f>M406*P406</x:f>
        <x:v>0</x:v>
      </x:c>
      <x:c r="T406" s="10" t="n">
        <x:f>N406*P406</x:f>
        <x:v>0</x:v>
      </x:c>
      <x:c r="U406" s="10" t="n">
        <x:f>O406*P406</x:f>
        <x:v>0</x:v>
      </x:c>
      <x:c r="V406" s="10" t="str">
        <x:f>IF(ISNUMBER(Q406),O406*(Q406-P406),"n.a.")</x:f>
        <x:v>n.a.</x:v>
      </x:c>
      <x:c r="W406" s="10" t="n">
        <x:f>IF(ISNUMBER(Q406),U406,0)</x:f>
        <x:v>0</x:v>
      </x:c>
      <x:c r="X406" s="8" t="n">
        <x:f>MAX(0,K406-SUM(E406:J406))</x:f>
        <x:v>1468.3025872689939</x:v>
      </x:c>
      <x:c r="Y406" s="1" t="str">
        <x:f>IF(AND(O406&gt;0,NOT(ISNUMBER(Q406))),"No proposed replacement standard",IF(X406&gt;0,"Demand exceeds available stock",""))</x:f>
        <x:v>Demand exceeds available stock</x:v>
      </x:c>
      <x:c r="Z406" s="1" t="n">
        <x:f>IF(ISNUMBER(Q406),1,0)</x:f>
        <x:v>0</x:v>
      </x:c>
    </x:row>
    <x:row r="407" ht="21" customHeight="1">
      <x:c r="A407" s="17" t="n">
        <x:f>Summary!B18</x:f>
        <x:v>46419</x:v>
      </x:c>
      <x:c r="B407" s="1" t="str">
        <x:f>'Current inventory'!A29</x:f>
        <x:v>30</x:v>
      </x:c>
      <x:c r="C407" s="1" t="str">
        <x:f>'Current inventory'!B29</x:f>
        <x:v>800BMARASC</x:v>
      </x:c>
      <x:c r="D407" s="7" t="n">
        <x:f>A281</x:f>
        <x:v>46388</x:v>
      </x:c>
      <x:c r="E407" s="8" t="n">
        <x:f>L281</x:f>
        <x:v>16473.296755646817</x:v>
      </x:c>
      <x:c r="F407" s="8" t="n">
        <x:f>M281</x:f>
        <x:v>0</x:v>
      </x:c>
      <x:c r="G407" s="8" t="n">
        <x:f>N281</x:f>
        <x:v>0</x:v>
      </x:c>
      <x:c r="H407" s="8" t="n">
        <x:f>SUMIFS('PO detail'!$U$2:$U$672,'PO detail'!$A$2:$A$672,B407,'PO detail'!$B$2:$B$672,C407,'PO detail'!$G$2:$G$672,"&gt;="&amp;D407,'PO detail'!$G$2:$G$672,"&lt;"&amp;A407)</x:f>
        <x:v>0</x:v>
      </x:c>
      <x:c r="I407" s="8" t="n">
        <x:f>SUMIFS('PO detail'!$V$2:$V$672,'PO detail'!$A$2:$A$672,B407,'PO detail'!$B$2:$B$672,C407,'PO detail'!$G$2:$G$672,"&gt;="&amp;D407,'PO detail'!$G$2:$G$672,"&lt;"&amp;A407)</x:f>
        <x:v>0</x:v>
      </x:c>
      <x:c r="J407" s="8" t="n">
        <x:f>SUMIFS('PO detail'!$W$2:$W$672,'PO detail'!$A$2:$A$672,B407,'PO detail'!$B$2:$B$672,C407,'PO detail'!$G$2:$G$672,"&gt;="&amp;D407,'PO detail'!$G$2:$G$672,"&lt;"&amp;A407)</x:f>
        <x:v>0</x:v>
      </x:c>
      <x:c r="K407" s="8" t="n">
        <x:f>'Current inventory'!E29*Summary!$D$6*(A407-D407)/30.4375</x:f>
        <x:v>1264.6166735112938</x:v>
      </x:c>
      <x:c r="L407" s="8" t="n">
        <x:f>MAX(0,E407+H407-K407)</x:f>
        <x:v>15208.680082135525</x:v>
      </x:c>
      <x:c r="M407" s="8" t="n">
        <x:f>MAX(0,F407+I407-MAX(0,K407-E407-H407))</x:f>
        <x:v>0</x:v>
      </x:c>
      <x:c r="N407" s="8" t="n">
        <x:f>MAX(0,G407+J407-K407)</x:f>
        <x:v>0</x:v>
      </x:c>
      <x:c r="O407" s="8" t="n">
        <x:f>SUM(L407:N407)</x:f>
        <x:v>15208.680082135525</x:v>
      </x:c>
      <x:c r="P407" s="14" t="n">
        <x:f>'Current inventory'!V29</x:f>
        <x:v>0.1598</x:v>
      </x:c>
      <x:c r="Q407" s="14" t="n">
        <x:f>'Current inventory'!W29</x:f>
        <x:v>0.16695000000000002</x:v>
      </x:c>
      <x:c r="R407" s="10" t="n">
        <x:f>L407*P407</x:f>
        <x:v>2430.347077125257</x:v>
      </x:c>
      <x:c r="S407" s="10" t="n">
        <x:f>M407*P407</x:f>
        <x:v>0</x:v>
      </x:c>
      <x:c r="T407" s="10" t="n">
        <x:f>N407*P407</x:f>
        <x:v>0</x:v>
      </x:c>
      <x:c r="U407" s="10" t="n">
        <x:f>O407*P407</x:f>
        <x:v>2430.347077125257</x:v>
      </x:c>
      <x:c r="V407" s="10" t="n">
        <x:f>IF(ISNUMBER(Q407),O407*(Q407-P407),"n.a.")</x:f>
        <x:v>108.74206258726926</x:v>
      </x:c>
      <x:c r="W407" s="10" t="n">
        <x:f>IF(ISNUMBER(Q407),U407,0)</x:f>
        <x:v>2430.347077125257</x:v>
      </x:c>
      <x:c r="X407" s="8" t="n">
        <x:f>MAX(0,K407-SUM(E407:J407))</x:f>
        <x:v>0</x:v>
      </x:c>
      <x:c r="Y407" s="1" t="str">
        <x:f>IF(AND(O407&gt;0,NOT(ISNUMBER(Q407))),"No proposed replacement standard",IF(X407&gt;0,"Demand exceeds available stock",""))</x:f>
      </x:c>
      <x:c r="Z407" s="1" t="n">
        <x:f>IF(ISNUMBER(Q407),1,0)</x:f>
        <x:v>1</x:v>
      </x:c>
    </x:row>
    <x:row r="408" ht="21" customHeight="1">
      <x:c r="A408" s="17" t="n">
        <x:f>Summary!B18</x:f>
        <x:v>46419</x:v>
      </x:c>
      <x:c r="B408" s="1" t="str">
        <x:f>'Current inventory'!A30</x:f>
        <x:v>60</x:v>
      </x:c>
      <x:c r="C408" s="1" t="str">
        <x:f>'Current inventory'!B30</x:f>
        <x:v>800BNAVBRC</x:v>
      </x:c>
      <x:c r="D408" s="7" t="n">
        <x:f>A282</x:f>
        <x:v>46388</x:v>
      </x:c>
      <x:c r="E408" s="8" t="n">
        <x:f>L282</x:f>
        <x:v>0</x:v>
      </x:c>
      <x:c r="F408" s="8" t="n">
        <x:f>M282</x:f>
        <x:v>0</x:v>
      </x:c>
      <x:c r="G408" s="8" t="n">
        <x:f>N282</x:f>
        <x:v>2580.2782751540035</x:v>
      </x:c>
      <x:c r="H408" s="8" t="n">
        <x:f>SUMIFS('PO detail'!$U$2:$U$672,'PO detail'!$A$2:$A$672,B408,'PO detail'!$B$2:$B$672,C408,'PO detail'!$G$2:$G$672,"&gt;="&amp;D408,'PO detail'!$G$2:$G$672,"&lt;"&amp;A408)</x:f>
        <x:v>0</x:v>
      </x:c>
      <x:c r="I408" s="8" t="n">
        <x:f>SUMIFS('PO detail'!$V$2:$V$672,'PO detail'!$A$2:$A$672,B408,'PO detail'!$B$2:$B$672,C408,'PO detail'!$G$2:$G$672,"&gt;="&amp;D408,'PO detail'!$G$2:$G$672,"&lt;"&amp;A408)</x:f>
        <x:v>0</x:v>
      </x:c>
      <x:c r="J408" s="8" t="n">
        <x:f>SUMIFS('PO detail'!$W$2:$W$672,'PO detail'!$A$2:$A$672,B408,'PO detail'!$B$2:$B$672,C408,'PO detail'!$G$2:$G$672,"&gt;="&amp;D408,'PO detail'!$G$2:$G$672,"&lt;"&amp;A408)</x:f>
        <x:v>0</x:v>
      </x:c>
      <x:c r="K408" s="8" t="n">
        <x:f>'Current inventory'!E30*Summary!$D$6*(A408-D408)/30.4375</x:f>
        <x:v>1188.2306365503082</x:v>
      </x:c>
      <x:c r="L408" s="8" t="n">
        <x:f>MAX(0,E408+H408-K408)</x:f>
        <x:v>0</x:v>
      </x:c>
      <x:c r="M408" s="8" t="n">
        <x:f>MAX(0,F408+I408-MAX(0,K408-E408-H408))</x:f>
        <x:v>0</x:v>
      </x:c>
      <x:c r="N408" s="8" t="n">
        <x:f>MAX(0,G408+J408-K408)</x:f>
        <x:v>1392.0476386036953</x:v>
      </x:c>
      <x:c r="O408" s="8" t="n">
        <x:f>SUM(L408:N408)</x:f>
        <x:v>1392.0476386036953</x:v>
      </x:c>
      <x:c r="P408" s="14" t="n">
        <x:f>'Current inventory'!V30</x:f>
        <x:v>0.17370000000000002</x:v>
      </x:c>
      <x:c r="Q408" s="14" t="str">
        <x:f>'Current inventory'!W30</x:f>
        <x:v>n.a.</x:v>
      </x:c>
      <x:c r="R408" s="10" t="n">
        <x:f>L408*P408</x:f>
        <x:v>0</x:v>
      </x:c>
      <x:c r="S408" s="10" t="n">
        <x:f>M408*P408</x:f>
        <x:v>0</x:v>
      </x:c>
      <x:c r="T408" s="10" t="n">
        <x:f>N408*P408</x:f>
        <x:v>241.79867482546192</x:v>
      </x:c>
      <x:c r="U408" s="10" t="n">
        <x:f>O408*P408</x:f>
        <x:v>241.79867482546192</x:v>
      </x:c>
      <x:c r="V408" s="10" t="str">
        <x:f>IF(ISNUMBER(Q408),O408*(Q408-P408),"n.a.")</x:f>
        <x:v>n.a.</x:v>
      </x:c>
      <x:c r="W408" s="10" t="n">
        <x:f>IF(ISNUMBER(Q408),U408,0)</x:f>
        <x:v>0</x:v>
      </x:c>
      <x:c r="X408" s="8" t="n">
        <x:f>MAX(0,K408-SUM(E408:J408))</x:f>
        <x:v>0</x:v>
      </x:c>
      <x:c r="Y408" s="1" t="str">
        <x:f>IF(AND(O408&gt;0,NOT(ISNUMBER(Q408))),"No proposed replacement standard",IF(X408&gt;0,"Demand exceeds available stock",""))</x:f>
        <x:v>No proposed replacement standard</x:v>
      </x:c>
      <x:c r="Z408" s="1" t="n">
        <x:f>IF(ISNUMBER(Q408),1,0)</x:f>
        <x:v>0</x:v>
      </x:c>
    </x:row>
    <x:row r="409" ht="21" customHeight="1">
      <x:c r="A409" s="17" t="n">
        <x:f>Summary!B18</x:f>
        <x:v>46419</x:v>
      </x:c>
      <x:c r="B409" s="1" t="str">
        <x:f>'Current inventory'!A31</x:f>
        <x:v>10</x:v>
      </x:c>
      <x:c r="C409" s="1" t="str">
        <x:f>'Current inventory'!B31</x:f>
        <x:v>800BNAVCSC</x:v>
      </x:c>
      <x:c r="D409" s="7" t="n">
        <x:f>A283</x:f>
        <x:v>46388</x:v>
      </x:c>
      <x:c r="E409" s="8" t="n">
        <x:f>L283</x:f>
        <x:v>0</x:v>
      </x:c>
      <x:c r="F409" s="8" t="n">
        <x:f>M283</x:f>
        <x:v>0</x:v>
      </x:c>
      <x:c r="G409" s="8" t="n">
        <x:f>N283</x:f>
        <x:v>0</x:v>
      </x:c>
      <x:c r="H409" s="8" t="n">
        <x:f>SUMIFS('PO detail'!$U$2:$U$672,'PO detail'!$A$2:$A$672,B409,'PO detail'!$B$2:$B$672,C409,'PO detail'!$G$2:$G$672,"&gt;="&amp;D409,'PO detail'!$G$2:$G$672,"&lt;"&amp;A409)</x:f>
        <x:v>0</x:v>
      </x:c>
      <x:c r="I409" s="8" t="n">
        <x:f>SUMIFS('PO detail'!$V$2:$V$672,'PO detail'!$A$2:$A$672,B409,'PO detail'!$B$2:$B$672,C409,'PO detail'!$G$2:$G$672,"&gt;="&amp;D409,'PO detail'!$G$2:$G$672,"&lt;"&amp;A409)</x:f>
        <x:v>0</x:v>
      </x:c>
      <x:c r="J409" s="8" t="n">
        <x:f>SUMIFS('PO detail'!$W$2:$W$672,'PO detail'!$A$2:$A$672,B409,'PO detail'!$B$2:$B$672,C409,'PO detail'!$G$2:$G$672,"&gt;="&amp;D409,'PO detail'!$G$2:$G$672,"&lt;"&amp;A409)</x:f>
        <x:v>0</x:v>
      </x:c>
      <x:c r="K409" s="8" t="n">
        <x:f>'Current inventory'!E31*Summary!$D$6*(A409-D409)/30.4375</x:f>
        <x:v>1103.3504722792607</x:v>
      </x:c>
      <x:c r="L409" s="8" t="n">
        <x:f>MAX(0,E409+H409-K409)</x:f>
        <x:v>0</x:v>
      </x:c>
      <x:c r="M409" s="8" t="n">
        <x:f>MAX(0,F409+I409-MAX(0,K409-E409-H409))</x:f>
        <x:v>0</x:v>
      </x:c>
      <x:c r="N409" s="8" t="n">
        <x:f>MAX(0,G409+J409-K409)</x:f>
        <x:v>0</x:v>
      </x:c>
      <x:c r="O409" s="8" t="n">
        <x:f>SUM(L409:N409)</x:f>
        <x:v>0</x:v>
      </x:c>
      <x:c r="P409" s="14" t="n">
        <x:f>'Current inventory'!V31</x:f>
        <x:v>0.2022</x:v>
      </x:c>
      <x:c r="Q409" s="14" t="str">
        <x:f>'Current inventory'!W31</x:f>
        <x:v>n.a.</x:v>
      </x:c>
      <x:c r="R409" s="10" t="n">
        <x:f>L409*P409</x:f>
        <x:v>0</x:v>
      </x:c>
      <x:c r="S409" s="10" t="n">
        <x:f>M409*P409</x:f>
        <x:v>0</x:v>
      </x:c>
      <x:c r="T409" s="10" t="n">
        <x:f>N409*P409</x:f>
        <x:v>0</x:v>
      </x:c>
      <x:c r="U409" s="10" t="n">
        <x:f>O409*P409</x:f>
        <x:v>0</x:v>
      </x:c>
      <x:c r="V409" s="10" t="str">
        <x:f>IF(ISNUMBER(Q409),O409*(Q409-P409),"n.a.")</x:f>
        <x:v>n.a.</x:v>
      </x:c>
      <x:c r="W409" s="10" t="n">
        <x:f>IF(ISNUMBER(Q409),U409,0)</x:f>
        <x:v>0</x:v>
      </x:c>
      <x:c r="X409" s="8" t="n">
        <x:f>MAX(0,K409-SUM(E409:J409))</x:f>
        <x:v>1103.3504722792607</x:v>
      </x:c>
      <x:c r="Y409" s="1" t="str">
        <x:f>IF(AND(O409&gt;0,NOT(ISNUMBER(Q409))),"No proposed replacement standard",IF(X409&gt;0,"Demand exceeds available stock",""))</x:f>
        <x:v>Demand exceeds available stock</x:v>
      </x:c>
      <x:c r="Z409" s="1" t="n">
        <x:f>IF(ISNUMBER(Q409),1,0)</x:f>
        <x:v>0</x:v>
      </x:c>
    </x:row>
    <x:row r="410" ht="21" customHeight="1">
      <x:c r="A410" s="17" t="n">
        <x:f>Summary!B18</x:f>
        <x:v>46419</x:v>
      </x:c>
      <x:c r="B410" s="1" t="str">
        <x:f>'Current inventory'!A32</x:f>
        <x:v>30</x:v>
      </x:c>
      <x:c r="C410" s="1" t="str">
        <x:f>'Current inventory'!B32</x:f>
        <x:v>800BBLKCSC</x:v>
      </x:c>
      <x:c r="D410" s="7" t="n">
        <x:f>A284</x:f>
        <x:v>46388</x:v>
      </x:c>
      <x:c r="E410" s="8" t="n">
        <x:f>L284</x:f>
        <x:v>0</x:v>
      </x:c>
      <x:c r="F410" s="8" t="n">
        <x:f>M284</x:f>
        <x:v>0</x:v>
      </x:c>
      <x:c r="G410" s="8" t="n">
        <x:f>N284</x:f>
        <x:v>1001.2228336755645</x:v>
      </x:c>
      <x:c r="H410" s="8" t="n">
        <x:f>SUMIFS('PO detail'!$U$2:$U$672,'PO detail'!$A$2:$A$672,B410,'PO detail'!$B$2:$B$672,C410,'PO detail'!$G$2:$G$672,"&gt;="&amp;D410,'PO detail'!$G$2:$G$672,"&lt;"&amp;A410)</x:f>
        <x:v>0</x:v>
      </x:c>
      <x:c r="I410" s="8" t="n">
        <x:f>SUMIFS('PO detail'!$V$2:$V$672,'PO detail'!$A$2:$A$672,B410,'PO detail'!$B$2:$B$672,C410,'PO detail'!$G$2:$G$672,"&gt;="&amp;D410,'PO detail'!$G$2:$G$672,"&lt;"&amp;A410)</x:f>
        <x:v>0</x:v>
      </x:c>
      <x:c r="J410" s="8" t="n">
        <x:f>SUMIFS('PO detail'!$W$2:$W$672,'PO detail'!$A$2:$A$672,B410,'PO detail'!$B$2:$B$672,C410,'PO detail'!$G$2:$G$672,"&gt;="&amp;D410,'PO detail'!$G$2:$G$672,"&lt;"&amp;A410)</x:f>
        <x:v>0</x:v>
      </x:c>
      <x:c r="K410" s="8" t="n">
        <x:f>'Current inventory'!E32*Summary!$D$6*(A410-D410)/30.4375</x:f>
        <x:v>959.0725256673511</x:v>
      </x:c>
      <x:c r="L410" s="8" t="n">
        <x:f>MAX(0,E410+H410-K410)</x:f>
        <x:v>0</x:v>
      </x:c>
      <x:c r="M410" s="8" t="n">
        <x:f>MAX(0,F410+I410-MAX(0,K410-E410-H410))</x:f>
        <x:v>0</x:v>
      </x:c>
      <x:c r="N410" s="8" t="n">
        <x:f>MAX(0,G410+J410-K410)</x:f>
        <x:v>42.150308008213415</x:v>
      </x:c>
      <x:c r="O410" s="8" t="n">
        <x:f>SUM(L410:N410)</x:f>
        <x:v>42.150308008213415</x:v>
      </x:c>
      <x:c r="P410" s="14" t="n">
        <x:f>'Current inventory'!V32</x:f>
        <x:v>0.1957</x:v>
      </x:c>
      <x:c r="Q410" s="14" t="str">
        <x:f>'Current inventory'!W32</x:f>
        <x:v>n.a.</x:v>
      </x:c>
      <x:c r="R410" s="10" t="n">
        <x:f>L410*P410</x:f>
        <x:v>0</x:v>
      </x:c>
      <x:c r="S410" s="10" t="n">
        <x:f>M410*P410</x:f>
        <x:v>0</x:v>
      </x:c>
      <x:c r="T410" s="10" t="n">
        <x:f>N410*P410</x:f>
        <x:v>8.248815277207365</x:v>
      </x:c>
      <x:c r="U410" s="10" t="n">
        <x:f>O410*P410</x:f>
        <x:v>8.248815277207365</x:v>
      </x:c>
      <x:c r="V410" s="10" t="str">
        <x:f>IF(ISNUMBER(Q410),O410*(Q410-P410),"n.a.")</x:f>
        <x:v>n.a.</x:v>
      </x:c>
      <x:c r="W410" s="10" t="n">
        <x:f>IF(ISNUMBER(Q410),U410,0)</x:f>
        <x:v>0</x:v>
      </x:c>
      <x:c r="X410" s="8" t="n">
        <x:f>MAX(0,K410-SUM(E410:J410))</x:f>
        <x:v>0</x:v>
      </x:c>
      <x:c r="Y410" s="1" t="str">
        <x:f>IF(AND(O410&gt;0,NOT(ISNUMBER(Q410))),"No proposed replacement standard",IF(X410&gt;0,"Demand exceeds available stock",""))</x:f>
        <x:v>No proposed replacement standard</x:v>
      </x:c>
      <x:c r="Z410" s="1" t="n">
        <x:f>IF(ISNUMBER(Q410),1,0)</x:f>
        <x:v>0</x:v>
      </x:c>
    </x:row>
    <x:row r="411" ht="21" customHeight="1">
      <x:c r="A411" s="17" t="n">
        <x:f>Summary!B18</x:f>
        <x:v>46419</x:v>
      </x:c>
      <x:c r="B411" s="1" t="str">
        <x:f>'Current inventory'!A33</x:f>
        <x:v>60</x:v>
      </x:c>
      <x:c r="C411" s="1" t="str">
        <x:f>'Current inventory'!B33</x:f>
        <x:v>800BNAVCSC</x:v>
      </x:c>
      <x:c r="D411" s="7" t="n">
        <x:f>A285</x:f>
        <x:v>46388</x:v>
      </x:c>
      <x:c r="E411" s="8" t="n">
        <x:f>L285</x:f>
        <x:v>0</x:v>
      </x:c>
      <x:c r="F411" s="8" t="n">
        <x:f>M285</x:f>
        <x:v>0</x:v>
      </x:c>
      <x:c r="G411" s="8" t="n">
        <x:f>N285</x:f>
        <x:v>1792.1971252566736</x:v>
      </x:c>
      <x:c r="H411" s="8" t="n">
        <x:f>SUMIFS('PO detail'!$U$2:$U$672,'PO detail'!$A$2:$A$672,B411,'PO detail'!$B$2:$B$672,C411,'PO detail'!$G$2:$G$672,"&gt;="&amp;D411,'PO detail'!$G$2:$G$672,"&lt;"&amp;A411)</x:f>
        <x:v>0</x:v>
      </x:c>
      <x:c r="I411" s="8" t="n">
        <x:f>SUMIFS('PO detail'!$V$2:$V$672,'PO detail'!$A$2:$A$672,B411,'PO detail'!$B$2:$B$672,C411,'PO detail'!$G$2:$G$672,"&gt;="&amp;D411,'PO detail'!$G$2:$G$672,"&lt;"&amp;A411)</x:f>
        <x:v>0</x:v>
      </x:c>
      <x:c r="J411" s="8" t="n">
        <x:f>SUMIFS('PO detail'!$W$2:$W$672,'PO detail'!$A$2:$A$672,B411,'PO detail'!$B$2:$B$672,C411,'PO detail'!$G$2:$G$672,"&gt;="&amp;D411,'PO detail'!$G$2:$G$672,"&lt;"&amp;A411)</x:f>
        <x:v>0</x:v>
      </x:c>
      <x:c r="K411" s="8" t="n">
        <x:f>'Current inventory'!E33*Summary!$D$6*(A411-D411)/30.4375</x:f>
        <x:v>814.7843942505134</x:v>
      </x:c>
      <x:c r="L411" s="8" t="n">
        <x:f>MAX(0,E411+H411-K411)</x:f>
        <x:v>0</x:v>
      </x:c>
      <x:c r="M411" s="8" t="n">
        <x:f>MAX(0,F411+I411-MAX(0,K411-E411-H411))</x:f>
        <x:v>0</x:v>
      </x:c>
      <x:c r="N411" s="8" t="n">
        <x:f>MAX(0,G411+J411-K411)</x:f>
        <x:v>977.4127310061602</x:v>
      </x:c>
      <x:c r="O411" s="8" t="n">
        <x:f>SUM(L411:N411)</x:f>
        <x:v>977.4127310061602</x:v>
      </x:c>
      <x:c r="P411" s="14" t="n">
        <x:f>'Current inventory'!V33</x:f>
        <x:v>0.2022</x:v>
      </x:c>
      <x:c r="Q411" s="14" t="str">
        <x:f>'Current inventory'!W33</x:f>
        <x:v>n.a.</x:v>
      </x:c>
      <x:c r="R411" s="10" t="n">
        <x:f>L411*P411</x:f>
        <x:v>0</x:v>
      </x:c>
      <x:c r="S411" s="10" t="n">
        <x:f>M411*P411</x:f>
        <x:v>0</x:v>
      </x:c>
      <x:c r="T411" s="10" t="n">
        <x:f>N411*P411</x:f>
        <x:v>197.63285420944558</x:v>
      </x:c>
      <x:c r="U411" s="10" t="n">
        <x:f>O411*P411</x:f>
        <x:v>197.63285420944558</x:v>
      </x:c>
      <x:c r="V411" s="10" t="str">
        <x:f>IF(ISNUMBER(Q411),O411*(Q411-P411),"n.a.")</x:f>
        <x:v>n.a.</x:v>
      </x:c>
      <x:c r="W411" s="10" t="n">
        <x:f>IF(ISNUMBER(Q411),U411,0)</x:f>
        <x:v>0</x:v>
      </x:c>
      <x:c r="X411" s="8" t="n">
        <x:f>MAX(0,K411-SUM(E411:J411))</x:f>
        <x:v>0</x:v>
      </x:c>
      <x:c r="Y411" s="1" t="str">
        <x:f>IF(AND(O411&gt;0,NOT(ISNUMBER(Q411))),"No proposed replacement standard",IF(X411&gt;0,"Demand exceeds available stock",""))</x:f>
        <x:v>No proposed replacement standard</x:v>
      </x:c>
      <x:c r="Z411" s="1" t="n">
        <x:f>IF(ISNUMBER(Q411),1,0)</x:f>
        <x:v>0</x:v>
      </x:c>
    </x:row>
    <x:row r="412" ht="21" customHeight="1">
      <x:c r="A412" s="17" t="n">
        <x:f>Summary!B18</x:f>
        <x:v>46419</x:v>
      </x:c>
      <x:c r="B412" s="1" t="str">
        <x:f>'Current inventory'!A34</x:f>
        <x:v>30</x:v>
      </x:c>
      <x:c r="C412" s="1" t="str">
        <x:f>'Current inventory'!B34</x:f>
        <x:v>800BNAVISC</x:v>
      </x:c>
      <x:c r="D412" s="7" t="n">
        <x:f>A286</x:f>
        <x:v>46388</x:v>
      </x:c>
      <x:c r="E412" s="8" t="n">
        <x:f>L286</x:f>
        <x:v>0</x:v>
      </x:c>
      <x:c r="F412" s="8" t="n">
        <x:f>M286</x:f>
        <x:v>0</x:v>
      </x:c>
      <x:c r="G412" s="8" t="n">
        <x:f>N286</x:f>
        <x:v>0</x:v>
      </x:c>
      <x:c r="H412" s="8" t="n">
        <x:f>SUMIFS('PO detail'!$U$2:$U$672,'PO detail'!$A$2:$A$672,B412,'PO detail'!$B$2:$B$672,C412,'PO detail'!$G$2:$G$672,"&gt;="&amp;D412,'PO detail'!$G$2:$G$672,"&lt;"&amp;A412)</x:f>
        <x:v>0</x:v>
      </x:c>
      <x:c r="I412" s="8" t="n">
        <x:f>SUMIFS('PO detail'!$V$2:$V$672,'PO detail'!$A$2:$A$672,B412,'PO detail'!$B$2:$B$672,C412,'PO detail'!$G$2:$G$672,"&gt;="&amp;D412,'PO detail'!$G$2:$G$672,"&lt;"&amp;A412)</x:f>
        <x:v>0</x:v>
      </x:c>
      <x:c r="J412" s="8" t="n">
        <x:f>SUMIFS('PO detail'!$W$2:$W$672,'PO detail'!$A$2:$A$672,B412,'PO detail'!$B$2:$B$672,C412,'PO detail'!$G$2:$G$672,"&gt;="&amp;D412,'PO detail'!$G$2:$G$672,"&lt;"&amp;A412)</x:f>
        <x:v>0</x:v>
      </x:c>
      <x:c r="K412" s="8" t="n">
        <x:f>'Current inventory'!E34*Summary!$D$6*(A412-D412)/30.4375</x:f>
        <x:v>611.088295687885</x:v>
      </x:c>
      <x:c r="L412" s="8" t="n">
        <x:f>MAX(0,E412+H412-K412)</x:f>
        <x:v>0</x:v>
      </x:c>
      <x:c r="M412" s="8" t="n">
        <x:f>MAX(0,F412+I412-MAX(0,K412-E412-H412))</x:f>
        <x:v>0</x:v>
      </x:c>
      <x:c r="N412" s="8" t="n">
        <x:f>MAX(0,G412+J412-K412)</x:f>
        <x:v>0</x:v>
      </x:c>
      <x:c r="O412" s="8" t="n">
        <x:f>SUM(L412:N412)</x:f>
        <x:v>0</x:v>
      </x:c>
      <x:c r="P412" s="14" t="n">
        <x:f>'Current inventory'!V34</x:f>
        <x:v>0.16870000000000002</x:v>
      </x:c>
      <x:c r="Q412" s="14" t="str">
        <x:f>'Current inventory'!W34</x:f>
        <x:v>n.a.</x:v>
      </x:c>
      <x:c r="R412" s="10" t="n">
        <x:f>L412*P412</x:f>
        <x:v>0</x:v>
      </x:c>
      <x:c r="S412" s="10" t="n">
        <x:f>M412*P412</x:f>
        <x:v>0</x:v>
      </x:c>
      <x:c r="T412" s="10" t="n">
        <x:f>N412*P412</x:f>
        <x:v>0</x:v>
      </x:c>
      <x:c r="U412" s="10" t="n">
        <x:f>O412*P412</x:f>
        <x:v>0</x:v>
      </x:c>
      <x:c r="V412" s="10" t="str">
        <x:f>IF(ISNUMBER(Q412),O412*(Q412-P412),"n.a.")</x:f>
        <x:v>n.a.</x:v>
      </x:c>
      <x:c r="W412" s="10" t="n">
        <x:f>IF(ISNUMBER(Q412),U412,0)</x:f>
        <x:v>0</x:v>
      </x:c>
      <x:c r="X412" s="8" t="n">
        <x:f>MAX(0,K412-SUM(E412:J412))</x:f>
        <x:v>611.088295687885</x:v>
      </x:c>
      <x:c r="Y412" s="1" t="str">
        <x:f>IF(AND(O412&gt;0,NOT(ISNUMBER(Q412))),"No proposed replacement standard",IF(X412&gt;0,"Demand exceeds available stock",""))</x:f>
        <x:v>Demand exceeds available stock</x:v>
      </x:c>
      <x:c r="Z412" s="1" t="n">
        <x:f>IF(ISNUMBER(Q412),1,0)</x:f>
        <x:v>0</x:v>
      </x:c>
    </x:row>
    <x:row r="413" ht="21" customHeight="1">
      <x:c r="A413" s="17" t="n">
        <x:f>Summary!B18</x:f>
        <x:v>46419</x:v>
      </x:c>
      <x:c r="B413" s="1" t="str">
        <x:f>'Current inventory'!A35</x:f>
        <x:v>10</x:v>
      </x:c>
      <x:c r="C413" s="1" t="str">
        <x:f>'Current inventory'!B35</x:f>
        <x:v>800BMARDSC</x:v>
      </x:c>
      <x:c r="D413" s="7" t="n">
        <x:f>A287</x:f>
        <x:v>46388</x:v>
      </x:c>
      <x:c r="E413" s="8" t="n">
        <x:f>L287</x:f>
        <x:v>0</x:v>
      </x:c>
      <x:c r="F413" s="8" t="n">
        <x:f>M287</x:f>
        <x:v>0</x:v>
      </x:c>
      <x:c r="G413" s="8" t="n">
        <x:f>N287</x:f>
        <x:v>0</x:v>
      </x:c>
      <x:c r="H413" s="8" t="n">
        <x:f>SUMIFS('PO detail'!$U$2:$U$672,'PO detail'!$A$2:$A$672,B413,'PO detail'!$B$2:$B$672,C413,'PO detail'!$G$2:$G$672,"&gt;="&amp;D413,'PO detail'!$G$2:$G$672,"&lt;"&amp;A413)</x:f>
        <x:v>0</x:v>
      </x:c>
      <x:c r="I413" s="8" t="n">
        <x:f>SUMIFS('PO detail'!$V$2:$V$672,'PO detail'!$A$2:$A$672,B413,'PO detail'!$B$2:$B$672,C413,'PO detail'!$G$2:$G$672,"&gt;="&amp;D413,'PO detail'!$G$2:$G$672,"&lt;"&amp;A413)</x:f>
        <x:v>0</x:v>
      </x:c>
      <x:c r="J413" s="8" t="n">
        <x:f>SUMIFS('PO detail'!$W$2:$W$672,'PO detail'!$A$2:$A$672,B413,'PO detail'!$B$2:$B$672,C413,'PO detail'!$G$2:$G$672,"&gt;="&amp;D413,'PO detail'!$G$2:$G$672,"&lt;"&amp;A413)</x:f>
        <x:v>0</x:v>
      </x:c>
      <x:c r="K413" s="8" t="n">
        <x:f>'Current inventory'!E35*Summary!$D$6*(A413-D413)/30.4375</x:f>
        <x:v>466.81034907597535</x:v>
      </x:c>
      <x:c r="L413" s="8" t="n">
        <x:f>MAX(0,E413+H413-K413)</x:f>
        <x:v>0</x:v>
      </x:c>
      <x:c r="M413" s="8" t="n">
        <x:f>MAX(0,F413+I413-MAX(0,K413-E413-H413))</x:f>
        <x:v>0</x:v>
      </x:c>
      <x:c r="N413" s="8" t="n">
        <x:f>MAX(0,G413+J413-K413)</x:f>
        <x:v>0</x:v>
      </x:c>
      <x:c r="O413" s="8" t="n">
        <x:f>SUM(L413:N413)</x:f>
        <x:v>0</x:v>
      </x:c>
      <x:c r="P413" s="14" t="n">
        <x:f>'Current inventory'!V35</x:f>
        <x:v>0.3998</x:v>
      </x:c>
      <x:c r="Q413" s="14" t="str">
        <x:f>'Current inventory'!W35</x:f>
        <x:v>n.a.</x:v>
      </x:c>
      <x:c r="R413" s="10" t="n">
        <x:f>L413*P413</x:f>
        <x:v>0</x:v>
      </x:c>
      <x:c r="S413" s="10" t="n">
        <x:f>M413*P413</x:f>
        <x:v>0</x:v>
      </x:c>
      <x:c r="T413" s="10" t="n">
        <x:f>N413*P413</x:f>
        <x:v>0</x:v>
      </x:c>
      <x:c r="U413" s="10" t="n">
        <x:f>O413*P413</x:f>
        <x:v>0</x:v>
      </x:c>
      <x:c r="V413" s="10" t="str">
        <x:f>IF(ISNUMBER(Q413),O413*(Q413-P413),"n.a.")</x:f>
        <x:v>n.a.</x:v>
      </x:c>
      <x:c r="W413" s="10" t="n">
        <x:f>IF(ISNUMBER(Q413),U413,0)</x:f>
        <x:v>0</x:v>
      </x:c>
      <x:c r="X413" s="8" t="n">
        <x:f>MAX(0,K413-SUM(E413:J413))</x:f>
        <x:v>466.81034907597535</x:v>
      </x:c>
      <x:c r="Y413" s="1" t="str">
        <x:f>IF(AND(O413&gt;0,NOT(ISNUMBER(Q413))),"No proposed replacement standard",IF(X413&gt;0,"Demand exceeds available stock",""))</x:f>
        <x:v>Demand exceeds available stock</x:v>
      </x:c>
      <x:c r="Z413" s="1" t="n">
        <x:f>IF(ISNUMBER(Q413),1,0)</x:f>
        <x:v>0</x:v>
      </x:c>
    </x:row>
    <x:row r="414" ht="21" customHeight="1">
      <x:c r="A414" s="17" t="n">
        <x:f>Summary!B18</x:f>
        <x:v>46419</x:v>
      </x:c>
      <x:c r="B414" s="1" t="str">
        <x:f>'Current inventory'!A36</x:f>
        <x:v>10</x:v>
      </x:c>
      <x:c r="C414" s="1" t="str">
        <x:f>'Current inventory'!B36</x:f>
        <x:v>800BMARISC</x:v>
      </x:c>
      <x:c r="D414" s="7" t="n">
        <x:f>A288</x:f>
        <x:v>46388</x:v>
      </x:c>
      <x:c r="E414" s="8" t="n">
        <x:f>L288</x:f>
        <x:v>0</x:v>
      </x:c>
      <x:c r="F414" s="8" t="n">
        <x:f>M288</x:f>
        <x:v>0</x:v>
      </x:c>
      <x:c r="G414" s="8" t="n">
        <x:f>N288</x:f>
        <x:v>658.1108829568789</x:v>
      </x:c>
      <x:c r="H414" s="8" t="n">
        <x:f>SUMIFS('PO detail'!$U$2:$U$672,'PO detail'!$A$2:$A$672,B414,'PO detail'!$B$2:$B$672,C414,'PO detail'!$G$2:$G$672,"&gt;="&amp;D414,'PO detail'!$G$2:$G$672,"&lt;"&amp;A414)</x:f>
        <x:v>0</x:v>
      </x:c>
      <x:c r="I414" s="8" t="n">
        <x:f>SUMIFS('PO detail'!$V$2:$V$672,'PO detail'!$A$2:$A$672,B414,'PO detail'!$B$2:$B$672,C414,'PO detail'!$G$2:$G$672,"&gt;="&amp;D414,'PO detail'!$G$2:$G$672,"&lt;"&amp;A414)</x:f>
        <x:v>0</x:v>
      </x:c>
      <x:c r="J414" s="8" t="n">
        <x:f>SUMIFS('PO detail'!$W$2:$W$672,'PO detail'!$A$2:$A$672,B414,'PO detail'!$B$2:$B$672,C414,'PO detail'!$G$2:$G$672,"&gt;="&amp;D414,'PO detail'!$G$2:$G$672,"&lt;"&amp;A414)</x:f>
        <x:v>0</x:v>
      </x:c>
      <x:c r="K414" s="8" t="n">
        <x:f>'Current inventory'!E36*Summary!$D$6*(A414-D414)/30.4375</x:f>
        <x:v>458.3162217659138</x:v>
      </x:c>
      <x:c r="L414" s="8" t="n">
        <x:f>MAX(0,E414+H414-K414)</x:f>
        <x:v>0</x:v>
      </x:c>
      <x:c r="M414" s="8" t="n">
        <x:f>MAX(0,F414+I414-MAX(0,K414-E414-H414))</x:f>
        <x:v>0</x:v>
      </x:c>
      <x:c r="N414" s="8" t="n">
        <x:f>MAX(0,G414+J414-K414)</x:f>
        <x:v>199.7946611909651</x:v>
      </x:c>
      <x:c r="O414" s="8" t="n">
        <x:f>SUM(L414:N414)</x:f>
        <x:v>199.7946611909651</x:v>
      </x:c>
      <x:c r="P414" s="14" t="n">
        <x:f>'Current inventory'!V36</x:f>
        <x:v>0.1946</x:v>
      </x:c>
      <x:c r="Q414" s="14" t="str">
        <x:f>'Current inventory'!W36</x:f>
        <x:v>n.a.</x:v>
      </x:c>
      <x:c r="R414" s="10" t="n">
        <x:f>L414*P414</x:f>
        <x:v>0</x:v>
      </x:c>
      <x:c r="S414" s="10" t="n">
        <x:f>M414*P414</x:f>
        <x:v>0</x:v>
      </x:c>
      <x:c r="T414" s="10" t="n">
        <x:f>N414*P414</x:f>
        <x:v>38.8800410677618</x:v>
      </x:c>
      <x:c r="U414" s="10" t="n">
        <x:f>O414*P414</x:f>
        <x:v>38.8800410677618</x:v>
      </x:c>
      <x:c r="V414" s="10" t="str">
        <x:f>IF(ISNUMBER(Q414),O414*(Q414-P414),"n.a.")</x:f>
        <x:v>n.a.</x:v>
      </x:c>
      <x:c r="W414" s="10" t="n">
        <x:f>IF(ISNUMBER(Q414),U414,0)</x:f>
        <x:v>0</x:v>
      </x:c>
      <x:c r="X414" s="8" t="n">
        <x:f>MAX(0,K414-SUM(E414:J414))</x:f>
        <x:v>0</x:v>
      </x:c>
      <x:c r="Y414" s="1" t="str">
        <x:f>IF(AND(O414&gt;0,NOT(ISNUMBER(Q414))),"No proposed replacement standard",IF(X414&gt;0,"Demand exceeds available stock",""))</x:f>
        <x:v>No proposed replacement standard</x:v>
      </x:c>
      <x:c r="Z414" s="1" t="n">
        <x:f>IF(ISNUMBER(Q414),1,0)</x:f>
        <x:v>0</x:v>
      </x:c>
    </x:row>
    <x:row r="415" ht="21" customHeight="1">
      <x:c r="A415" s="17" t="n">
        <x:f>Summary!B18</x:f>
        <x:v>46419</x:v>
      </x:c>
      <x:c r="B415" s="1" t="str">
        <x:f>'Current inventory'!A37</x:f>
        <x:v>30</x:v>
      </x:c>
      <x:c r="C415" s="1" t="str">
        <x:f>'Current inventory'!B37</x:f>
        <x:v>800BNAVBRC</x:v>
      </x:c>
      <x:c r="D415" s="7" t="n">
        <x:f>A289</x:f>
        <x:v>46388</x:v>
      </x:c>
      <x:c r="E415" s="8" t="n">
        <x:f>L289</x:f>
        <x:v>0</x:v>
      </x:c>
      <x:c r="F415" s="8" t="n">
        <x:f>M289</x:f>
        <x:v>0</x:v>
      </x:c>
      <x:c r="G415" s="8" t="n">
        <x:f>N289</x:f>
        <x:v>596.0985626283368</x:v>
      </x:c>
      <x:c r="H415" s="8" t="n">
        <x:f>SUMIFS('PO detail'!$U$2:$U$672,'PO detail'!$A$2:$A$672,B415,'PO detail'!$B$2:$B$672,C415,'PO detail'!$G$2:$G$672,"&gt;="&amp;D415,'PO detail'!$G$2:$G$672,"&lt;"&amp;A415)</x:f>
        <x:v>0</x:v>
      </x:c>
      <x:c r="I415" s="8" t="n">
        <x:f>SUMIFS('PO detail'!$V$2:$V$672,'PO detail'!$A$2:$A$672,B415,'PO detail'!$B$2:$B$672,C415,'PO detail'!$G$2:$G$672,"&gt;="&amp;D415,'PO detail'!$G$2:$G$672,"&lt;"&amp;A415)</x:f>
        <x:v>0</x:v>
      </x:c>
      <x:c r="J415" s="8" t="n">
        <x:f>SUMIFS('PO detail'!$W$2:$W$672,'PO detail'!$A$2:$A$672,B415,'PO detail'!$B$2:$B$672,C415,'PO detail'!$G$2:$G$672,"&gt;="&amp;D415,'PO detail'!$G$2:$G$672,"&lt;"&amp;A415)</x:f>
        <x:v>0</x:v>
      </x:c>
      <x:c r="K415" s="8" t="n">
        <x:f>'Current inventory'!E37*Summary!$D$6*(A415-D415)/30.4375</x:f>
        <x:v>407.3921971252567</x:v>
      </x:c>
      <x:c r="L415" s="8" t="n">
        <x:f>MAX(0,E415+H415-K415)</x:f>
        <x:v>0</x:v>
      </x:c>
      <x:c r="M415" s="8" t="n">
        <x:f>MAX(0,F415+I415-MAX(0,K415-E415-H415))</x:f>
        <x:v>0</x:v>
      </x:c>
      <x:c r="N415" s="8" t="n">
        <x:f>MAX(0,G415+J415-K415)</x:f>
        <x:v>188.70636550308012</x:v>
      </x:c>
      <x:c r="O415" s="8" t="n">
        <x:f>SUM(L415:N415)</x:f>
        <x:v>188.70636550308012</x:v>
      </x:c>
      <x:c r="P415" s="14" t="n">
        <x:f>'Current inventory'!V37</x:f>
        <x:v>0.17370000000000002</x:v>
      </x:c>
      <x:c r="Q415" s="14" t="str">
        <x:f>'Current inventory'!W37</x:f>
        <x:v>n.a.</x:v>
      </x:c>
      <x:c r="R415" s="10" t="n">
        <x:f>L415*P415</x:f>
        <x:v>0</x:v>
      </x:c>
      <x:c r="S415" s="10" t="n">
        <x:f>M415*P415</x:f>
        <x:v>0</x:v>
      </x:c>
      <x:c r="T415" s="10" t="n">
        <x:f>N415*P415</x:f>
        <x:v>32.77829568788502</x:v>
      </x:c>
      <x:c r="U415" s="10" t="n">
        <x:f>O415*P415</x:f>
        <x:v>32.77829568788502</x:v>
      </x:c>
      <x:c r="V415" s="10" t="str">
        <x:f>IF(ISNUMBER(Q415),O415*(Q415-P415),"n.a.")</x:f>
        <x:v>n.a.</x:v>
      </x:c>
      <x:c r="W415" s="10" t="n">
        <x:f>IF(ISNUMBER(Q415),U415,0)</x:f>
        <x:v>0</x:v>
      </x:c>
      <x:c r="X415" s="8" t="n">
        <x:f>MAX(0,K415-SUM(E415:J415))</x:f>
        <x:v>0</x:v>
      </x:c>
      <x:c r="Y415" s="1" t="str">
        <x:f>IF(AND(O415&gt;0,NOT(ISNUMBER(Q415))),"No proposed replacement standard",IF(X415&gt;0,"Demand exceeds available stock",""))</x:f>
        <x:v>No proposed replacement standard</x:v>
      </x:c>
      <x:c r="Z415" s="1" t="n">
        <x:f>IF(ISNUMBER(Q415),1,0)</x:f>
        <x:v>0</x:v>
      </x:c>
    </x:row>
    <x:row r="416" ht="21" customHeight="1">
      <x:c r="A416" s="17" t="n">
        <x:f>Summary!B18</x:f>
        <x:v>46419</x:v>
      </x:c>
      <x:c r="B416" s="1" t="str">
        <x:f>'Current inventory'!A38</x:f>
        <x:v>10</x:v>
      </x:c>
      <x:c r="C416" s="1" t="str">
        <x:f>'Current inventory'!B38</x:f>
        <x:v>800BMARBRC</x:v>
      </x:c>
      <x:c r="D416" s="7" t="n">
        <x:f>A290</x:f>
        <x:v>46388</x:v>
      </x:c>
      <x:c r="E416" s="8" t="n">
        <x:f>L290</x:f>
        <x:v>0</x:v>
      </x:c>
      <x:c r="F416" s="8" t="n">
        <x:f>M290</x:f>
        <x:v>0</x:v>
      </x:c>
      <x:c r="G416" s="8" t="n">
        <x:f>N290</x:f>
        <x:v>2365.092402464066</x:v>
      </x:c>
      <x:c r="H416" s="8" t="n">
        <x:f>SUMIFS('PO detail'!$U$2:$U$672,'PO detail'!$A$2:$A$672,B416,'PO detail'!$B$2:$B$672,C416,'PO detail'!$G$2:$G$672,"&gt;="&amp;D416,'PO detail'!$G$2:$G$672,"&lt;"&amp;A416)</x:f>
        <x:v>0</x:v>
      </x:c>
      <x:c r="I416" s="8" t="n">
        <x:f>SUMIFS('PO detail'!$V$2:$V$672,'PO detail'!$A$2:$A$672,B416,'PO detail'!$B$2:$B$672,C416,'PO detail'!$G$2:$G$672,"&gt;="&amp;D416,'PO detail'!$G$2:$G$672,"&lt;"&amp;A416)</x:f>
        <x:v>0</x:v>
      </x:c>
      <x:c r="J416" s="8" t="n">
        <x:f>SUMIFS('PO detail'!$W$2:$W$672,'PO detail'!$A$2:$A$672,B416,'PO detail'!$B$2:$B$672,C416,'PO detail'!$G$2:$G$672,"&gt;="&amp;D416,'PO detail'!$G$2:$G$672,"&lt;"&amp;A416)</x:f>
        <x:v>0</x:v>
      </x:c>
      <x:c r="K416" s="8" t="n">
        <x:f>'Current inventory'!E38*Summary!$D$6*(A416-D416)/30.4375</x:f>
        <x:v>381.9301848049281</x:v>
      </x:c>
      <x:c r="L416" s="8" t="n">
        <x:f>MAX(0,E416+H416-K416)</x:f>
        <x:v>0</x:v>
      </x:c>
      <x:c r="M416" s="8" t="n">
        <x:f>MAX(0,F416+I416-MAX(0,K416-E416-H416))</x:f>
        <x:v>0</x:v>
      </x:c>
      <x:c r="N416" s="8" t="n">
        <x:f>MAX(0,G416+J416-K416)</x:f>
        <x:v>1983.1622176591377</x:v>
      </x:c>
      <x:c r="O416" s="8" t="n">
        <x:f>SUM(L416:N416)</x:f>
        <x:v>1983.1622176591377</x:v>
      </x:c>
      <x:c r="P416" s="14" t="n">
        <x:f>'Current inventory'!V38</x:f>
        <x:v>0.1996</x:v>
      </x:c>
      <x:c r="Q416" s="14" t="str">
        <x:f>'Current inventory'!W38</x:f>
        <x:v>n.a.</x:v>
      </x:c>
      <x:c r="R416" s="10" t="n">
        <x:f>L416*P416</x:f>
        <x:v>0</x:v>
      </x:c>
      <x:c r="S416" s="10" t="n">
        <x:f>M416*P416</x:f>
        <x:v>0</x:v>
      </x:c>
      <x:c r="T416" s="10" t="n">
        <x:f>N416*P416</x:f>
        <x:v>395.8391786447639</x:v>
      </x:c>
      <x:c r="U416" s="10" t="n">
        <x:f>O416*P416</x:f>
        <x:v>395.8391786447639</x:v>
      </x:c>
      <x:c r="V416" s="10" t="str">
        <x:f>IF(ISNUMBER(Q416),O416*(Q416-P416),"n.a.")</x:f>
        <x:v>n.a.</x:v>
      </x:c>
      <x:c r="W416" s="10" t="n">
        <x:f>IF(ISNUMBER(Q416),U416,0)</x:f>
        <x:v>0</x:v>
      </x:c>
      <x:c r="X416" s="8" t="n">
        <x:f>MAX(0,K416-SUM(E416:J416))</x:f>
        <x:v>0</x:v>
      </x:c>
      <x:c r="Y416" s="1" t="str">
        <x:f>IF(AND(O416&gt;0,NOT(ISNUMBER(Q416))),"No proposed replacement standard",IF(X416&gt;0,"Demand exceeds available stock",""))</x:f>
        <x:v>No proposed replacement standard</x:v>
      </x:c>
      <x:c r="Z416" s="1" t="n">
        <x:f>IF(ISNUMBER(Q416),1,0)</x:f>
        <x:v>0</x:v>
      </x:c>
    </x:row>
    <x:row r="417" ht="21" customHeight="1">
      <x:c r="A417" s="17" t="n">
        <x:f>Summary!B18</x:f>
        <x:v>46419</x:v>
      </x:c>
      <x:c r="B417" s="1" t="str">
        <x:f>'Current inventory'!A39</x:f>
        <x:v>30</x:v>
      </x:c>
      <x:c r="C417" s="1" t="str">
        <x:f>'Current inventory'!B39</x:f>
        <x:v>800BBLKBRC</x:v>
      </x:c>
      <x:c r="D417" s="7" t="n">
        <x:f>A291</x:f>
        <x:v>46388</x:v>
      </x:c>
      <x:c r="E417" s="8" t="n">
        <x:f>L291</x:f>
        <x:v>0</x:v>
      </x:c>
      <x:c r="F417" s="8" t="n">
        <x:f>M291</x:f>
        <x:v>0</x:v>
      </x:c>
      <x:c r="G417" s="8" t="n">
        <x:f>N291</x:f>
        <x:v>1348.0492813141684</x:v>
      </x:c>
      <x:c r="H417" s="8" t="n">
        <x:f>SUMIFS('PO detail'!$U$2:$U$672,'PO detail'!$A$2:$A$672,B417,'PO detail'!$B$2:$B$672,C417,'PO detail'!$G$2:$G$672,"&gt;="&amp;D417,'PO detail'!$G$2:$G$672,"&lt;"&amp;A417)</x:f>
        <x:v>0</x:v>
      </x:c>
      <x:c r="I417" s="8" t="n">
        <x:f>SUMIFS('PO detail'!$V$2:$V$672,'PO detail'!$A$2:$A$672,B417,'PO detail'!$B$2:$B$672,C417,'PO detail'!$G$2:$G$672,"&gt;="&amp;D417,'PO detail'!$G$2:$G$672,"&lt;"&amp;A417)</x:f>
        <x:v>0</x:v>
      </x:c>
      <x:c r="J417" s="8" t="n">
        <x:f>SUMIFS('PO detail'!$W$2:$W$672,'PO detail'!$A$2:$A$672,B417,'PO detail'!$B$2:$B$672,C417,'PO detail'!$G$2:$G$672,"&gt;="&amp;D417,'PO detail'!$G$2:$G$672,"&lt;"&amp;A417)</x:f>
        <x:v>0</x:v>
      </x:c>
      <x:c r="K417" s="8" t="n">
        <x:f>'Current inventory'!E39*Summary!$D$6*(A417-D417)/30.4375</x:f>
        <x:v>203.69609856262835</x:v>
      </x:c>
      <x:c r="L417" s="8" t="n">
        <x:f>MAX(0,E417+H417-K417)</x:f>
        <x:v>0</x:v>
      </x:c>
      <x:c r="M417" s="8" t="n">
        <x:f>MAX(0,F417+I417-MAX(0,K417-E417-H417))</x:f>
        <x:v>0</x:v>
      </x:c>
      <x:c r="N417" s="8" t="n">
        <x:f>MAX(0,G417+J417-K417)</x:f>
        <x:v>1144.35318275154</x:v>
      </x:c>
      <x:c r="O417" s="8" t="n">
        <x:f>SUM(L417:N417)</x:f>
        <x:v>1144.35318275154</x:v>
      </x:c>
      <x:c r="P417" s="14" t="n">
        <x:f>'Current inventory'!V39</x:f>
        <x:v>0.16829999999999998</x:v>
      </x:c>
      <x:c r="Q417" s="14" t="str">
        <x:f>'Current inventory'!W39</x:f>
        <x:v>n.a.</x:v>
      </x:c>
      <x:c r="R417" s="10" t="n">
        <x:f>L417*P417</x:f>
        <x:v>0</x:v>
      </x:c>
      <x:c r="S417" s="10" t="n">
        <x:f>M417*P417</x:f>
        <x:v>0</x:v>
      </x:c>
      <x:c r="T417" s="10" t="n">
        <x:f>N417*P417</x:f>
        <x:v>192.59464065708417</x:v>
      </x:c>
      <x:c r="U417" s="10" t="n">
        <x:f>O417*P417</x:f>
        <x:v>192.59464065708417</x:v>
      </x:c>
      <x:c r="V417" s="10" t="str">
        <x:f>IF(ISNUMBER(Q417),O417*(Q417-P417),"n.a.")</x:f>
        <x:v>n.a.</x:v>
      </x:c>
      <x:c r="W417" s="10" t="n">
        <x:f>IF(ISNUMBER(Q417),U417,0)</x:f>
        <x:v>0</x:v>
      </x:c>
      <x:c r="X417" s="8" t="n">
        <x:f>MAX(0,K417-SUM(E417:J417))</x:f>
        <x:v>0</x:v>
      </x:c>
      <x:c r="Y417" s="1" t="str">
        <x:f>IF(AND(O417&gt;0,NOT(ISNUMBER(Q417))),"No proposed replacement standard",IF(X417&gt;0,"Demand exceeds available stock",""))</x:f>
        <x:v>No proposed replacement standard</x:v>
      </x:c>
      <x:c r="Z417" s="1" t="n">
        <x:f>IF(ISNUMBER(Q417),1,0)</x:f>
        <x:v>0</x:v>
      </x:c>
    </x:row>
    <x:row r="418" ht="21" customHeight="1">
      <x:c r="A418" s="17" t="n">
        <x:f>Summary!B18</x:f>
        <x:v>46419</x:v>
      </x:c>
      <x:c r="B418" s="1" t="str">
        <x:f>'Current inventory'!A40</x:f>
        <x:v>30</x:v>
      </x:c>
      <x:c r="C418" s="1" t="str">
        <x:f>'Current inventory'!B40</x:f>
        <x:v>800BNAVCSC</x:v>
      </x:c>
      <x:c r="D418" s="7" t="n">
        <x:f>A292</x:f>
        <x:v>46388</x:v>
      </x:c>
      <x:c r="E418" s="8" t="n">
        <x:f>L292</x:f>
        <x:v>0</x:v>
      </x:c>
      <x:c r="F418" s="8" t="n">
        <x:f>M292</x:f>
        <x:v>0</x:v>
      </x:c>
      <x:c r="G418" s="8" t="n">
        <x:f>N292</x:f>
        <x:v>0</x:v>
      </x:c>
      <x:c r="H418" s="8" t="n">
        <x:f>SUMIFS('PO detail'!$U$2:$U$672,'PO detail'!$A$2:$A$672,B418,'PO detail'!$B$2:$B$672,C418,'PO detail'!$G$2:$G$672,"&gt;="&amp;D418,'PO detail'!$G$2:$G$672,"&lt;"&amp;A418)</x:f>
        <x:v>0</x:v>
      </x:c>
      <x:c r="I418" s="8" t="n">
        <x:f>SUMIFS('PO detail'!$V$2:$V$672,'PO detail'!$A$2:$A$672,B418,'PO detail'!$B$2:$B$672,C418,'PO detail'!$G$2:$G$672,"&gt;="&amp;D418,'PO detail'!$G$2:$G$672,"&lt;"&amp;A418)</x:f>
        <x:v>0</x:v>
      </x:c>
      <x:c r="J418" s="8" t="n">
        <x:f>SUMIFS('PO detail'!$W$2:$W$672,'PO detail'!$A$2:$A$672,B418,'PO detail'!$B$2:$B$672,C418,'PO detail'!$G$2:$G$672,"&gt;="&amp;D418,'PO detail'!$G$2:$G$672,"&lt;"&amp;A418)</x:f>
        <x:v>0</x:v>
      </x:c>
      <x:c r="K418" s="8" t="n">
        <x:f>'Current inventory'!E40*Summary!$D$6*(A418-D418)/30.4375</x:f>
        <x:v>186.7180287474333</x:v>
      </x:c>
      <x:c r="L418" s="8" t="n">
        <x:f>MAX(0,E418+H418-K418)</x:f>
        <x:v>0</x:v>
      </x:c>
      <x:c r="M418" s="8" t="n">
        <x:f>MAX(0,F418+I418-MAX(0,K418-E418-H418))</x:f>
        <x:v>0</x:v>
      </x:c>
      <x:c r="N418" s="8" t="n">
        <x:f>MAX(0,G418+J418-K418)</x:f>
        <x:v>0</x:v>
      </x:c>
      <x:c r="O418" s="8" t="n">
        <x:f>SUM(L418:N418)</x:f>
        <x:v>0</x:v>
      </x:c>
      <x:c r="P418" s="14" t="n">
        <x:f>'Current inventory'!V40</x:f>
        <x:v>0.2022</x:v>
      </x:c>
      <x:c r="Q418" s="14" t="str">
        <x:f>'Current inventory'!W40</x:f>
        <x:v>n.a.</x:v>
      </x:c>
      <x:c r="R418" s="10" t="n">
        <x:f>L418*P418</x:f>
        <x:v>0</x:v>
      </x:c>
      <x:c r="S418" s="10" t="n">
        <x:f>M418*P418</x:f>
        <x:v>0</x:v>
      </x:c>
      <x:c r="T418" s="10" t="n">
        <x:f>N418*P418</x:f>
        <x:v>0</x:v>
      </x:c>
      <x:c r="U418" s="10" t="n">
        <x:f>O418*P418</x:f>
        <x:v>0</x:v>
      </x:c>
      <x:c r="V418" s="10" t="str">
        <x:f>IF(ISNUMBER(Q418),O418*(Q418-P418),"n.a.")</x:f>
        <x:v>n.a.</x:v>
      </x:c>
      <x:c r="W418" s="10" t="n">
        <x:f>IF(ISNUMBER(Q418),U418,0)</x:f>
        <x:v>0</x:v>
      </x:c>
      <x:c r="X418" s="8" t="n">
        <x:f>MAX(0,K418-SUM(E418:J418))</x:f>
        <x:v>186.7180287474333</x:v>
      </x:c>
      <x:c r="Y418" s="1" t="str">
        <x:f>IF(AND(O418&gt;0,NOT(ISNUMBER(Q418))),"No proposed replacement standard",IF(X418&gt;0,"Demand exceeds available stock",""))</x:f>
        <x:v>Demand exceeds available stock</x:v>
      </x:c>
      <x:c r="Z418" s="1" t="n">
        <x:f>IF(ISNUMBER(Q418),1,0)</x:f>
        <x:v>0</x:v>
      </x:c>
    </x:row>
    <x:row r="419" ht="21" customHeight="1">
      <x:c r="A419" s="17" t="n">
        <x:f>Summary!B18</x:f>
        <x:v>46419</x:v>
      </x:c>
      <x:c r="B419" s="1" t="str">
        <x:f>'Current inventory'!A41</x:f>
        <x:v>10</x:v>
      </x:c>
      <x:c r="C419" s="1" t="str">
        <x:f>'Current inventory'!B41</x:f>
        <x:v>800MARE</x:v>
      </x:c>
      <x:c r="D419" s="7" t="n">
        <x:f>A293</x:f>
        <x:v>46388</x:v>
      </x:c>
      <x:c r="E419" s="8" t="n">
        <x:f>L293</x:f>
        <x:v>690.4116632443531</x:v>
      </x:c>
      <x:c r="F419" s="8" t="n">
        <x:f>M293</x:f>
        <x:v>2500</x:v>
      </x:c>
      <x:c r="G419" s="8" t="n">
        <x:f>N293</x:f>
        <x:v>0</x:v>
      </x:c>
      <x:c r="H419" s="8" t="n">
        <x:f>SUMIFS('PO detail'!$U$2:$U$672,'PO detail'!$A$2:$A$672,B419,'PO detail'!$B$2:$B$672,C419,'PO detail'!$G$2:$G$672,"&gt;="&amp;D419,'PO detail'!$G$2:$G$672,"&lt;"&amp;A419)</x:f>
        <x:v>0</x:v>
      </x:c>
      <x:c r="I419" s="8" t="n">
        <x:f>SUMIFS('PO detail'!$V$2:$V$672,'PO detail'!$A$2:$A$672,B419,'PO detail'!$B$2:$B$672,C419,'PO detail'!$G$2:$G$672,"&gt;="&amp;D419,'PO detail'!$G$2:$G$672,"&lt;"&amp;A419)</x:f>
        <x:v>0</x:v>
      </x:c>
      <x:c r="J419" s="8" t="n">
        <x:f>SUMIFS('PO detail'!$W$2:$W$672,'PO detail'!$A$2:$A$672,B419,'PO detail'!$B$2:$B$672,C419,'PO detail'!$G$2:$G$672,"&gt;="&amp;D419,'PO detail'!$G$2:$G$672,"&lt;"&amp;A419)</x:f>
        <x:v>0</x:v>
      </x:c>
      <x:c r="K419" s="8" t="n">
        <x:f>'Current inventory'!E41*Summary!$D$6*(A419-D419)/30.4375</x:f>
        <x:v>175.5147433264887</x:v>
      </x:c>
      <x:c r="L419" s="8" t="n">
        <x:f>MAX(0,E419+H419-K419)</x:f>
        <x:v>514.8969199178644</x:v>
      </x:c>
      <x:c r="M419" s="8" t="n">
        <x:f>MAX(0,F419+I419-MAX(0,K419-E419-H419))</x:f>
        <x:v>2500</x:v>
      </x:c>
      <x:c r="N419" s="8" t="n">
        <x:f>MAX(0,G419+J419-K419)</x:f>
        <x:v>0</x:v>
      </x:c>
      <x:c r="O419" s="8" t="n">
        <x:f>SUM(L419:N419)</x:f>
        <x:v>3014.8969199178646</x:v>
      </x:c>
      <x:c r="P419" s="14" t="n">
        <x:f>'Current inventory'!V41</x:f>
        <x:v>1.29129</x:v>
      </x:c>
      <x:c r="Q419" s="14" t="n">
        <x:f>'Current inventory'!W41</x:f>
        <x:v>1.349355</x:v>
      </x:c>
      <x:c r="R419" s="10" t="n">
        <x:f>L419*P419</x:f>
        <x:v>664.8812437207391</x:v>
      </x:c>
      <x:c r="S419" s="10" t="n">
        <x:f>M419*P419</x:f>
        <x:v>3228.225</x:v>
      </x:c>
      <x:c r="T419" s="10" t="n">
        <x:f>N419*P419</x:f>
        <x:v>0</x:v>
      </x:c>
      <x:c r="U419" s="10" t="n">
        <x:f>O419*P419</x:f>
        <x:v>3893.1062437207397</x:v>
      </x:c>
      <x:c r="V419" s="10" t="n">
        <x:f>IF(ISNUMBER(Q419),O419*(Q419-P419),"n.a.")</x:f>
        <x:v>175.0599896550309</x:v>
      </x:c>
      <x:c r="W419" s="10" t="n">
        <x:f>IF(ISNUMBER(Q419),U419,0)</x:f>
        <x:v>3893.1062437207397</x:v>
      </x:c>
      <x:c r="X419" s="8" t="n">
        <x:f>MAX(0,K419-SUM(E419:J419))</x:f>
        <x:v>0</x:v>
      </x:c>
      <x:c r="Y419" s="1" t="str">
        <x:f>IF(AND(O419&gt;0,NOT(ISNUMBER(Q419))),"No proposed replacement standard",IF(X419&gt;0,"Demand exceeds available stock",""))</x:f>
      </x:c>
      <x:c r="Z419" s="1" t="n">
        <x:f>IF(ISNUMBER(Q419),1,0)</x:f>
        <x:v>1</x:v>
      </x:c>
    </x:row>
    <x:row r="420" ht="21" customHeight="1">
      <x:c r="A420" s="17" t="n">
        <x:f>Summary!B18</x:f>
        <x:v>46419</x:v>
      </x:c>
      <x:c r="B420" s="1" t="str">
        <x:f>'Current inventory'!A42</x:f>
        <x:v>30</x:v>
      </x:c>
      <x:c r="C420" s="1" t="str">
        <x:f>'Current inventory'!B42</x:f>
        <x:v>800BMARBRC</x:v>
      </x:c>
      <x:c r="D420" s="7" t="n">
        <x:f>A294</x:f>
        <x:v>46388</x:v>
      </x:c>
      <x:c r="E420" s="8" t="n">
        <x:f>L294</x:f>
        <x:v>0</x:v>
      </x:c>
      <x:c r="F420" s="8" t="n">
        <x:f>M294</x:f>
        <x:v>0</x:v>
      </x:c>
      <x:c r="G420" s="8" t="n">
        <x:f>N294</x:f>
        <x:v>240.0318685831623</x:v>
      </x:c>
      <x:c r="H420" s="8" t="n">
        <x:f>SUMIFS('PO detail'!$U$2:$U$672,'PO detail'!$A$2:$A$672,B420,'PO detail'!$B$2:$B$672,C420,'PO detail'!$G$2:$G$672,"&gt;="&amp;D420,'PO detail'!$G$2:$G$672,"&lt;"&amp;A420)</x:f>
        <x:v>0</x:v>
      </x:c>
      <x:c r="I420" s="8" t="n">
        <x:f>SUMIFS('PO detail'!$V$2:$V$672,'PO detail'!$A$2:$A$672,B420,'PO detail'!$B$2:$B$672,C420,'PO detail'!$G$2:$G$672,"&gt;="&amp;D420,'PO detail'!$G$2:$G$672,"&lt;"&amp;A420)</x:f>
        <x:v>0</x:v>
      </x:c>
      <x:c r="J420" s="8" t="n">
        <x:f>SUMIFS('PO detail'!$W$2:$W$672,'PO detail'!$A$2:$A$672,B420,'PO detail'!$B$2:$B$672,C420,'PO detail'!$G$2:$G$672,"&gt;="&amp;D420,'PO detail'!$G$2:$G$672,"&lt;"&amp;A420)</x:f>
        <x:v>0</x:v>
      </x:c>
      <x:c r="K420" s="8" t="n">
        <x:f>'Current inventory'!E42*Summary!$D$6*(A420-D420)/30.4375</x:f>
        <x:v>169.7501437371663</x:v>
      </x:c>
      <x:c r="L420" s="8" t="n">
        <x:f>MAX(0,E420+H420-K420)</x:f>
        <x:v>0</x:v>
      </x:c>
      <x:c r="M420" s="8" t="n">
        <x:f>MAX(0,F420+I420-MAX(0,K420-E420-H420))</x:f>
        <x:v>0</x:v>
      </x:c>
      <x:c r="N420" s="8" t="n">
        <x:f>MAX(0,G420+J420-K420)</x:f>
        <x:v>70.281724845996</x:v>
      </x:c>
      <x:c r="O420" s="8" t="n">
        <x:f>SUM(L420:N420)</x:f>
        <x:v>70.281724845996</x:v>
      </x:c>
      <x:c r="P420" s="14" t="n">
        <x:f>'Current inventory'!V42</x:f>
        <x:v>0.1996</x:v>
      </x:c>
      <x:c r="Q420" s="14" t="str">
        <x:f>'Current inventory'!W42</x:f>
        <x:v>n.a.</x:v>
      </x:c>
      <x:c r="R420" s="10" t="n">
        <x:f>L420*P420</x:f>
        <x:v>0</x:v>
      </x:c>
      <x:c r="S420" s="10" t="n">
        <x:f>M420*P420</x:f>
        <x:v>0</x:v>
      </x:c>
      <x:c r="T420" s="10" t="n">
        <x:f>N420*P420</x:f>
        <x:v>14.0282322792608</x:v>
      </x:c>
      <x:c r="U420" s="10" t="n">
        <x:f>O420*P420</x:f>
        <x:v>14.0282322792608</x:v>
      </x:c>
      <x:c r="V420" s="10" t="str">
        <x:f>IF(ISNUMBER(Q420),O420*(Q420-P420),"n.a.")</x:f>
        <x:v>n.a.</x:v>
      </x:c>
      <x:c r="W420" s="10" t="n">
        <x:f>IF(ISNUMBER(Q420),U420,0)</x:f>
        <x:v>0</x:v>
      </x:c>
      <x:c r="X420" s="8" t="n">
        <x:f>MAX(0,K420-SUM(E420:J420))</x:f>
        <x:v>0</x:v>
      </x:c>
      <x:c r="Y420" s="1" t="str">
        <x:f>IF(AND(O420&gt;0,NOT(ISNUMBER(Q420))),"No proposed replacement standard",IF(X420&gt;0,"Demand exceeds available stock",""))</x:f>
        <x:v>No proposed replacement standard</x:v>
      </x:c>
      <x:c r="Z420" s="1" t="n">
        <x:f>IF(ISNUMBER(Q420),1,0)</x:f>
        <x:v>0</x:v>
      </x:c>
    </x:row>
    <x:row r="421" ht="21" customHeight="1">
      <x:c r="A421" s="17" t="n">
        <x:f>Summary!B18</x:f>
        <x:v>46419</x:v>
      </x:c>
      <x:c r="B421" s="1" t="str">
        <x:f>'Current inventory'!A43</x:f>
        <x:v>10</x:v>
      </x:c>
      <x:c r="C421" s="1" t="str">
        <x:f>'Current inventory'!B43</x:f>
        <x:v>800BMARCSC</x:v>
      </x:c>
      <x:c r="D421" s="7" t="n">
        <x:f>A295</x:f>
        <x:v>46388</x:v>
      </x:c>
      <x:c r="E421" s="8" t="n">
        <x:f>L295</x:f>
        <x:v>0</x:v>
      </x:c>
      <x:c r="F421" s="8" t="n">
        <x:f>M295</x:f>
        <x:v>0</x:v>
      </x:c>
      <x:c r="G421" s="8" t="n">
        <x:f>N295</x:f>
        <x:v>1055.0308008213551</x:v>
      </x:c>
      <x:c r="H421" s="8" t="n">
        <x:f>SUMIFS('PO detail'!$U$2:$U$672,'PO detail'!$A$2:$A$672,B421,'PO detail'!$B$2:$B$672,C421,'PO detail'!$G$2:$G$672,"&gt;="&amp;D421,'PO detail'!$G$2:$G$672,"&lt;"&amp;A421)</x:f>
        <x:v>0</x:v>
      </x:c>
      <x:c r="I421" s="8" t="n">
        <x:f>SUMIFS('PO detail'!$V$2:$V$672,'PO detail'!$A$2:$A$672,B421,'PO detail'!$B$2:$B$672,C421,'PO detail'!$G$2:$G$672,"&gt;="&amp;D421,'PO detail'!$G$2:$G$672,"&lt;"&amp;A421)</x:f>
        <x:v>0</x:v>
      </x:c>
      <x:c r="J421" s="8" t="n">
        <x:f>SUMIFS('PO detail'!$W$2:$W$672,'PO detail'!$A$2:$A$672,B421,'PO detail'!$B$2:$B$672,C421,'PO detail'!$G$2:$G$672,"&gt;="&amp;D421,'PO detail'!$G$2:$G$672,"&lt;"&amp;A421)</x:f>
        <x:v>0</x:v>
      </x:c>
      <x:c r="K421" s="8" t="n">
        <x:f>'Current inventory'!E43*Summary!$D$6*(A421-D421)/30.4375</x:f>
        <x:v>127.31006160164272</x:v>
      </x:c>
      <x:c r="L421" s="8" t="n">
        <x:f>MAX(0,E421+H421-K421)</x:f>
        <x:v>0</x:v>
      </x:c>
      <x:c r="M421" s="8" t="n">
        <x:f>MAX(0,F421+I421-MAX(0,K421-E421-H421))</x:f>
        <x:v>0</x:v>
      </x:c>
      <x:c r="N421" s="8" t="n">
        <x:f>MAX(0,G421+J421-K421)</x:f>
        <x:v>927.7207392197124</x:v>
      </x:c>
      <x:c r="O421" s="8" t="n">
        <x:f>SUM(L421:N421)</x:f>
        <x:v>927.7207392197124</x:v>
      </x:c>
      <x:c r="P421" s="14" t="n">
        <x:f>'Current inventory'!V43</x:f>
        <x:v>0.23329999999999998</x:v>
      </x:c>
      <x:c r="Q421" s="14" t="str">
        <x:f>'Current inventory'!W43</x:f>
        <x:v>n.a.</x:v>
      </x:c>
      <x:c r="R421" s="10" t="n">
        <x:f>L421*P421</x:f>
        <x:v>0</x:v>
      </x:c>
      <x:c r="S421" s="10" t="n">
        <x:f>M421*P421</x:f>
        <x:v>0</x:v>
      </x:c>
      <x:c r="T421" s="10" t="n">
        <x:f>N421*P421</x:f>
        <x:v>216.43724845995888</x:v>
      </x:c>
      <x:c r="U421" s="10" t="n">
        <x:f>O421*P421</x:f>
        <x:v>216.43724845995888</x:v>
      </x:c>
      <x:c r="V421" s="10" t="str">
        <x:f>IF(ISNUMBER(Q421),O421*(Q421-P421),"n.a.")</x:f>
        <x:v>n.a.</x:v>
      </x:c>
      <x:c r="W421" s="10" t="n">
        <x:f>IF(ISNUMBER(Q421),U421,0)</x:f>
        <x:v>0</x:v>
      </x:c>
      <x:c r="X421" s="8" t="n">
        <x:f>MAX(0,K421-SUM(E421:J421))</x:f>
        <x:v>0</x:v>
      </x:c>
      <x:c r="Y421" s="1" t="str">
        <x:f>IF(AND(O421&gt;0,NOT(ISNUMBER(Q421))),"No proposed replacement standard",IF(X421&gt;0,"Demand exceeds available stock",""))</x:f>
        <x:v>No proposed replacement standard</x:v>
      </x:c>
      <x:c r="Z421" s="1" t="n">
        <x:f>IF(ISNUMBER(Q421),1,0)</x:f>
        <x:v>0</x:v>
      </x:c>
    </x:row>
    <x:row r="422" ht="21" customHeight="1">
      <x:c r="A422" s="17" t="n">
        <x:f>Summary!B18</x:f>
        <x:v>46419</x:v>
      </x:c>
      <x:c r="B422" s="1" t="str">
        <x:f>'Current inventory'!A44</x:f>
        <x:v>30</x:v>
      </x:c>
      <x:c r="C422" s="1" t="str">
        <x:f>'Current inventory'!B44</x:f>
        <x:v>800BMARISC</x:v>
      </x:c>
      <x:c r="D422" s="7" t="n">
        <x:f>A296</x:f>
        <x:v>46388</x:v>
      </x:c>
      <x:c r="E422" s="8" t="n">
        <x:f>L296</x:f>
        <x:v>0</x:v>
      </x:c>
      <x:c r="F422" s="8" t="n">
        <x:f>M296</x:f>
        <x:v>0</x:v>
      </x:c>
      <x:c r="G422" s="8" t="n">
        <x:f>N296</x:f>
        <x:v>2001.0358932238194</x:v>
      </x:c>
      <x:c r="H422" s="8" t="n">
        <x:f>SUMIFS('PO detail'!$U$2:$U$672,'PO detail'!$A$2:$A$672,B422,'PO detail'!$B$2:$B$672,C422,'PO detail'!$G$2:$G$672,"&gt;="&amp;D422,'PO detail'!$G$2:$G$672,"&lt;"&amp;A422)</x:f>
        <x:v>0</x:v>
      </x:c>
      <x:c r="I422" s="8" t="n">
        <x:f>SUMIFS('PO detail'!$V$2:$V$672,'PO detail'!$A$2:$A$672,B422,'PO detail'!$B$2:$B$672,C422,'PO detail'!$G$2:$G$672,"&gt;="&amp;D422,'PO detail'!$G$2:$G$672,"&lt;"&amp;A422)</x:f>
        <x:v>0</x:v>
      </x:c>
      <x:c r="J422" s="8" t="n">
        <x:f>SUMIFS('PO detail'!$W$2:$W$672,'PO detail'!$A$2:$A$672,B422,'PO detail'!$B$2:$B$672,C422,'PO detail'!$G$2:$G$672,"&gt;="&amp;D422,'PO detail'!$G$2:$G$672,"&lt;"&amp;A422)</x:f>
        <x:v>0</x:v>
      </x:c>
      <x:c r="K422" s="8" t="n">
        <x:f>'Current inventory'!E44*Summary!$D$6*(A422-D422)/30.4375</x:f>
        <x:v>110.33199178644765</x:v>
      </x:c>
      <x:c r="L422" s="8" t="n">
        <x:f>MAX(0,E422+H422-K422)</x:f>
        <x:v>0</x:v>
      </x:c>
      <x:c r="M422" s="8" t="n">
        <x:f>MAX(0,F422+I422-MAX(0,K422-E422-H422))</x:f>
        <x:v>0</x:v>
      </x:c>
      <x:c r="N422" s="8" t="n">
        <x:f>MAX(0,G422+J422-K422)</x:f>
        <x:v>1890.7039014373718</x:v>
      </x:c>
      <x:c r="O422" s="8" t="n">
        <x:f>SUM(L422:N422)</x:f>
        <x:v>1890.7039014373718</x:v>
      </x:c>
      <x:c r="P422" s="14" t="n">
        <x:f>'Current inventory'!V44</x:f>
        <x:v>0.1946</x:v>
      </x:c>
      <x:c r="Q422" s="14" t="str">
        <x:f>'Current inventory'!W44</x:f>
        <x:v>n.a.</x:v>
      </x:c>
      <x:c r="R422" s="10" t="n">
        <x:f>L422*P422</x:f>
        <x:v>0</x:v>
      </x:c>
      <x:c r="S422" s="10" t="n">
        <x:f>M422*P422</x:f>
        <x:v>0</x:v>
      </x:c>
      <x:c r="T422" s="10" t="n">
        <x:f>N422*P422</x:f>
        <x:v>367.9309792197125</x:v>
      </x:c>
      <x:c r="U422" s="10" t="n">
        <x:f>O422*P422</x:f>
        <x:v>367.9309792197125</x:v>
      </x:c>
      <x:c r="V422" s="10" t="str">
        <x:f>IF(ISNUMBER(Q422),O422*(Q422-P422),"n.a.")</x:f>
        <x:v>n.a.</x:v>
      </x:c>
      <x:c r="W422" s="10" t="n">
        <x:f>IF(ISNUMBER(Q422),U422,0)</x:f>
        <x:v>0</x:v>
      </x:c>
      <x:c r="X422" s="8" t="n">
        <x:f>MAX(0,K422-SUM(E422:J422))</x:f>
        <x:v>0</x:v>
      </x:c>
      <x:c r="Y422" s="1" t="str">
        <x:f>IF(AND(O422&gt;0,NOT(ISNUMBER(Q422))),"No proposed replacement standard",IF(X422&gt;0,"Demand exceeds available stock",""))</x:f>
        <x:v>No proposed replacement standard</x:v>
      </x:c>
      <x:c r="Z422" s="1" t="n">
        <x:f>IF(ISNUMBER(Q422),1,0)</x:f>
        <x:v>0</x:v>
      </x:c>
    </x:row>
    <x:row r="423" ht="21" customHeight="1">
      <x:c r="A423" s="17" t="n">
        <x:f>Summary!B18</x:f>
        <x:v>46419</x:v>
      </x:c>
      <x:c r="B423" s="1" t="str">
        <x:f>'Current inventory'!A45</x:f>
        <x:v>30</x:v>
      </x:c>
      <x:c r="C423" s="1" t="str">
        <x:f>'Current inventory'!B45</x:f>
        <x:v>800BNAVDSC</x:v>
      </x:c>
      <x:c r="D423" s="7" t="n">
        <x:f>A297</x:f>
        <x:v>46388</x:v>
      </x:c>
      <x:c r="E423" s="8" t="n">
        <x:f>L297</x:f>
        <x:v>0</x:v>
      </x:c>
      <x:c r="F423" s="8" t="n">
        <x:f>M297</x:f>
        <x:v>0</x:v>
      </x:c>
      <x:c r="G423" s="8" t="n">
        <x:f>N297</x:f>
        <x:v>901.0358932238194</x:v>
      </x:c>
      <x:c r="H423" s="8" t="n">
        <x:f>SUMIFS('PO detail'!$U$2:$U$672,'PO detail'!$A$2:$A$672,B423,'PO detail'!$B$2:$B$672,C423,'PO detail'!$G$2:$G$672,"&gt;="&amp;D423,'PO detail'!$G$2:$G$672,"&lt;"&amp;A423)</x:f>
        <x:v>0</x:v>
      </x:c>
      <x:c r="I423" s="8" t="n">
        <x:f>SUMIFS('PO detail'!$V$2:$V$672,'PO detail'!$A$2:$A$672,B423,'PO detail'!$B$2:$B$672,C423,'PO detail'!$G$2:$G$672,"&gt;="&amp;D423,'PO detail'!$G$2:$G$672,"&lt;"&amp;A423)</x:f>
        <x:v>0</x:v>
      </x:c>
      <x:c r="J423" s="8" t="n">
        <x:f>SUMIFS('PO detail'!$W$2:$W$672,'PO detail'!$A$2:$A$672,B423,'PO detail'!$B$2:$B$672,C423,'PO detail'!$G$2:$G$672,"&gt;="&amp;D423,'PO detail'!$G$2:$G$672,"&lt;"&amp;A423)</x:f>
        <x:v>0</x:v>
      </x:c>
      <x:c r="K423" s="8" t="n">
        <x:f>'Current inventory'!E45*Summary!$D$6*(A423-D423)/30.4375</x:f>
        <x:v>110.33199178644765</x:v>
      </x:c>
      <x:c r="L423" s="8" t="n">
        <x:f>MAX(0,E423+H423-K423)</x:f>
        <x:v>0</x:v>
      </x:c>
      <x:c r="M423" s="8" t="n">
        <x:f>MAX(0,F423+I423-MAX(0,K423-E423-H423))</x:f>
        <x:v>0</x:v>
      </x:c>
      <x:c r="N423" s="8" t="n">
        <x:f>MAX(0,G423+J423-K423)</x:f>
        <x:v>790.7039014373718</x:v>
      </x:c>
      <x:c r="O423" s="8" t="n">
        <x:f>SUM(L423:N423)</x:f>
        <x:v>790.7039014373718</x:v>
      </x:c>
      <x:c r="P423" s="14" t="n">
        <x:f>'Current inventory'!V45</x:f>
        <x:v>0.34509999999999996</x:v>
      </x:c>
      <x:c r="Q423" s="14" t="str">
        <x:f>'Current inventory'!W45</x:f>
        <x:v>n.a.</x:v>
      </x:c>
      <x:c r="R423" s="10" t="n">
        <x:f>L423*P423</x:f>
        <x:v>0</x:v>
      </x:c>
      <x:c r="S423" s="10" t="n">
        <x:f>M423*P423</x:f>
        <x:v>0</x:v>
      </x:c>
      <x:c r="T423" s="10" t="n">
        <x:f>N423*P423</x:f>
        <x:v>272.87191638603696</x:v>
      </x:c>
      <x:c r="U423" s="10" t="n">
        <x:f>O423*P423</x:f>
        <x:v>272.87191638603696</x:v>
      </x:c>
      <x:c r="V423" s="10" t="str">
        <x:f>IF(ISNUMBER(Q423),O423*(Q423-P423),"n.a.")</x:f>
        <x:v>n.a.</x:v>
      </x:c>
      <x:c r="W423" s="10" t="n">
        <x:f>IF(ISNUMBER(Q423),U423,0)</x:f>
        <x:v>0</x:v>
      </x:c>
      <x:c r="X423" s="8" t="n">
        <x:f>MAX(0,K423-SUM(E423:J423))</x:f>
        <x:v>0</x:v>
      </x:c>
      <x:c r="Y423" s="1" t="str">
        <x:f>IF(AND(O423&gt;0,NOT(ISNUMBER(Q423))),"No proposed replacement standard",IF(X423&gt;0,"Demand exceeds available stock",""))</x:f>
        <x:v>No proposed replacement standard</x:v>
      </x:c>
      <x:c r="Z423" s="1" t="n">
        <x:f>IF(ISNUMBER(Q423),1,0)</x:f>
        <x:v>0</x:v>
      </x:c>
    </x:row>
    <x:row r="424" ht="21" customHeight="1">
      <x:c r="A424" s="17" t="n">
        <x:f>Summary!B18</x:f>
        <x:v>46419</x:v>
      </x:c>
      <x:c r="B424" s="1" t="str">
        <x:f>'Current inventory'!A46</x:f>
        <x:v>60</x:v>
      </x:c>
      <x:c r="C424" s="1" t="str">
        <x:f>'Current inventory'!B46</x:f>
        <x:v>800BMARBRC</x:v>
      </x:c>
      <x:c r="D424" s="7" t="n">
        <x:f>A298</x:f>
        <x:v>46388</x:v>
      </x:c>
      <x:c r="E424" s="8" t="n">
        <x:f>L298</x:f>
        <x:v>0</x:v>
      </x:c>
      <x:c r="F424" s="8" t="n">
        <x:f>M298</x:f>
        <x:v>0</x:v>
      </x:c>
      <x:c r="G424" s="8" t="n">
        <x:f>N298</x:f>
        <x:v>1101.0358932238194</x:v>
      </x:c>
      <x:c r="H424" s="8" t="n">
        <x:f>SUMIFS('PO detail'!$U$2:$U$672,'PO detail'!$A$2:$A$672,B424,'PO detail'!$B$2:$B$672,C424,'PO detail'!$G$2:$G$672,"&gt;="&amp;D424,'PO detail'!$G$2:$G$672,"&lt;"&amp;A424)</x:f>
        <x:v>0</x:v>
      </x:c>
      <x:c r="I424" s="8" t="n">
        <x:f>SUMIFS('PO detail'!$V$2:$V$672,'PO detail'!$A$2:$A$672,B424,'PO detail'!$B$2:$B$672,C424,'PO detail'!$G$2:$G$672,"&gt;="&amp;D424,'PO detail'!$G$2:$G$672,"&lt;"&amp;A424)</x:f>
        <x:v>0</x:v>
      </x:c>
      <x:c r="J424" s="8" t="n">
        <x:f>SUMIFS('PO detail'!$W$2:$W$672,'PO detail'!$A$2:$A$672,B424,'PO detail'!$B$2:$B$672,C424,'PO detail'!$G$2:$G$672,"&gt;="&amp;D424,'PO detail'!$G$2:$G$672,"&lt;"&amp;A424)</x:f>
        <x:v>0</x:v>
      </x:c>
      <x:c r="K424" s="8" t="n">
        <x:f>'Current inventory'!E46*Summary!$D$6*(A424-D424)/30.4375</x:f>
        <x:v>110.33199178644765</x:v>
      </x:c>
      <x:c r="L424" s="8" t="n">
        <x:f>MAX(0,E424+H424-K424)</x:f>
        <x:v>0</x:v>
      </x:c>
      <x:c r="M424" s="8" t="n">
        <x:f>MAX(0,F424+I424-MAX(0,K424-E424-H424))</x:f>
        <x:v>0</x:v>
      </x:c>
      <x:c r="N424" s="8" t="n">
        <x:f>MAX(0,G424+J424-K424)</x:f>
        <x:v>990.7039014373718</x:v>
      </x:c>
      <x:c r="O424" s="8" t="n">
        <x:f>SUM(L424:N424)</x:f>
        <x:v>990.7039014373718</x:v>
      </x:c>
      <x:c r="P424" s="14" t="n">
        <x:f>'Current inventory'!V46</x:f>
        <x:v>0.1996</x:v>
      </x:c>
      <x:c r="Q424" s="14" t="str">
        <x:f>'Current inventory'!W46</x:f>
        <x:v>n.a.</x:v>
      </x:c>
      <x:c r="R424" s="10" t="n">
        <x:f>L424*P424</x:f>
        <x:v>0</x:v>
      </x:c>
      <x:c r="S424" s="10" t="n">
        <x:f>M424*P424</x:f>
        <x:v>0</x:v>
      </x:c>
      <x:c r="T424" s="10" t="n">
        <x:f>N424*P424</x:f>
        <x:v>197.7444987268994</x:v>
      </x:c>
      <x:c r="U424" s="10" t="n">
        <x:f>O424*P424</x:f>
        <x:v>197.7444987268994</x:v>
      </x:c>
      <x:c r="V424" s="10" t="str">
        <x:f>IF(ISNUMBER(Q424),O424*(Q424-P424),"n.a.")</x:f>
        <x:v>n.a.</x:v>
      </x:c>
      <x:c r="W424" s="10" t="n">
        <x:f>IF(ISNUMBER(Q424),U424,0)</x:f>
        <x:v>0</x:v>
      </x:c>
      <x:c r="X424" s="8" t="n">
        <x:f>MAX(0,K424-SUM(E424:J424))</x:f>
        <x:v>0</x:v>
      </x:c>
      <x:c r="Y424" s="1" t="str">
        <x:f>IF(AND(O424&gt;0,NOT(ISNUMBER(Q424))),"No proposed replacement standard",IF(X424&gt;0,"Demand exceeds available stock",""))</x:f>
        <x:v>No proposed replacement standard</x:v>
      </x:c>
      <x:c r="Z424" s="1" t="n">
        <x:f>IF(ISNUMBER(Q424),1,0)</x:f>
        <x:v>0</x:v>
      </x:c>
    </x:row>
    <x:row r="425" ht="21" customHeight="1">
      <x:c r="A425" s="17" t="n">
        <x:f>Summary!B18</x:f>
        <x:v>46419</x:v>
      </x:c>
      <x:c r="B425" s="1" t="str">
        <x:f>'Current inventory'!A47</x:f>
        <x:v>60</x:v>
      </x:c>
      <x:c r="C425" s="1" t="str">
        <x:f>'Current inventory'!B47</x:f>
        <x:v>800MARE</x:v>
      </x:c>
      <x:c r="D425" s="7" t="n">
        <x:f>A299</x:f>
        <x:v>46388</x:v>
      </x:c>
      <x:c r="E425" s="8" t="n">
        <x:f>L299</x:f>
        <x:v>2406.024640657084</x:v>
      </x:c>
      <x:c r="F425" s="8" t="n">
        <x:f>M299</x:f>
        <x:v>0</x:v>
      </x:c>
      <x:c r="G425" s="8" t="n">
        <x:f>N299</x:f>
        <x:v>0</x:v>
      </x:c>
      <x:c r="H425" s="8" t="n">
        <x:f>SUMIFS('PO detail'!$U$2:$U$672,'PO detail'!$A$2:$A$672,B425,'PO detail'!$B$2:$B$672,C425,'PO detail'!$G$2:$G$672,"&gt;="&amp;D425,'PO detail'!$G$2:$G$672,"&lt;"&amp;A425)</x:f>
        <x:v>0</x:v>
      </x:c>
      <x:c r="I425" s="8" t="n">
        <x:f>SUMIFS('PO detail'!$V$2:$V$672,'PO detail'!$A$2:$A$672,B425,'PO detail'!$B$2:$B$672,C425,'PO detail'!$G$2:$G$672,"&gt;="&amp;D425,'PO detail'!$G$2:$G$672,"&lt;"&amp;A425)</x:f>
        <x:v>0</x:v>
      </x:c>
      <x:c r="J425" s="8" t="n">
        <x:f>SUMIFS('PO detail'!$W$2:$W$672,'PO detail'!$A$2:$A$672,B425,'PO detail'!$B$2:$B$672,C425,'PO detail'!$G$2:$G$672,"&gt;="&amp;D425,'PO detail'!$G$2:$G$672,"&lt;"&amp;A425)</x:f>
        <x:v>0</x:v>
      </x:c>
      <x:c r="K425" s="8" t="n">
        <x:f>'Current inventory'!E47*Summary!$D$6*(A425-D425)/30.4375</x:f>
        <x:v>101.84804928131418</x:v>
      </x:c>
      <x:c r="L425" s="8" t="n">
        <x:f>MAX(0,E425+H425-K425)</x:f>
        <x:v>2304.17659137577</x:v>
      </x:c>
      <x:c r="M425" s="8" t="n">
        <x:f>MAX(0,F425+I425-MAX(0,K425-E425-H425))</x:f>
        <x:v>0</x:v>
      </x:c>
      <x:c r="N425" s="8" t="n">
        <x:f>MAX(0,G425+J425-K425)</x:f>
        <x:v>0</x:v>
      </x:c>
      <x:c r="O425" s="8" t="n">
        <x:f>SUM(L425:N425)</x:f>
        <x:v>2304.17659137577</x:v>
      </x:c>
      <x:c r="P425" s="14" t="n">
        <x:f>'Current inventory'!V47</x:f>
        <x:v>1.29129</x:v>
      </x:c>
      <x:c r="Q425" s="14" t="n">
        <x:f>'Current inventory'!W47</x:f>
        <x:v>1.349355</x:v>
      </x:c>
      <x:c r="R425" s="10" t="n">
        <x:f>L425*P425</x:f>
        <x:v>2975.360190677618</x:v>
      </x:c>
      <x:c r="S425" s="10" t="n">
        <x:f>M425*P425</x:f>
        <x:v>0</x:v>
      </x:c>
      <x:c r="T425" s="10" t="n">
        <x:f>N425*P425</x:f>
        <x:v>0</x:v>
      </x:c>
      <x:c r="U425" s="10" t="n">
        <x:f>O425*P425</x:f>
        <x:v>2975.360190677618</x:v>
      </x:c>
      <x:c r="V425" s="10" t="n">
        <x:f>IF(ISNUMBER(Q425),O425*(Q425-P425),"n.a.")</x:f>
        <x:v>133.79201377823415</x:v>
      </x:c>
      <x:c r="W425" s="10" t="n">
        <x:f>IF(ISNUMBER(Q425),U425,0)</x:f>
        <x:v>2975.360190677618</x:v>
      </x:c>
      <x:c r="X425" s="8" t="n">
        <x:f>MAX(0,K425-SUM(E425:J425))</x:f>
        <x:v>0</x:v>
      </x:c>
      <x:c r="Y425" s="1" t="str">
        <x:f>IF(AND(O425&gt;0,NOT(ISNUMBER(Q425))),"No proposed replacement standard",IF(X425&gt;0,"Demand exceeds available stock",""))</x:f>
      </x:c>
      <x:c r="Z425" s="1" t="n">
        <x:f>IF(ISNUMBER(Q425),1,0)</x:f>
        <x:v>1</x:v>
      </x:c>
    </x:row>
    <x:row r="426" ht="21" customHeight="1">
      <x:c r="A426" s="17" t="n">
        <x:f>Summary!B18</x:f>
        <x:v>46419</x:v>
      </x:c>
      <x:c r="B426" s="1" t="str">
        <x:f>'Current inventory'!A48</x:f>
        <x:v>60</x:v>
      </x:c>
      <x:c r="C426" s="1" t="str">
        <x:f>'Current inventory'!B48</x:f>
        <x:v>800BMARISC</x:v>
      </x:c>
      <x:c r="D426" s="7" t="n">
        <x:f>A300</x:f>
        <x:v>46388</x:v>
      </x:c>
      <x:c r="E426" s="8" t="n">
        <x:f>L300</x:f>
        <x:v>0</x:v>
      </x:c>
      <x:c r="F426" s="8" t="n">
        <x:f>M300</x:f>
        <x:v>0</x:v>
      </x:c>
      <x:c r="G426" s="8" t="n">
        <x:f>N300</x:f>
        <x:v>639.0235728952773</x:v>
      </x:c>
      <x:c r="H426" s="8" t="n">
        <x:f>SUMIFS('PO detail'!$U$2:$U$672,'PO detail'!$A$2:$A$672,B426,'PO detail'!$B$2:$B$672,C426,'PO detail'!$G$2:$G$672,"&gt;="&amp;D426,'PO detail'!$G$2:$G$672,"&lt;"&amp;A426)</x:f>
        <x:v>0</x:v>
      </x:c>
      <x:c r="I426" s="8" t="n">
        <x:f>SUMIFS('PO detail'!$V$2:$V$672,'PO detail'!$A$2:$A$672,B426,'PO detail'!$B$2:$B$672,C426,'PO detail'!$G$2:$G$672,"&gt;="&amp;D426,'PO detail'!$G$2:$G$672,"&lt;"&amp;A426)</x:f>
        <x:v>0</x:v>
      </x:c>
      <x:c r="J426" s="8" t="n">
        <x:f>SUMIFS('PO detail'!$W$2:$W$672,'PO detail'!$A$2:$A$672,B426,'PO detail'!$B$2:$B$672,C426,'PO detail'!$G$2:$G$672,"&gt;="&amp;D426,'PO detail'!$G$2:$G$672,"&lt;"&amp;A426)</x:f>
        <x:v>0</x:v>
      </x:c>
      <x:c r="K426" s="8" t="n">
        <x:f>'Current inventory'!E48*Summary!$D$6*(A426-D426)/30.4375</x:f>
        <x:v>59.40796714579056</x:v>
      </x:c>
      <x:c r="L426" s="8" t="n">
        <x:f>MAX(0,E426+H426-K426)</x:f>
        <x:v>0</x:v>
      </x:c>
      <x:c r="M426" s="8" t="n">
        <x:f>MAX(0,F426+I426-MAX(0,K426-E426-H426))</x:f>
        <x:v>0</x:v>
      </x:c>
      <x:c r="N426" s="8" t="n">
        <x:f>MAX(0,G426+J426-K426)</x:f>
        <x:v>579.6156057494868</x:v>
      </x:c>
      <x:c r="O426" s="8" t="n">
        <x:f>SUM(L426:N426)</x:f>
        <x:v>579.6156057494868</x:v>
      </x:c>
      <x:c r="P426" s="14" t="n">
        <x:f>'Current inventory'!V48</x:f>
        <x:v>0.1946</x:v>
      </x:c>
      <x:c r="Q426" s="14" t="str">
        <x:f>'Current inventory'!W48</x:f>
        <x:v>n.a.</x:v>
      </x:c>
      <x:c r="R426" s="10" t="n">
        <x:f>L426*P426</x:f>
        <x:v>0</x:v>
      </x:c>
      <x:c r="S426" s="10" t="n">
        <x:f>M426*P426</x:f>
        <x:v>0</x:v>
      </x:c>
      <x:c r="T426" s="10" t="n">
        <x:f>N426*P426</x:f>
        <x:v>112.79319687885013</x:v>
      </x:c>
      <x:c r="U426" s="10" t="n">
        <x:f>O426*P426</x:f>
        <x:v>112.79319687885013</x:v>
      </x:c>
      <x:c r="V426" s="10" t="str">
        <x:f>IF(ISNUMBER(Q426),O426*(Q426-P426),"n.a.")</x:f>
        <x:v>n.a.</x:v>
      </x:c>
      <x:c r="W426" s="10" t="n">
        <x:f>IF(ISNUMBER(Q426),U426,0)</x:f>
        <x:v>0</x:v>
      </x:c>
      <x:c r="X426" s="8" t="n">
        <x:f>MAX(0,K426-SUM(E426:J426))</x:f>
        <x:v>0</x:v>
      </x:c>
      <x:c r="Y426" s="1" t="str">
        <x:f>IF(AND(O426&gt;0,NOT(ISNUMBER(Q426))),"No proposed replacement standard",IF(X426&gt;0,"Demand exceeds available stock",""))</x:f>
        <x:v>No proposed replacement standard</x:v>
      </x:c>
      <x:c r="Z426" s="1" t="n">
        <x:f>IF(ISNUMBER(Q426),1,0)</x:f>
        <x:v>0</x:v>
      </x:c>
    </x:row>
    <x:row r="427" ht="21" customHeight="1">
      <x:c r="A427" s="17" t="n">
        <x:f>Summary!B18</x:f>
        <x:v>46419</x:v>
      </x:c>
      <x:c r="B427" s="1" t="str">
        <x:f>'Current inventory'!A49</x:f>
        <x:v>10</x:v>
      </x:c>
      <x:c r="C427" s="1" t="str">
        <x:f>'Current inventory'!B49</x:f>
        <x:v>800WBLKASC</x:v>
      </x:c>
      <x:c r="D427" s="7" t="n">
        <x:f>A301</x:f>
        <x:v>46388</x:v>
      </x:c>
      <x:c r="E427" s="8" t="n">
        <x:f>L301</x:f>
        <x:v>0</x:v>
      </x:c>
      <x:c r="F427" s="8" t="n">
        <x:f>M301</x:f>
        <x:v>0</x:v>
      </x:c>
      <x:c r="G427" s="8" t="n">
        <x:f>N301</x:f>
        <x:v>1162.012320328542</x:v>
      </x:c>
      <x:c r="H427" s="8" t="n">
        <x:f>SUMIFS('PO detail'!$U$2:$U$672,'PO detail'!$A$2:$A$672,B427,'PO detail'!$B$2:$B$672,C427,'PO detail'!$G$2:$G$672,"&gt;="&amp;D427,'PO detail'!$G$2:$G$672,"&lt;"&amp;A427)</x:f>
        <x:v>0</x:v>
      </x:c>
      <x:c r="I427" s="8" t="n">
        <x:f>SUMIFS('PO detail'!$V$2:$V$672,'PO detail'!$A$2:$A$672,B427,'PO detail'!$B$2:$B$672,C427,'PO detail'!$G$2:$G$672,"&gt;="&amp;D427,'PO detail'!$G$2:$G$672,"&lt;"&amp;A427)</x:f>
        <x:v>0</x:v>
      </x:c>
      <x:c r="J427" s="8" t="n">
        <x:f>SUMIFS('PO detail'!$W$2:$W$672,'PO detail'!$A$2:$A$672,B427,'PO detail'!$B$2:$B$672,C427,'PO detail'!$G$2:$G$672,"&gt;="&amp;D427,'PO detail'!$G$2:$G$672,"&lt;"&amp;A427)</x:f>
        <x:v>0</x:v>
      </x:c>
      <x:c r="K427" s="8" t="n">
        <x:f>'Current inventory'!E49*Summary!$D$6*(A427-D427)/30.4375</x:f>
        <x:v>50.92402464065709</x:v>
      </x:c>
      <x:c r="L427" s="8" t="n">
        <x:f>MAX(0,E427+H427-K427)</x:f>
        <x:v>0</x:v>
      </x:c>
      <x:c r="M427" s="8" t="n">
        <x:f>MAX(0,F427+I427-MAX(0,K427-E427-H427))</x:f>
        <x:v>0</x:v>
      </x:c>
      <x:c r="N427" s="8" t="n">
        <x:f>MAX(0,G427+J427-K427)</x:f>
        <x:v>1111.088295687885</x:v>
      </x:c>
      <x:c r="O427" s="8" t="n">
        <x:f>SUM(L427:N427)</x:f>
        <x:v>1111.088295687885</x:v>
      </x:c>
      <x:c r="P427" s="14" t="n">
        <x:f>'Current inventory'!V49</x:f>
        <x:v>0.111</x:v>
      </x:c>
      <x:c r="Q427" s="14" t="str">
        <x:f>'Current inventory'!W49</x:f>
        <x:v>n.a.</x:v>
      </x:c>
      <x:c r="R427" s="10" t="n">
        <x:f>L427*P427</x:f>
        <x:v>0</x:v>
      </x:c>
      <x:c r="S427" s="10" t="n">
        <x:f>M427*P427</x:f>
        <x:v>0</x:v>
      </x:c>
      <x:c r="T427" s="10" t="n">
        <x:f>N427*P427</x:f>
        <x:v>123.33080082135524</x:v>
      </x:c>
      <x:c r="U427" s="10" t="n">
        <x:f>O427*P427</x:f>
        <x:v>123.33080082135524</x:v>
      </x:c>
      <x:c r="V427" s="10" t="str">
        <x:f>IF(ISNUMBER(Q427),O427*(Q427-P427),"n.a.")</x:f>
        <x:v>n.a.</x:v>
      </x:c>
      <x:c r="W427" s="10" t="n">
        <x:f>IF(ISNUMBER(Q427),U427,0)</x:f>
        <x:v>0</x:v>
      </x:c>
      <x:c r="X427" s="8" t="n">
        <x:f>MAX(0,K427-SUM(E427:J427))</x:f>
        <x:v>0</x:v>
      </x:c>
      <x:c r="Y427" s="1" t="str">
        <x:f>IF(AND(O427&gt;0,NOT(ISNUMBER(Q427))),"No proposed replacement standard",IF(X427&gt;0,"Demand exceeds available stock",""))</x:f>
        <x:v>No proposed replacement standard</x:v>
      </x:c>
      <x:c r="Z427" s="1" t="n">
        <x:f>IF(ISNUMBER(Q427),1,0)</x:f>
        <x:v>0</x:v>
      </x:c>
    </x:row>
    <x:row r="428" ht="21" customHeight="1">
      <x:c r="A428" s="17" t="n">
        <x:f>Summary!B18</x:f>
        <x:v>46419</x:v>
      </x:c>
      <x:c r="B428" s="1" t="str">
        <x:f>'Current inventory'!A50</x:f>
        <x:v>30</x:v>
      </x:c>
      <x:c r="C428" s="1" t="str">
        <x:f>'Current inventory'!B50</x:f>
        <x:v>800BMARCSC</x:v>
      </x:c>
      <x:c r="D428" s="7" t="n">
        <x:f>A302</x:f>
        <x:v>46388</x:v>
      </x:c>
      <x:c r="E428" s="8" t="n">
        <x:f>L302</x:f>
        <x:v>0</x:v>
      </x:c>
      <x:c r="F428" s="8" t="n">
        <x:f>M302</x:f>
        <x:v>0</x:v>
      </x:c>
      <x:c r="G428" s="8" t="n">
        <x:f>N302</x:f>
        <x:v>1008.0174127310063</x:v>
      </x:c>
      <x:c r="H428" s="8" t="n">
        <x:f>SUMIFS('PO detail'!$U$2:$U$672,'PO detail'!$A$2:$A$672,B428,'PO detail'!$B$2:$B$672,C428,'PO detail'!$G$2:$G$672,"&gt;="&amp;D428,'PO detail'!$G$2:$G$672,"&lt;"&amp;A428)</x:f>
        <x:v>0</x:v>
      </x:c>
      <x:c r="I428" s="8" t="n">
        <x:f>SUMIFS('PO detail'!$V$2:$V$672,'PO detail'!$A$2:$A$672,B428,'PO detail'!$B$2:$B$672,C428,'PO detail'!$G$2:$G$672,"&gt;="&amp;D428,'PO detail'!$G$2:$G$672,"&lt;"&amp;A428)</x:f>
        <x:v>0</x:v>
      </x:c>
      <x:c r="J428" s="8" t="n">
        <x:f>SUMIFS('PO detail'!$W$2:$W$672,'PO detail'!$A$2:$A$672,B428,'PO detail'!$B$2:$B$672,C428,'PO detail'!$G$2:$G$672,"&gt;="&amp;D428,'PO detail'!$G$2:$G$672,"&lt;"&amp;A428)</x:f>
        <x:v>0</x:v>
      </x:c>
      <x:c r="K428" s="8" t="n">
        <x:f>'Current inventory'!E50*Summary!$D$6*(A428-D428)/30.4375</x:f>
        <x:v>33.94595482546201</x:v>
      </x:c>
      <x:c r="L428" s="8" t="n">
        <x:f>MAX(0,E428+H428-K428)</x:f>
        <x:v>0</x:v>
      </x:c>
      <x:c r="M428" s="8" t="n">
        <x:f>MAX(0,F428+I428-MAX(0,K428-E428-H428))</x:f>
        <x:v>0</x:v>
      </x:c>
      <x:c r="N428" s="8" t="n">
        <x:f>MAX(0,G428+J428-K428)</x:f>
        <x:v>974.0714579055443</x:v>
      </x:c>
      <x:c r="O428" s="8" t="n">
        <x:f>SUM(L428:N428)</x:f>
        <x:v>974.0714579055443</x:v>
      </x:c>
      <x:c r="P428" s="14" t="n">
        <x:f>'Current inventory'!V50</x:f>
        <x:v>0.23329999999999998</x:v>
      </x:c>
      <x:c r="Q428" s="14" t="str">
        <x:f>'Current inventory'!W50</x:f>
        <x:v>n.a.</x:v>
      </x:c>
      <x:c r="R428" s="10" t="n">
        <x:f>L428*P428</x:f>
        <x:v>0</x:v>
      </x:c>
      <x:c r="S428" s="10" t="n">
        <x:f>M428*P428</x:f>
        <x:v>0</x:v>
      </x:c>
      <x:c r="T428" s="10" t="n">
        <x:f>N428*P428</x:f>
        <x:v>227.25087112936347</x:v>
      </x:c>
      <x:c r="U428" s="10" t="n">
        <x:f>O428*P428</x:f>
        <x:v>227.25087112936347</x:v>
      </x:c>
      <x:c r="V428" s="10" t="str">
        <x:f>IF(ISNUMBER(Q428),O428*(Q428-P428),"n.a.")</x:f>
        <x:v>n.a.</x:v>
      </x:c>
      <x:c r="W428" s="10" t="n">
        <x:f>IF(ISNUMBER(Q428),U428,0)</x:f>
        <x:v>0</x:v>
      </x:c>
      <x:c r="X428" s="8" t="n">
        <x:f>MAX(0,K428-SUM(E428:J428))</x:f>
        <x:v>0</x:v>
      </x:c>
      <x:c r="Y428" s="1" t="str">
        <x:f>IF(AND(O428&gt;0,NOT(ISNUMBER(Q428))),"No proposed replacement standard",IF(X428&gt;0,"Demand exceeds available stock",""))</x:f>
        <x:v>No proposed replacement standard</x:v>
      </x:c>
      <x:c r="Z428" s="1" t="n">
        <x:f>IF(ISNUMBER(Q428),1,0)</x:f>
        <x:v>0</x:v>
      </x:c>
    </x:row>
    <x:row r="429" ht="21" customHeight="1">
      <x:c r="A429" s="17" t="n">
        <x:f>Summary!B18</x:f>
        <x:v>46419</x:v>
      </x:c>
      <x:c r="B429" s="1" t="str">
        <x:f>'Current inventory'!A51</x:f>
        <x:v>60</x:v>
      </x:c>
      <x:c r="C429" s="1" t="str">
        <x:f>'Current inventory'!B51</x:f>
        <x:v>800WBLKASC</x:v>
      </x:c>
      <x:c r="D429" s="7" t="n">
        <x:f>A303</x:f>
        <x:v>46388</x:v>
      </x:c>
      <x:c r="E429" s="8" t="n">
        <x:f>L303</x:f>
        <x:v>0</x:v>
      </x:c>
      <x:c r="F429" s="8" t="n">
        <x:f>M303</x:f>
        <x:v>0</x:v>
      </x:c>
      <x:c r="G429" s="8" t="n">
        <x:f>N303</x:f>
        <x:v>1408.0174127310063</x:v>
      </x:c>
      <x:c r="H429" s="8" t="n">
        <x:f>SUMIFS('PO detail'!$U$2:$U$672,'PO detail'!$A$2:$A$672,B429,'PO detail'!$B$2:$B$672,C429,'PO detail'!$G$2:$G$672,"&gt;="&amp;D429,'PO detail'!$G$2:$G$672,"&lt;"&amp;A429)</x:f>
        <x:v>0</x:v>
      </x:c>
      <x:c r="I429" s="8" t="n">
        <x:f>SUMIFS('PO detail'!$V$2:$V$672,'PO detail'!$A$2:$A$672,B429,'PO detail'!$B$2:$B$672,C429,'PO detail'!$G$2:$G$672,"&gt;="&amp;D429,'PO detail'!$G$2:$G$672,"&lt;"&amp;A429)</x:f>
        <x:v>0</x:v>
      </x:c>
      <x:c r="J429" s="8" t="n">
        <x:f>SUMIFS('PO detail'!$W$2:$W$672,'PO detail'!$A$2:$A$672,B429,'PO detail'!$B$2:$B$672,C429,'PO detail'!$G$2:$G$672,"&gt;="&amp;D429,'PO detail'!$G$2:$G$672,"&lt;"&amp;A429)</x:f>
        <x:v>0</x:v>
      </x:c>
      <x:c r="K429" s="8" t="n">
        <x:f>'Current inventory'!E51*Summary!$D$6*(A429-D429)/30.4375</x:f>
        <x:v>33.94595482546201</x:v>
      </x:c>
      <x:c r="L429" s="8" t="n">
        <x:f>MAX(0,E429+H429-K429)</x:f>
        <x:v>0</x:v>
      </x:c>
      <x:c r="M429" s="8" t="n">
        <x:f>MAX(0,F429+I429-MAX(0,K429-E429-H429))</x:f>
        <x:v>0</x:v>
      </x:c>
      <x:c r="N429" s="8" t="n">
        <x:f>MAX(0,G429+J429-K429)</x:f>
        <x:v>1374.0714579055443</x:v>
      </x:c>
      <x:c r="O429" s="8" t="n">
        <x:f>SUM(L429:N429)</x:f>
        <x:v>1374.0714579055443</x:v>
      </x:c>
      <x:c r="P429" s="14" t="n">
        <x:f>'Current inventory'!V51</x:f>
        <x:v>0.111</x:v>
      </x:c>
      <x:c r="Q429" s="14" t="str">
        <x:f>'Current inventory'!W51</x:f>
        <x:v>n.a.</x:v>
      </x:c>
      <x:c r="R429" s="10" t="n">
        <x:f>L429*P429</x:f>
        <x:v>0</x:v>
      </x:c>
      <x:c r="S429" s="10" t="n">
        <x:f>M429*P429</x:f>
        <x:v>0</x:v>
      </x:c>
      <x:c r="T429" s="10" t="n">
        <x:f>N429*P429</x:f>
        <x:v>152.52193182751543</x:v>
      </x:c>
      <x:c r="U429" s="10" t="n">
        <x:f>O429*P429</x:f>
        <x:v>152.52193182751543</x:v>
      </x:c>
      <x:c r="V429" s="10" t="str">
        <x:f>IF(ISNUMBER(Q429),O429*(Q429-P429),"n.a.")</x:f>
        <x:v>n.a.</x:v>
      </x:c>
      <x:c r="W429" s="10" t="n">
        <x:f>IF(ISNUMBER(Q429),U429,0)</x:f>
        <x:v>0</x:v>
      </x:c>
      <x:c r="X429" s="8" t="n">
        <x:f>MAX(0,K429-SUM(E429:J429))</x:f>
        <x:v>0</x:v>
      </x:c>
      <x:c r="Y429" s="1" t="str">
        <x:f>IF(AND(O429&gt;0,NOT(ISNUMBER(Q429))),"No proposed replacement standard",IF(X429&gt;0,"Demand exceeds available stock",""))</x:f>
        <x:v>No proposed replacement standard</x:v>
      </x:c>
      <x:c r="Z429" s="1" t="n">
        <x:f>IF(ISNUMBER(Q429),1,0)</x:f>
        <x:v>0</x:v>
      </x:c>
    </x:row>
    <x:row r="430" ht="21" customHeight="1">
      <x:c r="A430" s="17" t="n">
        <x:f>Summary!B18</x:f>
        <x:v>46419</x:v>
      </x:c>
      <x:c r="B430" s="1" t="str">
        <x:f>'Current inventory'!A52</x:f>
        <x:v>10</x:v>
      </x:c>
      <x:c r="C430" s="1" t="str">
        <x:f>'Current inventory'!B52</x:f>
        <x:v>800WMARASC</x:v>
      </x:c>
      <x:c r="D430" s="7" t="n">
        <x:f>A304</x:f>
        <x:v>46388</x:v>
      </x:c>
      <x:c r="E430" s="8" t="n">
        <x:f>L304</x:f>
        <x:v>0</x:v>
      </x:c>
      <x:c r="F430" s="8" t="n">
        <x:f>M304</x:f>
        <x:v>0</x:v>
      </x:c>
      <x:c r="G430" s="8" t="n">
        <x:f>N304</x:f>
        <x:v>253.99490759753596</x:v>
      </x:c>
      <x:c r="H430" s="8" t="n">
        <x:f>SUMIFS('PO detail'!$U$2:$U$672,'PO detail'!$A$2:$A$672,B430,'PO detail'!$B$2:$B$672,C430,'PO detail'!$G$2:$G$672,"&gt;="&amp;D430,'PO detail'!$G$2:$G$672,"&lt;"&amp;A430)</x:f>
        <x:v>0</x:v>
      </x:c>
      <x:c r="I430" s="8" t="n">
        <x:f>SUMIFS('PO detail'!$V$2:$V$672,'PO detail'!$A$2:$A$672,B430,'PO detail'!$B$2:$B$672,C430,'PO detail'!$G$2:$G$672,"&gt;="&amp;D430,'PO detail'!$G$2:$G$672,"&lt;"&amp;A430)</x:f>
        <x:v>0</x:v>
      </x:c>
      <x:c r="J430" s="8" t="n">
        <x:f>SUMIFS('PO detail'!$W$2:$W$672,'PO detail'!$A$2:$A$672,B430,'PO detail'!$B$2:$B$672,C430,'PO detail'!$G$2:$G$672,"&gt;="&amp;D430,'PO detail'!$G$2:$G$672,"&lt;"&amp;A430)</x:f>
        <x:v>0</x:v>
      </x:c>
      <x:c r="K430" s="8" t="n">
        <x:f>'Current inventory'!E52*Summary!$D$6*(A430-D430)/30.4375</x:f>
        <x:v>16.978069815195074</x:v>
      </x:c>
      <x:c r="L430" s="8" t="n">
        <x:f>MAX(0,E430+H430-K430)</x:f>
        <x:v>0</x:v>
      </x:c>
      <x:c r="M430" s="8" t="n">
        <x:f>MAX(0,F430+I430-MAX(0,K430-E430-H430))</x:f>
        <x:v>0</x:v>
      </x:c>
      <x:c r="N430" s="8" t="n">
        <x:f>MAX(0,G430+J430-K430)</x:f>
        <x:v>237.01683778234087</x:v>
      </x:c>
      <x:c r="O430" s="8" t="n">
        <x:f>SUM(L430:N430)</x:f>
        <x:v>237.01683778234087</x:v>
      </x:c>
      <x:c r="P430" s="14" t="n">
        <x:f>'Current inventory'!V52</x:f>
        <x:v>0.1383</x:v>
      </x:c>
      <x:c r="Q430" s="14" t="str">
        <x:f>'Current inventory'!W52</x:f>
        <x:v>n.a.</x:v>
      </x:c>
      <x:c r="R430" s="10" t="n">
        <x:f>L430*P430</x:f>
        <x:v>0</x:v>
      </x:c>
      <x:c r="S430" s="10" t="n">
        <x:f>M430*P430</x:f>
        <x:v>0</x:v>
      </x:c>
      <x:c r="T430" s="10" t="n">
        <x:f>N430*P430</x:f>
        <x:v>32.77942866529774</x:v>
      </x:c>
      <x:c r="U430" s="10" t="n">
        <x:f>O430*P430</x:f>
        <x:v>32.77942866529774</x:v>
      </x:c>
      <x:c r="V430" s="10" t="str">
        <x:f>IF(ISNUMBER(Q430),O430*(Q430-P430),"n.a.")</x:f>
        <x:v>n.a.</x:v>
      </x:c>
      <x:c r="W430" s="10" t="n">
        <x:f>IF(ISNUMBER(Q430),U430,0)</x:f>
        <x:v>0</x:v>
      </x:c>
      <x:c r="X430" s="8" t="n">
        <x:f>MAX(0,K430-SUM(E430:J430))</x:f>
        <x:v>0</x:v>
      </x:c>
      <x:c r="Y430" s="1" t="str">
        <x:f>IF(AND(O430&gt;0,NOT(ISNUMBER(Q430))),"No proposed replacement standard",IF(X430&gt;0,"Demand exceeds available stock",""))</x:f>
        <x:v>No proposed replacement standard</x:v>
      </x:c>
      <x:c r="Z430" s="1" t="n">
        <x:f>IF(ISNUMBER(Q430),1,0)</x:f>
        <x:v>0</x:v>
      </x:c>
    </x:row>
    <x:row r="431" ht="21" customHeight="1">
      <x:c r="A431" s="17" t="n">
        <x:f>Summary!B18</x:f>
        <x:v>46419</x:v>
      </x:c>
      <x:c r="B431" s="1" t="str">
        <x:f>'Current inventory'!A53</x:f>
        <x:v>10</x:v>
      </x:c>
      <x:c r="C431" s="1" t="str">
        <x:f>'Current inventory'!B53</x:f>
        <x:v>800WNAVASC</x:v>
      </x:c>
      <x:c r="D431" s="7" t="n">
        <x:f>A305</x:f>
        <x:v>46388</x:v>
      </x:c>
      <x:c r="E431" s="8" t="n">
        <x:f>L305</x:f>
        <x:v>0</x:v>
      </x:c>
      <x:c r="F431" s="8" t="n">
        <x:f>M305</x:f>
        <x:v>0</x:v>
      </x:c>
      <x:c r="G431" s="8" t="n">
        <x:f>N305</x:f>
        <x:v>653.9949075975359</x:v>
      </x:c>
      <x:c r="H431" s="8" t="n">
        <x:f>SUMIFS('PO detail'!$U$2:$U$672,'PO detail'!$A$2:$A$672,B431,'PO detail'!$B$2:$B$672,C431,'PO detail'!$G$2:$G$672,"&gt;="&amp;D431,'PO detail'!$G$2:$G$672,"&lt;"&amp;A431)</x:f>
        <x:v>0</x:v>
      </x:c>
      <x:c r="I431" s="8" t="n">
        <x:f>SUMIFS('PO detail'!$V$2:$V$672,'PO detail'!$A$2:$A$672,B431,'PO detail'!$B$2:$B$672,C431,'PO detail'!$G$2:$G$672,"&gt;="&amp;D431,'PO detail'!$G$2:$G$672,"&lt;"&amp;A431)</x:f>
        <x:v>0</x:v>
      </x:c>
      <x:c r="J431" s="8" t="n">
        <x:f>SUMIFS('PO detail'!$W$2:$W$672,'PO detail'!$A$2:$A$672,B431,'PO detail'!$B$2:$B$672,C431,'PO detail'!$G$2:$G$672,"&gt;="&amp;D431,'PO detail'!$G$2:$G$672,"&lt;"&amp;A431)</x:f>
        <x:v>0</x:v>
      </x:c>
      <x:c r="K431" s="8" t="n">
        <x:f>'Current inventory'!E53*Summary!$D$6*(A431-D431)/30.4375</x:f>
        <x:v>16.978069815195074</x:v>
      </x:c>
      <x:c r="L431" s="8" t="n">
        <x:f>MAX(0,E431+H431-K431)</x:f>
        <x:v>0</x:v>
      </x:c>
      <x:c r="M431" s="8" t="n">
        <x:f>MAX(0,F431+I431-MAX(0,K431-E431-H431))</x:f>
        <x:v>0</x:v>
      </x:c>
      <x:c r="N431" s="8" t="n">
        <x:f>MAX(0,G431+J431-K431)</x:f>
        <x:v>637.0168377823408</x:v>
      </x:c>
      <x:c r="O431" s="8" t="n">
        <x:f>SUM(L431:N431)</x:f>
        <x:v>637.0168377823408</x:v>
      </x:c>
      <x:c r="P431" s="14" t="n">
        <x:f>'Current inventory'!V53</x:f>
        <x:v>0.13570000000000002</x:v>
      </x:c>
      <x:c r="Q431" s="14" t="str">
        <x:f>'Current inventory'!W53</x:f>
        <x:v>n.a.</x:v>
      </x:c>
      <x:c r="R431" s="10" t="n">
        <x:f>L431*P431</x:f>
        <x:v>0</x:v>
      </x:c>
      <x:c r="S431" s="10" t="n">
        <x:f>M431*P431</x:f>
        <x:v>0</x:v>
      </x:c>
      <x:c r="T431" s="10" t="n">
        <x:f>N431*P431</x:f>
        <x:v>86.44318488706365</x:v>
      </x:c>
      <x:c r="U431" s="10" t="n">
        <x:f>O431*P431</x:f>
        <x:v>86.44318488706365</x:v>
      </x:c>
      <x:c r="V431" s="10" t="str">
        <x:f>IF(ISNUMBER(Q431),O431*(Q431-P431),"n.a.")</x:f>
        <x:v>n.a.</x:v>
      </x:c>
      <x:c r="W431" s="10" t="n">
        <x:f>IF(ISNUMBER(Q431),U431,0)</x:f>
        <x:v>0</x:v>
      </x:c>
      <x:c r="X431" s="8" t="n">
        <x:f>MAX(0,K431-SUM(E431:J431))</x:f>
        <x:v>0</x:v>
      </x:c>
      <x:c r="Y431" s="1" t="str">
        <x:f>IF(AND(O431&gt;0,NOT(ISNUMBER(Q431))),"No proposed replacement standard",IF(X431&gt;0,"Demand exceeds available stock",""))</x:f>
        <x:v>No proposed replacement standard</x:v>
      </x:c>
      <x:c r="Z431" s="1" t="n">
        <x:f>IF(ISNUMBER(Q431),1,0)</x:f>
        <x:v>0</x:v>
      </x:c>
    </x:row>
    <x:row r="432" ht="21" customHeight="1">
      <x:c r="A432" s="17" t="n">
        <x:f>Summary!B18</x:f>
        <x:v>46419</x:v>
      </x:c>
      <x:c r="B432" s="1" t="str">
        <x:f>'Current inventory'!A54</x:f>
        <x:v>30</x:v>
      </x:c>
      <x:c r="C432" s="1" t="str">
        <x:f>'Current inventory'!B54</x:f>
        <x:v>800BMARDSC</x:v>
      </x:c>
      <x:c r="D432" s="7" t="n">
        <x:f>A306</x:f>
        <x:v>46388</x:v>
      </x:c>
      <x:c r="E432" s="8" t="n">
        <x:f>L306</x:f>
        <x:v>0</x:v>
      </x:c>
      <x:c r="F432" s="8" t="n">
        <x:f>M306</x:f>
        <x:v>0</x:v>
      </x:c>
      <x:c r="G432" s="8" t="n">
        <x:f>N306</x:f>
        <x:v>2653.9949075975364</x:v>
      </x:c>
      <x:c r="H432" s="8" t="n">
        <x:f>SUMIFS('PO detail'!$U$2:$U$672,'PO detail'!$A$2:$A$672,B432,'PO detail'!$B$2:$B$672,C432,'PO detail'!$G$2:$G$672,"&gt;="&amp;D432,'PO detail'!$G$2:$G$672,"&lt;"&amp;A432)</x:f>
        <x:v>0</x:v>
      </x:c>
      <x:c r="I432" s="8" t="n">
        <x:f>SUMIFS('PO detail'!$V$2:$V$672,'PO detail'!$A$2:$A$672,B432,'PO detail'!$B$2:$B$672,C432,'PO detail'!$G$2:$G$672,"&gt;="&amp;D432,'PO detail'!$G$2:$G$672,"&lt;"&amp;A432)</x:f>
        <x:v>0</x:v>
      </x:c>
      <x:c r="J432" s="8" t="n">
        <x:f>SUMIFS('PO detail'!$W$2:$W$672,'PO detail'!$A$2:$A$672,B432,'PO detail'!$B$2:$B$672,C432,'PO detail'!$G$2:$G$672,"&gt;="&amp;D432,'PO detail'!$G$2:$G$672,"&lt;"&amp;A432)</x:f>
        <x:v>0</x:v>
      </x:c>
      <x:c r="K432" s="8" t="n">
        <x:f>'Current inventory'!E54*Summary!$D$6*(A432-D432)/30.4375</x:f>
        <x:v>16.978069815195074</x:v>
      </x:c>
      <x:c r="L432" s="8" t="n">
        <x:f>MAX(0,E432+H432-K432)</x:f>
        <x:v>0</x:v>
      </x:c>
      <x:c r="M432" s="8" t="n">
        <x:f>MAX(0,F432+I432-MAX(0,K432-E432-H432))</x:f>
        <x:v>0</x:v>
      </x:c>
      <x:c r="N432" s="8" t="n">
        <x:f>MAX(0,G432+J432-K432)</x:f>
        <x:v>2637.0168377823416</x:v>
      </x:c>
      <x:c r="O432" s="8" t="n">
        <x:f>SUM(L432:N432)</x:f>
        <x:v>2637.0168377823416</x:v>
      </x:c>
      <x:c r="P432" s="14" t="n">
        <x:f>'Current inventory'!V54</x:f>
        <x:v>0.3998</x:v>
      </x:c>
      <x:c r="Q432" s="14" t="str">
        <x:f>'Current inventory'!W54</x:f>
        <x:v>n.a.</x:v>
      </x:c>
      <x:c r="R432" s="10" t="n">
        <x:f>L432*P432</x:f>
        <x:v>0</x:v>
      </x:c>
      <x:c r="S432" s="10" t="n">
        <x:f>M432*P432</x:f>
        <x:v>0</x:v>
      </x:c>
      <x:c r="T432" s="10" t="n">
        <x:f>N432*P432</x:f>
        <x:v>1054.2793317453802</x:v>
      </x:c>
      <x:c r="U432" s="10" t="n">
        <x:f>O432*P432</x:f>
        <x:v>1054.2793317453802</x:v>
      </x:c>
      <x:c r="V432" s="10" t="str">
        <x:f>IF(ISNUMBER(Q432),O432*(Q432-P432),"n.a.")</x:f>
        <x:v>n.a.</x:v>
      </x:c>
      <x:c r="W432" s="10" t="n">
        <x:f>IF(ISNUMBER(Q432),U432,0)</x:f>
        <x:v>0</x:v>
      </x:c>
      <x:c r="X432" s="8" t="n">
        <x:f>MAX(0,K432-SUM(E432:J432))</x:f>
        <x:v>0</x:v>
      </x:c>
      <x:c r="Y432" s="1" t="str">
        <x:f>IF(AND(O432&gt;0,NOT(ISNUMBER(Q432))),"No proposed replacement standard",IF(X432&gt;0,"Demand exceeds available stock",""))</x:f>
        <x:v>No proposed replacement standard</x:v>
      </x:c>
      <x:c r="Z432" s="1" t="n">
        <x:f>IF(ISNUMBER(Q432),1,0)</x:f>
        <x:v>0</x:v>
      </x:c>
    </x:row>
    <x:row r="433" ht="21" customHeight="1">
      <x:c r="A433" s="17" t="n">
        <x:f>Summary!B18</x:f>
        <x:v>46419</x:v>
      </x:c>
      <x:c r="B433" s="1" t="str">
        <x:f>'Current inventory'!A55</x:f>
        <x:v>60</x:v>
      </x:c>
      <x:c r="C433" s="1" t="str">
        <x:f>'Current inventory'!B55</x:f>
        <x:v>800WNAVASC</x:v>
      </x:c>
      <x:c r="D433" s="7" t="n">
        <x:f>A307</x:f>
        <x:v>46388</x:v>
      </x:c>
      <x:c r="E433" s="8" t="n">
        <x:f>L307</x:f>
        <x:v>0</x:v>
      </x:c>
      <x:c r="F433" s="8" t="n">
        <x:f>M307</x:f>
        <x:v>0</x:v>
      </x:c>
      <x:c r="G433" s="8" t="n">
        <x:f>N307</x:f>
        <x:v>953.9949075975359</x:v>
      </x:c>
      <x:c r="H433" s="8" t="n">
        <x:f>SUMIFS('PO detail'!$U$2:$U$672,'PO detail'!$A$2:$A$672,B433,'PO detail'!$B$2:$B$672,C433,'PO detail'!$G$2:$G$672,"&gt;="&amp;D433,'PO detail'!$G$2:$G$672,"&lt;"&amp;A433)</x:f>
        <x:v>0</x:v>
      </x:c>
      <x:c r="I433" s="8" t="n">
        <x:f>SUMIFS('PO detail'!$V$2:$V$672,'PO detail'!$A$2:$A$672,B433,'PO detail'!$B$2:$B$672,C433,'PO detail'!$G$2:$G$672,"&gt;="&amp;D433,'PO detail'!$G$2:$G$672,"&lt;"&amp;A433)</x:f>
        <x:v>0</x:v>
      </x:c>
      <x:c r="J433" s="8" t="n">
        <x:f>SUMIFS('PO detail'!$W$2:$W$672,'PO detail'!$A$2:$A$672,B433,'PO detail'!$B$2:$B$672,C433,'PO detail'!$G$2:$G$672,"&gt;="&amp;D433,'PO detail'!$G$2:$G$672,"&lt;"&amp;A433)</x:f>
        <x:v>0</x:v>
      </x:c>
      <x:c r="K433" s="8" t="n">
        <x:f>'Current inventory'!E55*Summary!$D$6*(A433-D433)/30.4375</x:f>
        <x:v>16.978069815195074</x:v>
      </x:c>
      <x:c r="L433" s="8" t="n">
        <x:f>MAX(0,E433+H433-K433)</x:f>
        <x:v>0</x:v>
      </x:c>
      <x:c r="M433" s="8" t="n">
        <x:f>MAX(0,F433+I433-MAX(0,K433-E433-H433))</x:f>
        <x:v>0</x:v>
      </x:c>
      <x:c r="N433" s="8" t="n">
        <x:f>MAX(0,G433+J433-K433)</x:f>
        <x:v>937.0168377823408</x:v>
      </x:c>
      <x:c r="O433" s="8" t="n">
        <x:f>SUM(L433:N433)</x:f>
        <x:v>937.0168377823408</x:v>
      </x:c>
      <x:c r="P433" s="14" t="n">
        <x:f>'Current inventory'!V55</x:f>
        <x:v>0.13570000000000002</x:v>
      </x:c>
      <x:c r="Q433" s="14" t="str">
        <x:f>'Current inventory'!W55</x:f>
        <x:v>n.a.</x:v>
      </x:c>
      <x:c r="R433" s="10" t="n">
        <x:f>L433*P433</x:f>
        <x:v>0</x:v>
      </x:c>
      <x:c r="S433" s="10" t="n">
        <x:f>M433*P433</x:f>
        <x:v>0</x:v>
      </x:c>
      <x:c r="T433" s="10" t="n">
        <x:f>N433*P433</x:f>
        <x:v>127.15318488706366</x:v>
      </x:c>
      <x:c r="U433" s="10" t="n">
        <x:f>O433*P433</x:f>
        <x:v>127.15318488706366</x:v>
      </x:c>
      <x:c r="V433" s="10" t="str">
        <x:f>IF(ISNUMBER(Q433),O433*(Q433-P433),"n.a.")</x:f>
        <x:v>n.a.</x:v>
      </x:c>
      <x:c r="W433" s="10" t="n">
        <x:f>IF(ISNUMBER(Q433),U433,0)</x:f>
        <x:v>0</x:v>
      </x:c>
      <x:c r="X433" s="8" t="n">
        <x:f>MAX(0,K433-SUM(E433:J433))</x:f>
        <x:v>0</x:v>
      </x:c>
      <x:c r="Y433" s="1" t="str">
        <x:f>IF(AND(O433&gt;0,NOT(ISNUMBER(Q433))),"No proposed replacement standard",IF(X433&gt;0,"Demand exceeds available stock",""))</x:f>
        <x:v>No proposed replacement standard</x:v>
      </x:c>
      <x:c r="Z433" s="1" t="n">
        <x:f>IF(ISNUMBER(Q433),1,0)</x:f>
        <x:v>0</x:v>
      </x:c>
    </x:row>
    <x:row r="434" ht="21" customHeight="1">
      <x:c r="A434" s="17" t="n">
        <x:f>Summary!B18</x:f>
        <x:v>46419</x:v>
      </x:c>
      <x:c r="B434" s="1" t="str">
        <x:f>'Current inventory'!A56</x:f>
        <x:v>60</x:v>
      </x:c>
      <x:c r="C434" s="1" t="str">
        <x:f>'Current inventory'!B56</x:f>
        <x:v>800BMARDSC</x:v>
      </x:c>
      <x:c r="D434" s="7" t="n">
        <x:f>A308</x:f>
        <x:v>46388</x:v>
      </x:c>
      <x:c r="E434" s="8" t="n">
        <x:f>L308</x:f>
        <x:v>0</x:v>
      </x:c>
      <x:c r="F434" s="8" t="n">
        <x:f>M308</x:f>
        <x:v>0</x:v>
      </x:c>
      <x:c r="G434" s="8" t="n">
        <x:f>N308</x:f>
        <x:v>577.0112525667352</x:v>
      </x:c>
      <x:c r="H434" s="8" t="n">
        <x:f>SUMIFS('PO detail'!$U$2:$U$672,'PO detail'!$A$2:$A$672,B434,'PO detail'!$B$2:$B$672,C434,'PO detail'!$G$2:$G$672,"&gt;="&amp;D434,'PO detail'!$G$2:$G$672,"&lt;"&amp;A434)</x:f>
        <x:v>0</x:v>
      </x:c>
      <x:c r="I434" s="8" t="n">
        <x:f>SUMIFS('PO detail'!$V$2:$V$672,'PO detail'!$A$2:$A$672,B434,'PO detail'!$B$2:$B$672,C434,'PO detail'!$G$2:$G$672,"&gt;="&amp;D434,'PO detail'!$G$2:$G$672,"&lt;"&amp;A434)</x:f>
        <x:v>0</x:v>
      </x:c>
      <x:c r="J434" s="8" t="n">
        <x:f>SUMIFS('PO detail'!$W$2:$W$672,'PO detail'!$A$2:$A$672,B434,'PO detail'!$B$2:$B$672,C434,'PO detail'!$G$2:$G$672,"&gt;="&amp;D434,'PO detail'!$G$2:$G$672,"&lt;"&amp;A434)</x:f>
        <x:v>0</x:v>
      </x:c>
      <x:c r="K434" s="8" t="n">
        <x:f>'Current inventory'!E56*Summary!$D$6*(A434-D434)/30.4375</x:f>
        <x:v>8.48394250513347</x:v>
      </x:c>
      <x:c r="L434" s="8" t="n">
        <x:f>MAX(0,E434+H434-K434)</x:f>
        <x:v>0</x:v>
      </x:c>
      <x:c r="M434" s="8" t="n">
        <x:f>MAX(0,F434+I434-MAX(0,K434-E434-H434))</x:f>
        <x:v>0</x:v>
      </x:c>
      <x:c r="N434" s="8" t="n">
        <x:f>MAX(0,G434+J434-K434)</x:f>
        <x:v>568.5273100616017</x:v>
      </x:c>
      <x:c r="O434" s="8" t="n">
        <x:f>SUM(L434:N434)</x:f>
        <x:v>568.5273100616017</x:v>
      </x:c>
      <x:c r="P434" s="14" t="n">
        <x:f>'Current inventory'!V56</x:f>
        <x:v>0.3998</x:v>
      </x:c>
      <x:c r="Q434" s="14" t="str">
        <x:f>'Current inventory'!W56</x:f>
        <x:v>n.a.</x:v>
      </x:c>
      <x:c r="R434" s="10" t="n">
        <x:f>L434*P434</x:f>
        <x:v>0</x:v>
      </x:c>
      <x:c r="S434" s="10" t="n">
        <x:f>M434*P434</x:f>
        <x:v>0</x:v>
      </x:c>
      <x:c r="T434" s="10" t="n">
        <x:f>N434*P434</x:f>
        <x:v>227.29721856262836</x:v>
      </x:c>
      <x:c r="U434" s="10" t="n">
        <x:f>O434*P434</x:f>
        <x:v>227.29721856262836</x:v>
      </x:c>
      <x:c r="V434" s="10" t="str">
        <x:f>IF(ISNUMBER(Q434),O434*(Q434-P434),"n.a.")</x:f>
        <x:v>n.a.</x:v>
      </x:c>
      <x:c r="W434" s="10" t="n">
        <x:f>IF(ISNUMBER(Q434),U434,0)</x:f>
        <x:v>0</x:v>
      </x:c>
      <x:c r="X434" s="8" t="n">
        <x:f>MAX(0,K434-SUM(E434:J434))</x:f>
        <x:v>0</x:v>
      </x:c>
      <x:c r="Y434" s="1" t="str">
        <x:f>IF(AND(O434&gt;0,NOT(ISNUMBER(Q434))),"No proposed replacement standard",IF(X434&gt;0,"Demand exceeds available stock",""))</x:f>
        <x:v>No proposed replacement standard</x:v>
      </x:c>
      <x:c r="Z434" s="1" t="n">
        <x:f>IF(ISNUMBER(Q434),1,0)</x:f>
        <x:v>0</x:v>
      </x:c>
    </x:row>
    <x:row r="435" ht="21" customHeight="1">
      <x:c r="A435" s="17" t="n">
        <x:f>Summary!B18</x:f>
        <x:v>46419</x:v>
      </x:c>
      <x:c r="B435" s="1" t="str">
        <x:f>'Current inventory'!A57</x:f>
        <x:v>10</x:v>
      </x:c>
      <x:c r="C435" s="1" t="str">
        <x:f>'Current inventory'!B57</x:f>
        <x:v>800BFGASC</x:v>
      </x:c>
      <x:c r="D435" s="7" t="n">
        <x:f>A309</x:f>
        <x:v>46388</x:v>
      </x:c>
      <x:c r="E435" s="8" t="n">
        <x:f>L309</x:f>
        <x:v>0</x:v>
      </x:c>
      <x:c r="F435" s="8" t="n">
        <x:f>M309</x:f>
        <x:v>0</x:v>
      </x:c>
      <x:c r="G435" s="8" t="n">
        <x:f>N309</x:f>
        <x:v>0</x:v>
      </x:c>
      <x:c r="H435" s="8" t="n">
        <x:f>SUMIFS('PO detail'!$U$2:$U$672,'PO detail'!$A$2:$A$672,B435,'PO detail'!$B$2:$B$672,C435,'PO detail'!$G$2:$G$672,"&gt;="&amp;D435,'PO detail'!$G$2:$G$672,"&lt;"&amp;A435)</x:f>
        <x:v>0</x:v>
      </x:c>
      <x:c r="I435" s="8" t="n">
        <x:f>SUMIFS('PO detail'!$V$2:$V$672,'PO detail'!$A$2:$A$672,B435,'PO detail'!$B$2:$B$672,C435,'PO detail'!$G$2:$G$672,"&gt;="&amp;D435,'PO detail'!$G$2:$G$672,"&lt;"&amp;A435)</x:f>
        <x:v>0</x:v>
      </x:c>
      <x:c r="J435" s="8" t="n">
        <x:f>SUMIFS('PO detail'!$W$2:$W$672,'PO detail'!$A$2:$A$672,B435,'PO detail'!$B$2:$B$672,C435,'PO detail'!$G$2:$G$672,"&gt;="&amp;D435,'PO detail'!$G$2:$G$672,"&lt;"&amp;A435)</x:f>
        <x:v>0</x:v>
      </x:c>
      <x:c r="K435" s="8" t="n">
        <x:f>'Current inventory'!E57*Summary!$D$6*(A435-D435)/30.4375</x:f>
        <x:v>0</x:v>
      </x:c>
      <x:c r="L435" s="8" t="n">
        <x:f>MAX(0,E435+H435-K435)</x:f>
        <x:v>0</x:v>
      </x:c>
      <x:c r="M435" s="8" t="n">
        <x:f>MAX(0,F435+I435-MAX(0,K435-E435-H435))</x:f>
        <x:v>0</x:v>
      </x:c>
      <x:c r="N435" s="8" t="n">
        <x:f>MAX(0,G435+J435-K435)</x:f>
        <x:v>0</x:v>
      </x:c>
      <x:c r="O435" s="8" t="n">
        <x:f>SUM(L435:N435)</x:f>
        <x:v>0</x:v>
      </x:c>
      <x:c r="P435" s="14" t="n">
        <x:f>'Current inventory'!V57</x:f>
        <x:v>0.1456</x:v>
      </x:c>
      <x:c r="Q435" s="14" t="str">
        <x:f>'Current inventory'!W57</x:f>
        <x:v>n.a.</x:v>
      </x:c>
      <x:c r="R435" s="10" t="n">
        <x:f>L435*P435</x:f>
        <x:v>0</x:v>
      </x:c>
      <x:c r="S435" s="10" t="n">
        <x:f>M435*P435</x:f>
        <x:v>0</x:v>
      </x:c>
      <x:c r="T435" s="10" t="n">
        <x:f>N435*P435</x:f>
        <x:v>0</x:v>
      </x:c>
      <x:c r="U435" s="10" t="n">
        <x:f>O435*P435</x:f>
        <x:v>0</x:v>
      </x:c>
      <x:c r="V435" s="10" t="str">
        <x:f>IF(ISNUMBER(Q435),O435*(Q435-P435),"n.a.")</x:f>
        <x:v>n.a.</x:v>
      </x:c>
      <x:c r="W435" s="10" t="n">
        <x:f>IF(ISNUMBER(Q435),U435,0)</x:f>
        <x:v>0</x:v>
      </x:c>
      <x:c r="X435" s="8" t="n">
        <x:f>MAX(0,K435-SUM(E435:J435))</x:f>
        <x:v>0</x:v>
      </x:c>
      <x:c r="Y435" s="1" t="str">
        <x:f>IF(AND(O435&gt;0,NOT(ISNUMBER(Q435))),"No proposed replacement standard",IF(X435&gt;0,"Demand exceeds available stock",""))</x:f>
      </x:c>
      <x:c r="Z435" s="1" t="n">
        <x:f>IF(ISNUMBER(Q435),1,0)</x:f>
        <x:v>0</x:v>
      </x:c>
    </x:row>
    <x:row r="436" ht="21" customHeight="1">
      <x:c r="A436" s="17" t="n">
        <x:f>Summary!B18</x:f>
        <x:v>46419</x:v>
      </x:c>
      <x:c r="B436" s="1" t="str">
        <x:f>'Current inventory'!A58</x:f>
        <x:v>10</x:v>
      </x:c>
      <x:c r="C436" s="1" t="str">
        <x:f>'Current inventory'!B58</x:f>
        <x:v>800BFGBRC</x:v>
      </x:c>
      <x:c r="D436" s="7" t="n">
        <x:f>A310</x:f>
        <x:v>46388</x:v>
      </x:c>
      <x:c r="E436" s="8" t="n">
        <x:f>L310</x:f>
        <x:v>0</x:v>
      </x:c>
      <x:c r="F436" s="8" t="n">
        <x:f>M310</x:f>
        <x:v>0</x:v>
      </x:c>
      <x:c r="G436" s="8" t="n">
        <x:f>N310</x:f>
        <x:v>0</x:v>
      </x:c>
      <x:c r="H436" s="8" t="n">
        <x:f>SUMIFS('PO detail'!$U$2:$U$672,'PO detail'!$A$2:$A$672,B436,'PO detail'!$B$2:$B$672,C436,'PO detail'!$G$2:$G$672,"&gt;="&amp;D436,'PO detail'!$G$2:$G$672,"&lt;"&amp;A436)</x:f>
        <x:v>0</x:v>
      </x:c>
      <x:c r="I436" s="8" t="n">
        <x:f>SUMIFS('PO detail'!$V$2:$V$672,'PO detail'!$A$2:$A$672,B436,'PO detail'!$B$2:$B$672,C436,'PO detail'!$G$2:$G$672,"&gt;="&amp;D436,'PO detail'!$G$2:$G$672,"&lt;"&amp;A436)</x:f>
        <x:v>0</x:v>
      </x:c>
      <x:c r="J436" s="8" t="n">
        <x:f>SUMIFS('PO detail'!$W$2:$W$672,'PO detail'!$A$2:$A$672,B436,'PO detail'!$B$2:$B$672,C436,'PO detail'!$G$2:$G$672,"&gt;="&amp;D436,'PO detail'!$G$2:$G$672,"&lt;"&amp;A436)</x:f>
        <x:v>0</x:v>
      </x:c>
      <x:c r="K436" s="8" t="n">
        <x:f>'Current inventory'!E58*Summary!$D$6*(A436-D436)/30.4375</x:f>
        <x:v>0</x:v>
      </x:c>
      <x:c r="L436" s="8" t="n">
        <x:f>MAX(0,E436+H436-K436)</x:f>
        <x:v>0</x:v>
      </x:c>
      <x:c r="M436" s="8" t="n">
        <x:f>MAX(0,F436+I436-MAX(0,K436-E436-H436))</x:f>
        <x:v>0</x:v>
      </x:c>
      <x:c r="N436" s="8" t="n">
        <x:f>MAX(0,G436+J436-K436)</x:f>
        <x:v>0</x:v>
      </x:c>
      <x:c r="O436" s="8" t="n">
        <x:f>SUM(L436:N436)</x:f>
        <x:v>0</x:v>
      </x:c>
      <x:c r="P436" s="14" t="n">
        <x:f>'Current inventory'!V58</x:f>
        <x:v>0.18469999999999998</x:v>
      </x:c>
      <x:c r="Q436" s="14" t="str">
        <x:f>'Current inventory'!W58</x:f>
        <x:v>n.a.</x:v>
      </x:c>
      <x:c r="R436" s="10" t="n">
        <x:f>L436*P436</x:f>
        <x:v>0</x:v>
      </x:c>
      <x:c r="S436" s="10" t="n">
        <x:f>M436*P436</x:f>
        <x:v>0</x:v>
      </x:c>
      <x:c r="T436" s="10" t="n">
        <x:f>N436*P436</x:f>
        <x:v>0</x:v>
      </x:c>
      <x:c r="U436" s="10" t="n">
        <x:f>O436*P436</x:f>
        <x:v>0</x:v>
      </x:c>
      <x:c r="V436" s="10" t="str">
        <x:f>IF(ISNUMBER(Q436),O436*(Q436-P436),"n.a.")</x:f>
        <x:v>n.a.</x:v>
      </x:c>
      <x:c r="W436" s="10" t="n">
        <x:f>IF(ISNUMBER(Q436),U436,0)</x:f>
        <x:v>0</x:v>
      </x:c>
      <x:c r="X436" s="8" t="n">
        <x:f>MAX(0,K436-SUM(E436:J436))</x:f>
        <x:v>0</x:v>
      </x:c>
      <x:c r="Y436" s="1" t="str">
        <x:f>IF(AND(O436&gt;0,NOT(ISNUMBER(Q436))),"No proposed replacement standard",IF(X436&gt;0,"Demand exceeds available stock",""))</x:f>
      </x:c>
      <x:c r="Z436" s="1" t="n">
        <x:f>IF(ISNUMBER(Q436),1,0)</x:f>
        <x:v>0</x:v>
      </x:c>
    </x:row>
    <x:row r="437" ht="21" customHeight="1">
      <x:c r="A437" s="17" t="n">
        <x:f>Summary!B18</x:f>
        <x:v>46419</x:v>
      </x:c>
      <x:c r="B437" s="1" t="str">
        <x:f>'Current inventory'!A59</x:f>
        <x:v>10</x:v>
      </x:c>
      <x:c r="C437" s="1" t="str">
        <x:f>'Current inventory'!B59</x:f>
        <x:v>800BFGCSC</x:v>
      </x:c>
      <x:c r="D437" s="7" t="n">
        <x:f>A311</x:f>
        <x:v>46388</x:v>
      </x:c>
      <x:c r="E437" s="8" t="n">
        <x:f>L311</x:f>
        <x:v>0</x:v>
      </x:c>
      <x:c r="F437" s="8" t="n">
        <x:f>M311</x:f>
        <x:v>0</x:v>
      </x:c>
      <x:c r="G437" s="8" t="n">
        <x:f>N311</x:f>
        <x:v>0</x:v>
      </x:c>
      <x:c r="H437" s="8" t="n">
        <x:f>SUMIFS('PO detail'!$U$2:$U$672,'PO detail'!$A$2:$A$672,B437,'PO detail'!$B$2:$B$672,C437,'PO detail'!$G$2:$G$672,"&gt;="&amp;D437,'PO detail'!$G$2:$G$672,"&lt;"&amp;A437)</x:f>
        <x:v>0</x:v>
      </x:c>
      <x:c r="I437" s="8" t="n">
        <x:f>SUMIFS('PO detail'!$V$2:$V$672,'PO detail'!$A$2:$A$672,B437,'PO detail'!$B$2:$B$672,C437,'PO detail'!$G$2:$G$672,"&gt;="&amp;D437,'PO detail'!$G$2:$G$672,"&lt;"&amp;A437)</x:f>
        <x:v>0</x:v>
      </x:c>
      <x:c r="J437" s="8" t="n">
        <x:f>SUMIFS('PO detail'!$W$2:$W$672,'PO detail'!$A$2:$A$672,B437,'PO detail'!$B$2:$B$672,C437,'PO detail'!$G$2:$G$672,"&gt;="&amp;D437,'PO detail'!$G$2:$G$672,"&lt;"&amp;A437)</x:f>
        <x:v>0</x:v>
      </x:c>
      <x:c r="K437" s="8" t="n">
        <x:f>'Current inventory'!E59*Summary!$D$6*(A437-D437)/30.4375</x:f>
        <x:v>0</x:v>
      </x:c>
      <x:c r="L437" s="8" t="n">
        <x:f>MAX(0,E437+H437-K437)</x:f>
        <x:v>0</x:v>
      </x:c>
      <x:c r="M437" s="8" t="n">
        <x:f>MAX(0,F437+I437-MAX(0,K437-E437-H437))</x:f>
        <x:v>0</x:v>
      </x:c>
      <x:c r="N437" s="8" t="n">
        <x:f>MAX(0,G437+J437-K437)</x:f>
        <x:v>0</x:v>
      </x:c>
      <x:c r="O437" s="8" t="n">
        <x:f>SUM(L437:N437)</x:f>
        <x:v>0</x:v>
      </x:c>
      <x:c r="P437" s="14" t="n">
        <x:f>'Current inventory'!V59</x:f>
        <x:v>0.21559999999999999</x:v>
      </x:c>
      <x:c r="Q437" s="14" t="str">
        <x:f>'Current inventory'!W59</x:f>
        <x:v>n.a.</x:v>
      </x:c>
      <x:c r="R437" s="10" t="n">
        <x:f>L437*P437</x:f>
        <x:v>0</x:v>
      </x:c>
      <x:c r="S437" s="10" t="n">
        <x:f>M437*P437</x:f>
        <x:v>0</x:v>
      </x:c>
      <x:c r="T437" s="10" t="n">
        <x:f>N437*P437</x:f>
        <x:v>0</x:v>
      </x:c>
      <x:c r="U437" s="10" t="n">
        <x:f>O437*P437</x:f>
        <x:v>0</x:v>
      </x:c>
      <x:c r="V437" s="10" t="str">
        <x:f>IF(ISNUMBER(Q437),O437*(Q437-P437),"n.a.")</x:f>
        <x:v>n.a.</x:v>
      </x:c>
      <x:c r="W437" s="10" t="n">
        <x:f>IF(ISNUMBER(Q437),U437,0)</x:f>
        <x:v>0</x:v>
      </x:c>
      <x:c r="X437" s="8" t="n">
        <x:f>MAX(0,K437-SUM(E437:J437))</x:f>
        <x:v>0</x:v>
      </x:c>
      <x:c r="Y437" s="1" t="str">
        <x:f>IF(AND(O437&gt;0,NOT(ISNUMBER(Q437))),"No proposed replacement standard",IF(X437&gt;0,"Demand exceeds available stock",""))</x:f>
      </x:c>
      <x:c r="Z437" s="1" t="n">
        <x:f>IF(ISNUMBER(Q437),1,0)</x:f>
        <x:v>0</x:v>
      </x:c>
    </x:row>
    <x:row r="438" ht="21" customHeight="1">
      <x:c r="A438" s="17" t="n">
        <x:f>Summary!B18</x:f>
        <x:v>46419</x:v>
      </x:c>
      <x:c r="B438" s="1" t="str">
        <x:f>'Current inventory'!A60</x:f>
        <x:v>10</x:v>
      </x:c>
      <x:c r="C438" s="1" t="str">
        <x:f>'Current inventory'!B60</x:f>
        <x:v>800BFGDSC</x:v>
      </x:c>
      <x:c r="D438" s="7" t="n">
        <x:f>A312</x:f>
        <x:v>46388</x:v>
      </x:c>
      <x:c r="E438" s="8" t="n">
        <x:f>L312</x:f>
        <x:v>0</x:v>
      </x:c>
      <x:c r="F438" s="8" t="n">
        <x:f>M312</x:f>
        <x:v>0</x:v>
      </x:c>
      <x:c r="G438" s="8" t="n">
        <x:f>N312</x:f>
        <x:v>0</x:v>
      </x:c>
      <x:c r="H438" s="8" t="n">
        <x:f>SUMIFS('PO detail'!$U$2:$U$672,'PO detail'!$A$2:$A$672,B438,'PO detail'!$B$2:$B$672,C438,'PO detail'!$G$2:$G$672,"&gt;="&amp;D438,'PO detail'!$G$2:$G$672,"&lt;"&amp;A438)</x:f>
        <x:v>0</x:v>
      </x:c>
      <x:c r="I438" s="8" t="n">
        <x:f>SUMIFS('PO detail'!$V$2:$V$672,'PO detail'!$A$2:$A$672,B438,'PO detail'!$B$2:$B$672,C438,'PO detail'!$G$2:$G$672,"&gt;="&amp;D438,'PO detail'!$G$2:$G$672,"&lt;"&amp;A438)</x:f>
        <x:v>0</x:v>
      </x:c>
      <x:c r="J438" s="8" t="n">
        <x:f>SUMIFS('PO detail'!$W$2:$W$672,'PO detail'!$A$2:$A$672,B438,'PO detail'!$B$2:$B$672,C438,'PO detail'!$G$2:$G$672,"&gt;="&amp;D438,'PO detail'!$G$2:$G$672,"&lt;"&amp;A438)</x:f>
        <x:v>0</x:v>
      </x:c>
      <x:c r="K438" s="8" t="n">
        <x:f>'Current inventory'!E60*Summary!$D$6*(A438-D438)/30.4375</x:f>
        <x:v>0</x:v>
      </x:c>
      <x:c r="L438" s="8" t="n">
        <x:f>MAX(0,E438+H438-K438)</x:f>
        <x:v>0</x:v>
      </x:c>
      <x:c r="M438" s="8" t="n">
        <x:f>MAX(0,F438+I438-MAX(0,K438-E438-H438))</x:f>
        <x:v>0</x:v>
      </x:c>
      <x:c r="N438" s="8" t="n">
        <x:f>MAX(0,G438+J438-K438)</x:f>
        <x:v>0</x:v>
      </x:c>
      <x:c r="O438" s="8" t="n">
        <x:f>SUM(L438:N438)</x:f>
        <x:v>0</x:v>
      </x:c>
      <x:c r="P438" s="14" t="n">
        <x:f>'Current inventory'!V60</x:f>
        <x:v>0.38</x:v>
      </x:c>
      <x:c r="Q438" s="14" t="str">
        <x:f>'Current inventory'!W60</x:f>
        <x:v>n.a.</x:v>
      </x:c>
      <x:c r="R438" s="10" t="n">
        <x:f>L438*P438</x:f>
        <x:v>0</x:v>
      </x:c>
      <x:c r="S438" s="10" t="n">
        <x:f>M438*P438</x:f>
        <x:v>0</x:v>
      </x:c>
      <x:c r="T438" s="10" t="n">
        <x:f>N438*P438</x:f>
        <x:v>0</x:v>
      </x:c>
      <x:c r="U438" s="10" t="n">
        <x:f>O438*P438</x:f>
        <x:v>0</x:v>
      </x:c>
      <x:c r="V438" s="10" t="str">
        <x:f>IF(ISNUMBER(Q438),O438*(Q438-P438),"n.a.")</x:f>
        <x:v>n.a.</x:v>
      </x:c>
      <x:c r="W438" s="10" t="n">
        <x:f>IF(ISNUMBER(Q438),U438,0)</x:f>
        <x:v>0</x:v>
      </x:c>
      <x:c r="X438" s="8" t="n">
        <x:f>MAX(0,K438-SUM(E438:J438))</x:f>
        <x:v>0</x:v>
      </x:c>
      <x:c r="Y438" s="1" t="str">
        <x:f>IF(AND(O438&gt;0,NOT(ISNUMBER(Q438))),"No proposed replacement standard",IF(X438&gt;0,"Demand exceeds available stock",""))</x:f>
      </x:c>
      <x:c r="Z438" s="1" t="n">
        <x:f>IF(ISNUMBER(Q438),1,0)</x:f>
        <x:v>0</x:v>
      </x:c>
    </x:row>
    <x:row r="439" ht="21" customHeight="1">
      <x:c r="A439" s="17" t="n">
        <x:f>Summary!B18</x:f>
        <x:v>46419</x:v>
      </x:c>
      <x:c r="B439" s="1" t="str">
        <x:f>'Current inventory'!A61</x:f>
        <x:v>10</x:v>
      </x:c>
      <x:c r="C439" s="1" t="str">
        <x:f>'Current inventory'!B61</x:f>
        <x:v>800BFGISC</x:v>
      </x:c>
      <x:c r="D439" s="7" t="n">
        <x:f>A313</x:f>
        <x:v>46388</x:v>
      </x:c>
      <x:c r="E439" s="8" t="n">
        <x:f>L313</x:f>
        <x:v>0</x:v>
      </x:c>
      <x:c r="F439" s="8" t="n">
        <x:f>M313</x:f>
        <x:v>0</x:v>
      </x:c>
      <x:c r="G439" s="8" t="n">
        <x:f>N313</x:f>
        <x:v>0</x:v>
      </x:c>
      <x:c r="H439" s="8" t="n">
        <x:f>SUMIFS('PO detail'!$U$2:$U$672,'PO detail'!$A$2:$A$672,B439,'PO detail'!$B$2:$B$672,C439,'PO detail'!$G$2:$G$672,"&gt;="&amp;D439,'PO detail'!$G$2:$G$672,"&lt;"&amp;A439)</x:f>
        <x:v>0</x:v>
      </x:c>
      <x:c r="I439" s="8" t="n">
        <x:f>SUMIFS('PO detail'!$V$2:$V$672,'PO detail'!$A$2:$A$672,B439,'PO detail'!$B$2:$B$672,C439,'PO detail'!$G$2:$G$672,"&gt;="&amp;D439,'PO detail'!$G$2:$G$672,"&lt;"&amp;A439)</x:f>
        <x:v>0</x:v>
      </x:c>
      <x:c r="J439" s="8" t="n">
        <x:f>SUMIFS('PO detail'!$W$2:$W$672,'PO detail'!$A$2:$A$672,B439,'PO detail'!$B$2:$B$672,C439,'PO detail'!$G$2:$G$672,"&gt;="&amp;D439,'PO detail'!$G$2:$G$672,"&lt;"&amp;A439)</x:f>
        <x:v>0</x:v>
      </x:c>
      <x:c r="K439" s="8" t="n">
        <x:f>'Current inventory'!E61*Summary!$D$6*(A439-D439)/30.4375</x:f>
        <x:v>0</x:v>
      </x:c>
      <x:c r="L439" s="8" t="n">
        <x:f>MAX(0,E439+H439-K439)</x:f>
        <x:v>0</x:v>
      </x:c>
      <x:c r="M439" s="8" t="n">
        <x:f>MAX(0,F439+I439-MAX(0,K439-E439-H439))</x:f>
        <x:v>0</x:v>
      </x:c>
      <x:c r="N439" s="8" t="n">
        <x:f>MAX(0,G439+J439-K439)</x:f>
        <x:v>0</x:v>
      </x:c>
      <x:c r="O439" s="8" t="n">
        <x:f>SUM(L439:N439)</x:f>
        <x:v>0</x:v>
      </x:c>
      <x:c r="P439" s="14" t="n">
        <x:f>'Current inventory'!V61</x:f>
        <x:v>0.1797</x:v>
      </x:c>
      <x:c r="Q439" s="14" t="str">
        <x:f>'Current inventory'!W61</x:f>
        <x:v>n.a.</x:v>
      </x:c>
      <x:c r="R439" s="10" t="n">
        <x:f>L439*P439</x:f>
        <x:v>0</x:v>
      </x:c>
      <x:c r="S439" s="10" t="n">
        <x:f>M439*P439</x:f>
        <x:v>0</x:v>
      </x:c>
      <x:c r="T439" s="10" t="n">
        <x:f>N439*P439</x:f>
        <x:v>0</x:v>
      </x:c>
      <x:c r="U439" s="10" t="n">
        <x:f>O439*P439</x:f>
        <x:v>0</x:v>
      </x:c>
      <x:c r="V439" s="10" t="str">
        <x:f>IF(ISNUMBER(Q439),O439*(Q439-P439),"n.a.")</x:f>
        <x:v>n.a.</x:v>
      </x:c>
      <x:c r="W439" s="10" t="n">
        <x:f>IF(ISNUMBER(Q439),U439,0)</x:f>
        <x:v>0</x:v>
      </x:c>
      <x:c r="X439" s="8" t="n">
        <x:f>MAX(0,K439-SUM(E439:J439))</x:f>
        <x:v>0</x:v>
      </x:c>
      <x:c r="Y439" s="1" t="str">
        <x:f>IF(AND(O439&gt;0,NOT(ISNUMBER(Q439))),"No proposed replacement standard",IF(X439&gt;0,"Demand exceeds available stock",""))</x:f>
      </x:c>
      <x:c r="Z439" s="1" t="n">
        <x:f>IF(ISNUMBER(Q439),1,0)</x:f>
        <x:v>0</x:v>
      </x:c>
    </x:row>
    <x:row r="440" ht="21" customHeight="1">
      <x:c r="A440" s="17" t="n">
        <x:f>Summary!B18</x:f>
        <x:v>46419</x:v>
      </x:c>
      <x:c r="B440" s="1" t="str">
        <x:f>'Current inventory'!A62</x:f>
        <x:v>10</x:v>
      </x:c>
      <x:c r="C440" s="1" t="str">
        <x:f>'Current inventory'!B62</x:f>
        <x:v>800BLKF</x:v>
      </x:c>
      <x:c r="D440" s="7" t="n">
        <x:f>A314</x:f>
        <x:v>46388</x:v>
      </x:c>
      <x:c r="E440" s="8" t="n">
        <x:f>L314</x:f>
        <x:v>0</x:v>
      </x:c>
      <x:c r="F440" s="8" t="n">
        <x:f>M314</x:f>
        <x:v>0</x:v>
      </x:c>
      <x:c r="G440" s="8" t="n">
        <x:f>N314</x:f>
        <x:v>0</x:v>
      </x:c>
      <x:c r="H440" s="8" t="n">
        <x:f>SUMIFS('PO detail'!$U$2:$U$672,'PO detail'!$A$2:$A$672,B440,'PO detail'!$B$2:$B$672,C440,'PO detail'!$G$2:$G$672,"&gt;="&amp;D440,'PO detail'!$G$2:$G$672,"&lt;"&amp;A440)</x:f>
        <x:v>0</x:v>
      </x:c>
      <x:c r="I440" s="8" t="n">
        <x:f>SUMIFS('PO detail'!$V$2:$V$672,'PO detail'!$A$2:$A$672,B440,'PO detail'!$B$2:$B$672,C440,'PO detail'!$G$2:$G$672,"&gt;="&amp;D440,'PO detail'!$G$2:$G$672,"&lt;"&amp;A440)</x:f>
        <x:v>0</x:v>
      </x:c>
      <x:c r="J440" s="8" t="n">
        <x:f>SUMIFS('PO detail'!$W$2:$W$672,'PO detail'!$A$2:$A$672,B440,'PO detail'!$B$2:$B$672,C440,'PO detail'!$G$2:$G$672,"&gt;="&amp;D440,'PO detail'!$G$2:$G$672,"&lt;"&amp;A440)</x:f>
        <x:v>0</x:v>
      </x:c>
      <x:c r="K440" s="8" t="n">
        <x:f>'Current inventory'!E62*Summary!$D$6*(A440-D440)/30.4375</x:f>
        <x:v>0</x:v>
      </x:c>
      <x:c r="L440" s="8" t="n">
        <x:f>MAX(0,E440+H440-K440)</x:f>
        <x:v>0</x:v>
      </x:c>
      <x:c r="M440" s="8" t="n">
        <x:f>MAX(0,F440+I440-MAX(0,K440-E440-H440))</x:f>
        <x:v>0</x:v>
      </x:c>
      <x:c r="N440" s="8" t="n">
        <x:f>MAX(0,G440+J440-K440)</x:f>
        <x:v>0</x:v>
      </x:c>
      <x:c r="O440" s="8" t="n">
        <x:f>SUM(L440:N440)</x:f>
        <x:v>0</x:v>
      </x:c>
      <x:c r="P440" s="14" t="n">
        <x:f>'Current inventory'!V62</x:f>
        <x:v>7.03</x:v>
      </x:c>
      <x:c r="Q440" s="14" t="str">
        <x:f>'Current inventory'!W62</x:f>
        <x:v>n.a.</x:v>
      </x:c>
      <x:c r="R440" s="10" t="n">
        <x:f>L440*P440</x:f>
        <x:v>0</x:v>
      </x:c>
      <x:c r="S440" s="10" t="n">
        <x:f>M440*P440</x:f>
        <x:v>0</x:v>
      </x:c>
      <x:c r="T440" s="10" t="n">
        <x:f>N440*P440</x:f>
        <x:v>0</x:v>
      </x:c>
      <x:c r="U440" s="10" t="n">
        <x:f>O440*P440</x:f>
        <x:v>0</x:v>
      </x:c>
      <x:c r="V440" s="10" t="str">
        <x:f>IF(ISNUMBER(Q440),O440*(Q440-P440),"n.a.")</x:f>
        <x:v>n.a.</x:v>
      </x:c>
      <x:c r="W440" s="10" t="n">
        <x:f>IF(ISNUMBER(Q440),U440,0)</x:f>
        <x:v>0</x:v>
      </x:c>
      <x:c r="X440" s="8" t="n">
        <x:f>MAX(0,K440-SUM(E440:J440))</x:f>
        <x:v>0</x:v>
      </x:c>
      <x:c r="Y440" s="1" t="str">
        <x:f>IF(AND(O440&gt;0,NOT(ISNUMBER(Q440))),"No proposed replacement standard",IF(X440&gt;0,"Demand exceeds available stock",""))</x:f>
      </x:c>
      <x:c r="Z440" s="1" t="n">
        <x:f>IF(ISNUMBER(Q440),1,0)</x:f>
        <x:v>0</x:v>
      </x:c>
    </x:row>
    <x:row r="441" ht="21" customHeight="1">
      <x:c r="A441" s="17" t="n">
        <x:f>Summary!B18</x:f>
        <x:v>46419</x:v>
      </x:c>
      <x:c r="B441" s="1" t="str">
        <x:f>'Current inventory'!A63</x:f>
        <x:v>10</x:v>
      </x:c>
      <x:c r="C441" s="1" t="str">
        <x:f>'Current inventory'!B63</x:f>
        <x:v>800BWHTASC</x:v>
      </x:c>
      <x:c r="D441" s="7" t="n">
        <x:f>A315</x:f>
        <x:v>46388</x:v>
      </x:c>
      <x:c r="E441" s="8" t="n">
        <x:f>L315</x:f>
        <x:v>0</x:v>
      </x:c>
      <x:c r="F441" s="8" t="n">
        <x:f>M315</x:f>
        <x:v>0</x:v>
      </x:c>
      <x:c r="G441" s="8" t="n">
        <x:f>N315</x:f>
        <x:v>0</x:v>
      </x:c>
      <x:c r="H441" s="8" t="n">
        <x:f>SUMIFS('PO detail'!$U$2:$U$672,'PO detail'!$A$2:$A$672,B441,'PO detail'!$B$2:$B$672,C441,'PO detail'!$G$2:$G$672,"&gt;="&amp;D441,'PO detail'!$G$2:$G$672,"&lt;"&amp;A441)</x:f>
        <x:v>0</x:v>
      </x:c>
      <x:c r="I441" s="8" t="n">
        <x:f>SUMIFS('PO detail'!$V$2:$V$672,'PO detail'!$A$2:$A$672,B441,'PO detail'!$B$2:$B$672,C441,'PO detail'!$G$2:$G$672,"&gt;="&amp;D441,'PO detail'!$G$2:$G$672,"&lt;"&amp;A441)</x:f>
        <x:v>0</x:v>
      </x:c>
      <x:c r="J441" s="8" t="n">
        <x:f>SUMIFS('PO detail'!$W$2:$W$672,'PO detail'!$A$2:$A$672,B441,'PO detail'!$B$2:$B$672,C441,'PO detail'!$G$2:$G$672,"&gt;="&amp;D441,'PO detail'!$G$2:$G$672,"&lt;"&amp;A441)</x:f>
        <x:v>0</x:v>
      </x:c>
      <x:c r="K441" s="8" t="n">
        <x:f>'Current inventory'!E63*Summary!$D$6*(A441-D441)/30.4375</x:f>
        <x:v>0</x:v>
      </x:c>
      <x:c r="L441" s="8" t="n">
        <x:f>MAX(0,E441+H441-K441)</x:f>
        <x:v>0</x:v>
      </x:c>
      <x:c r="M441" s="8" t="n">
        <x:f>MAX(0,F441+I441-MAX(0,K441-E441-H441))</x:f>
        <x:v>0</x:v>
      </x:c>
      <x:c r="N441" s="8" t="n">
        <x:f>MAX(0,G441+J441-K441)</x:f>
        <x:v>0</x:v>
      </x:c>
      <x:c r="O441" s="8" t="n">
        <x:f>SUM(L441:N441)</x:f>
        <x:v>0</x:v>
      </x:c>
      <x:c r="P441" s="14" t="n">
        <x:f>'Current inventory'!V63</x:f>
        <x:v>0.1456</x:v>
      </x:c>
      <x:c r="Q441" s="14" t="str">
        <x:f>'Current inventory'!W63</x:f>
        <x:v>n.a.</x:v>
      </x:c>
      <x:c r="R441" s="10" t="n">
        <x:f>L441*P441</x:f>
        <x:v>0</x:v>
      </x:c>
      <x:c r="S441" s="10" t="n">
        <x:f>M441*P441</x:f>
        <x:v>0</x:v>
      </x:c>
      <x:c r="T441" s="10" t="n">
        <x:f>N441*P441</x:f>
        <x:v>0</x:v>
      </x:c>
      <x:c r="U441" s="10" t="n">
        <x:f>O441*P441</x:f>
        <x:v>0</x:v>
      </x:c>
      <x:c r="V441" s="10" t="str">
        <x:f>IF(ISNUMBER(Q441),O441*(Q441-P441),"n.a.")</x:f>
        <x:v>n.a.</x:v>
      </x:c>
      <x:c r="W441" s="10" t="n">
        <x:f>IF(ISNUMBER(Q441),U441,0)</x:f>
        <x:v>0</x:v>
      </x:c>
      <x:c r="X441" s="8" t="n">
        <x:f>MAX(0,K441-SUM(E441:J441))</x:f>
        <x:v>0</x:v>
      </x:c>
      <x:c r="Y441" s="1" t="str">
        <x:f>IF(AND(O441&gt;0,NOT(ISNUMBER(Q441))),"No proposed replacement standard",IF(X441&gt;0,"Demand exceeds available stock",""))</x:f>
      </x:c>
      <x:c r="Z441" s="1" t="n">
        <x:f>IF(ISNUMBER(Q441),1,0)</x:f>
        <x:v>0</x:v>
      </x:c>
    </x:row>
    <x:row r="442" ht="21" customHeight="1">
      <x:c r="A442" s="17" t="n">
        <x:f>Summary!B18</x:f>
        <x:v>46419</x:v>
      </x:c>
      <x:c r="B442" s="1" t="str">
        <x:f>'Current inventory'!A64</x:f>
        <x:v>10</x:v>
      </x:c>
      <x:c r="C442" s="1" t="str">
        <x:f>'Current inventory'!B64</x:f>
        <x:v>800BWHTBRC</x:v>
      </x:c>
      <x:c r="D442" s="7" t="n">
        <x:f>A316</x:f>
        <x:v>46388</x:v>
      </x:c>
      <x:c r="E442" s="8" t="n">
        <x:f>L316</x:f>
        <x:v>0</x:v>
      </x:c>
      <x:c r="F442" s="8" t="n">
        <x:f>M316</x:f>
        <x:v>0</x:v>
      </x:c>
      <x:c r="G442" s="8" t="n">
        <x:f>N316</x:f>
        <x:v>0</x:v>
      </x:c>
      <x:c r="H442" s="8" t="n">
        <x:f>SUMIFS('PO detail'!$U$2:$U$672,'PO detail'!$A$2:$A$672,B442,'PO detail'!$B$2:$B$672,C442,'PO detail'!$G$2:$G$672,"&gt;="&amp;D442,'PO detail'!$G$2:$G$672,"&lt;"&amp;A442)</x:f>
        <x:v>0</x:v>
      </x:c>
      <x:c r="I442" s="8" t="n">
        <x:f>SUMIFS('PO detail'!$V$2:$V$672,'PO detail'!$A$2:$A$672,B442,'PO detail'!$B$2:$B$672,C442,'PO detail'!$G$2:$G$672,"&gt;="&amp;D442,'PO detail'!$G$2:$G$672,"&lt;"&amp;A442)</x:f>
        <x:v>0</x:v>
      </x:c>
      <x:c r="J442" s="8" t="n">
        <x:f>SUMIFS('PO detail'!$W$2:$W$672,'PO detail'!$A$2:$A$672,B442,'PO detail'!$B$2:$B$672,C442,'PO detail'!$G$2:$G$672,"&gt;="&amp;D442,'PO detail'!$G$2:$G$672,"&lt;"&amp;A442)</x:f>
        <x:v>0</x:v>
      </x:c>
      <x:c r="K442" s="8" t="n">
        <x:f>'Current inventory'!E64*Summary!$D$6*(A442-D442)/30.4375</x:f>
        <x:v>0</x:v>
      </x:c>
      <x:c r="L442" s="8" t="n">
        <x:f>MAX(0,E442+H442-K442)</x:f>
        <x:v>0</x:v>
      </x:c>
      <x:c r="M442" s="8" t="n">
        <x:f>MAX(0,F442+I442-MAX(0,K442-E442-H442))</x:f>
        <x:v>0</x:v>
      </x:c>
      <x:c r="N442" s="8" t="n">
        <x:f>MAX(0,G442+J442-K442)</x:f>
        <x:v>0</x:v>
      </x:c>
      <x:c r="O442" s="8" t="n">
        <x:f>SUM(L442:N442)</x:f>
        <x:v>0</x:v>
      </x:c>
      <x:c r="P442" s="14" t="n">
        <x:f>'Current inventory'!V64</x:f>
        <x:v>0.18469999999999998</x:v>
      </x:c>
      <x:c r="Q442" s="14" t="str">
        <x:f>'Current inventory'!W64</x:f>
        <x:v>n.a.</x:v>
      </x:c>
      <x:c r="R442" s="10" t="n">
        <x:f>L442*P442</x:f>
        <x:v>0</x:v>
      </x:c>
      <x:c r="S442" s="10" t="n">
        <x:f>M442*P442</x:f>
        <x:v>0</x:v>
      </x:c>
      <x:c r="T442" s="10" t="n">
        <x:f>N442*P442</x:f>
        <x:v>0</x:v>
      </x:c>
      <x:c r="U442" s="10" t="n">
        <x:f>O442*P442</x:f>
        <x:v>0</x:v>
      </x:c>
      <x:c r="V442" s="10" t="str">
        <x:f>IF(ISNUMBER(Q442),O442*(Q442-P442),"n.a.")</x:f>
        <x:v>n.a.</x:v>
      </x:c>
      <x:c r="W442" s="10" t="n">
        <x:f>IF(ISNUMBER(Q442),U442,0)</x:f>
        <x:v>0</x:v>
      </x:c>
      <x:c r="X442" s="8" t="n">
        <x:f>MAX(0,K442-SUM(E442:J442))</x:f>
        <x:v>0</x:v>
      </x:c>
      <x:c r="Y442" s="1" t="str">
        <x:f>IF(AND(O442&gt;0,NOT(ISNUMBER(Q442))),"No proposed replacement standard",IF(X442&gt;0,"Demand exceeds available stock",""))</x:f>
      </x:c>
      <x:c r="Z442" s="1" t="n">
        <x:f>IF(ISNUMBER(Q442),1,0)</x:f>
        <x:v>0</x:v>
      </x:c>
    </x:row>
    <x:row r="443" ht="21" customHeight="1">
      <x:c r="A443" s="17" t="n">
        <x:f>Summary!B18</x:f>
        <x:v>46419</x:v>
      </x:c>
      <x:c r="B443" s="1" t="str">
        <x:f>'Current inventory'!A65</x:f>
        <x:v>10</x:v>
      </x:c>
      <x:c r="C443" s="1" t="str">
        <x:f>'Current inventory'!B65</x:f>
        <x:v>800BWHTCSC</x:v>
      </x:c>
      <x:c r="D443" s="7" t="n">
        <x:f>A317</x:f>
        <x:v>46388</x:v>
      </x:c>
      <x:c r="E443" s="8" t="n">
        <x:f>L317</x:f>
        <x:v>0</x:v>
      </x:c>
      <x:c r="F443" s="8" t="n">
        <x:f>M317</x:f>
        <x:v>0</x:v>
      </x:c>
      <x:c r="G443" s="8" t="n">
        <x:f>N317</x:f>
        <x:v>0</x:v>
      </x:c>
      <x:c r="H443" s="8" t="n">
        <x:f>SUMIFS('PO detail'!$U$2:$U$672,'PO detail'!$A$2:$A$672,B443,'PO detail'!$B$2:$B$672,C443,'PO detail'!$G$2:$G$672,"&gt;="&amp;D443,'PO detail'!$G$2:$G$672,"&lt;"&amp;A443)</x:f>
        <x:v>0</x:v>
      </x:c>
      <x:c r="I443" s="8" t="n">
        <x:f>SUMIFS('PO detail'!$V$2:$V$672,'PO detail'!$A$2:$A$672,B443,'PO detail'!$B$2:$B$672,C443,'PO detail'!$G$2:$G$672,"&gt;="&amp;D443,'PO detail'!$G$2:$G$672,"&lt;"&amp;A443)</x:f>
        <x:v>0</x:v>
      </x:c>
      <x:c r="J443" s="8" t="n">
        <x:f>SUMIFS('PO detail'!$W$2:$W$672,'PO detail'!$A$2:$A$672,B443,'PO detail'!$B$2:$B$672,C443,'PO detail'!$G$2:$G$672,"&gt;="&amp;D443,'PO detail'!$G$2:$G$672,"&lt;"&amp;A443)</x:f>
        <x:v>0</x:v>
      </x:c>
      <x:c r="K443" s="8" t="n">
        <x:f>'Current inventory'!E65*Summary!$D$6*(A443-D443)/30.4375</x:f>
        <x:v>0</x:v>
      </x:c>
      <x:c r="L443" s="8" t="n">
        <x:f>MAX(0,E443+H443-K443)</x:f>
        <x:v>0</x:v>
      </x:c>
      <x:c r="M443" s="8" t="n">
        <x:f>MAX(0,F443+I443-MAX(0,K443-E443-H443))</x:f>
        <x:v>0</x:v>
      </x:c>
      <x:c r="N443" s="8" t="n">
        <x:f>MAX(0,G443+J443-K443)</x:f>
        <x:v>0</x:v>
      </x:c>
      <x:c r="O443" s="8" t="n">
        <x:f>SUM(L443:N443)</x:f>
        <x:v>0</x:v>
      </x:c>
      <x:c r="P443" s="14" t="n">
        <x:f>'Current inventory'!V65</x:f>
        <x:v>0.21559999999999999</x:v>
      </x:c>
      <x:c r="Q443" s="14" t="str">
        <x:f>'Current inventory'!W65</x:f>
        <x:v>n.a.</x:v>
      </x:c>
      <x:c r="R443" s="10" t="n">
        <x:f>L443*P443</x:f>
        <x:v>0</x:v>
      </x:c>
      <x:c r="S443" s="10" t="n">
        <x:f>M443*P443</x:f>
        <x:v>0</x:v>
      </x:c>
      <x:c r="T443" s="10" t="n">
        <x:f>N443*P443</x:f>
        <x:v>0</x:v>
      </x:c>
      <x:c r="U443" s="10" t="n">
        <x:f>O443*P443</x:f>
        <x:v>0</x:v>
      </x:c>
      <x:c r="V443" s="10" t="str">
        <x:f>IF(ISNUMBER(Q443),O443*(Q443-P443),"n.a.")</x:f>
        <x:v>n.a.</x:v>
      </x:c>
      <x:c r="W443" s="10" t="n">
        <x:f>IF(ISNUMBER(Q443),U443,0)</x:f>
        <x:v>0</x:v>
      </x:c>
      <x:c r="X443" s="8" t="n">
        <x:f>MAX(0,K443-SUM(E443:J443))</x:f>
        <x:v>0</x:v>
      </x:c>
      <x:c r="Y443" s="1" t="str">
        <x:f>IF(AND(O443&gt;0,NOT(ISNUMBER(Q443))),"No proposed replacement standard",IF(X443&gt;0,"Demand exceeds available stock",""))</x:f>
      </x:c>
      <x:c r="Z443" s="1" t="n">
        <x:f>IF(ISNUMBER(Q443),1,0)</x:f>
        <x:v>0</x:v>
      </x:c>
    </x:row>
    <x:row r="444" ht="21" customHeight="1">
      <x:c r="A444" s="17" t="n">
        <x:f>Summary!B18</x:f>
        <x:v>46419</x:v>
      </x:c>
      <x:c r="B444" s="1" t="str">
        <x:f>'Current inventory'!A66</x:f>
        <x:v>10</x:v>
      </x:c>
      <x:c r="C444" s="1" t="str">
        <x:f>'Current inventory'!B66</x:f>
        <x:v>800BWHTDSC</x:v>
      </x:c>
      <x:c r="D444" s="7" t="n">
        <x:f>A318</x:f>
        <x:v>46388</x:v>
      </x:c>
      <x:c r="E444" s="8" t="n">
        <x:f>L318</x:f>
        <x:v>0</x:v>
      </x:c>
      <x:c r="F444" s="8" t="n">
        <x:f>M318</x:f>
        <x:v>0</x:v>
      </x:c>
      <x:c r="G444" s="8" t="n">
        <x:f>N318</x:f>
        <x:v>0</x:v>
      </x:c>
      <x:c r="H444" s="8" t="n">
        <x:f>SUMIFS('PO detail'!$U$2:$U$672,'PO detail'!$A$2:$A$672,B444,'PO detail'!$B$2:$B$672,C444,'PO detail'!$G$2:$G$672,"&gt;="&amp;D444,'PO detail'!$G$2:$G$672,"&lt;"&amp;A444)</x:f>
        <x:v>0</x:v>
      </x:c>
      <x:c r="I444" s="8" t="n">
        <x:f>SUMIFS('PO detail'!$V$2:$V$672,'PO detail'!$A$2:$A$672,B444,'PO detail'!$B$2:$B$672,C444,'PO detail'!$G$2:$G$672,"&gt;="&amp;D444,'PO detail'!$G$2:$G$672,"&lt;"&amp;A444)</x:f>
        <x:v>0</x:v>
      </x:c>
      <x:c r="J444" s="8" t="n">
        <x:f>SUMIFS('PO detail'!$W$2:$W$672,'PO detail'!$A$2:$A$672,B444,'PO detail'!$B$2:$B$672,C444,'PO detail'!$G$2:$G$672,"&gt;="&amp;D444,'PO detail'!$G$2:$G$672,"&lt;"&amp;A444)</x:f>
        <x:v>0</x:v>
      </x:c>
      <x:c r="K444" s="8" t="n">
        <x:f>'Current inventory'!E66*Summary!$D$6*(A444-D444)/30.4375</x:f>
        <x:v>0</x:v>
      </x:c>
      <x:c r="L444" s="8" t="n">
        <x:f>MAX(0,E444+H444-K444)</x:f>
        <x:v>0</x:v>
      </x:c>
      <x:c r="M444" s="8" t="n">
        <x:f>MAX(0,F444+I444-MAX(0,K444-E444-H444))</x:f>
        <x:v>0</x:v>
      </x:c>
      <x:c r="N444" s="8" t="n">
        <x:f>MAX(0,G444+J444-K444)</x:f>
        <x:v>0</x:v>
      </x:c>
      <x:c r="O444" s="8" t="n">
        <x:f>SUM(L444:N444)</x:f>
        <x:v>0</x:v>
      </x:c>
      <x:c r="P444" s="14" t="n">
        <x:f>'Current inventory'!V66</x:f>
        <x:v>0.38</x:v>
      </x:c>
      <x:c r="Q444" s="14" t="str">
        <x:f>'Current inventory'!W66</x:f>
        <x:v>n.a.</x:v>
      </x:c>
      <x:c r="R444" s="10" t="n">
        <x:f>L444*P444</x:f>
        <x:v>0</x:v>
      </x:c>
      <x:c r="S444" s="10" t="n">
        <x:f>M444*P444</x:f>
        <x:v>0</x:v>
      </x:c>
      <x:c r="T444" s="10" t="n">
        <x:f>N444*P444</x:f>
        <x:v>0</x:v>
      </x:c>
      <x:c r="U444" s="10" t="n">
        <x:f>O444*P444</x:f>
        <x:v>0</x:v>
      </x:c>
      <x:c r="V444" s="10" t="str">
        <x:f>IF(ISNUMBER(Q444),O444*(Q444-P444),"n.a.")</x:f>
        <x:v>n.a.</x:v>
      </x:c>
      <x:c r="W444" s="10" t="n">
        <x:f>IF(ISNUMBER(Q444),U444,0)</x:f>
        <x:v>0</x:v>
      </x:c>
      <x:c r="X444" s="8" t="n">
        <x:f>MAX(0,K444-SUM(E444:J444))</x:f>
        <x:v>0</x:v>
      </x:c>
      <x:c r="Y444" s="1" t="str">
        <x:f>IF(AND(O444&gt;0,NOT(ISNUMBER(Q444))),"No proposed replacement standard",IF(X444&gt;0,"Demand exceeds available stock",""))</x:f>
      </x:c>
      <x:c r="Z444" s="1" t="n">
        <x:f>IF(ISNUMBER(Q444),1,0)</x:f>
        <x:v>0</x:v>
      </x:c>
    </x:row>
    <x:row r="445" ht="21" customHeight="1">
      <x:c r="A445" s="17" t="n">
        <x:f>Summary!B18</x:f>
        <x:v>46419</x:v>
      </x:c>
      <x:c r="B445" s="1" t="str">
        <x:f>'Current inventory'!A67</x:f>
        <x:v>10</x:v>
      </x:c>
      <x:c r="C445" s="1" t="str">
        <x:f>'Current inventory'!B67</x:f>
        <x:v>800BWHTISC</x:v>
      </x:c>
      <x:c r="D445" s="7" t="n">
        <x:f>A319</x:f>
        <x:v>46388</x:v>
      </x:c>
      <x:c r="E445" s="8" t="n">
        <x:f>L319</x:f>
        <x:v>0</x:v>
      </x:c>
      <x:c r="F445" s="8" t="n">
        <x:f>M319</x:f>
        <x:v>0</x:v>
      </x:c>
      <x:c r="G445" s="8" t="n">
        <x:f>N319</x:f>
        <x:v>0</x:v>
      </x:c>
      <x:c r="H445" s="8" t="n">
        <x:f>SUMIFS('PO detail'!$U$2:$U$672,'PO detail'!$A$2:$A$672,B445,'PO detail'!$B$2:$B$672,C445,'PO detail'!$G$2:$G$672,"&gt;="&amp;D445,'PO detail'!$G$2:$G$672,"&lt;"&amp;A445)</x:f>
        <x:v>0</x:v>
      </x:c>
      <x:c r="I445" s="8" t="n">
        <x:f>SUMIFS('PO detail'!$V$2:$V$672,'PO detail'!$A$2:$A$672,B445,'PO detail'!$B$2:$B$672,C445,'PO detail'!$G$2:$G$672,"&gt;="&amp;D445,'PO detail'!$G$2:$G$672,"&lt;"&amp;A445)</x:f>
        <x:v>0</x:v>
      </x:c>
      <x:c r="J445" s="8" t="n">
        <x:f>SUMIFS('PO detail'!$W$2:$W$672,'PO detail'!$A$2:$A$672,B445,'PO detail'!$B$2:$B$672,C445,'PO detail'!$G$2:$G$672,"&gt;="&amp;D445,'PO detail'!$G$2:$G$672,"&lt;"&amp;A445)</x:f>
        <x:v>0</x:v>
      </x:c>
      <x:c r="K445" s="8" t="n">
        <x:f>'Current inventory'!E67*Summary!$D$6*(A445-D445)/30.4375</x:f>
        <x:v>0</x:v>
      </x:c>
      <x:c r="L445" s="8" t="n">
        <x:f>MAX(0,E445+H445-K445)</x:f>
        <x:v>0</x:v>
      </x:c>
      <x:c r="M445" s="8" t="n">
        <x:f>MAX(0,F445+I445-MAX(0,K445-E445-H445))</x:f>
        <x:v>0</x:v>
      </x:c>
      <x:c r="N445" s="8" t="n">
        <x:f>MAX(0,G445+J445-K445)</x:f>
        <x:v>0</x:v>
      </x:c>
      <x:c r="O445" s="8" t="n">
        <x:f>SUM(L445:N445)</x:f>
        <x:v>0</x:v>
      </x:c>
      <x:c r="P445" s="14" t="n">
        <x:f>'Current inventory'!V67</x:f>
        <x:v>0.1797</x:v>
      </x:c>
      <x:c r="Q445" s="14" t="str">
        <x:f>'Current inventory'!W67</x:f>
        <x:v>n.a.</x:v>
      </x:c>
      <x:c r="R445" s="10" t="n">
        <x:f>L445*P445</x:f>
        <x:v>0</x:v>
      </x:c>
      <x:c r="S445" s="10" t="n">
        <x:f>M445*P445</x:f>
        <x:v>0</x:v>
      </x:c>
      <x:c r="T445" s="10" t="n">
        <x:f>N445*P445</x:f>
        <x:v>0</x:v>
      </x:c>
      <x:c r="U445" s="10" t="n">
        <x:f>O445*P445</x:f>
        <x:v>0</x:v>
      </x:c>
      <x:c r="V445" s="10" t="str">
        <x:f>IF(ISNUMBER(Q445),O445*(Q445-P445),"n.a.")</x:f>
        <x:v>n.a.</x:v>
      </x:c>
      <x:c r="W445" s="10" t="n">
        <x:f>IF(ISNUMBER(Q445),U445,0)</x:f>
        <x:v>0</x:v>
      </x:c>
      <x:c r="X445" s="8" t="n">
        <x:f>MAX(0,K445-SUM(E445:J445))</x:f>
        <x:v>0</x:v>
      </x:c>
      <x:c r="Y445" s="1" t="str">
        <x:f>IF(AND(O445&gt;0,NOT(ISNUMBER(Q445))),"No proposed replacement standard",IF(X445&gt;0,"Demand exceeds available stock",""))</x:f>
      </x:c>
      <x:c r="Z445" s="1" t="n">
        <x:f>IF(ISNUMBER(Q445),1,0)</x:f>
        <x:v>0</x:v>
      </x:c>
    </x:row>
    <x:row r="446" ht="21" customHeight="1">
      <x:c r="A446" s="17" t="n">
        <x:f>Summary!B18</x:f>
        <x:v>46419</x:v>
      </x:c>
      <x:c r="B446" s="1" t="str">
        <x:f>'Current inventory'!A68</x:f>
        <x:v>10</x:v>
      </x:c>
      <x:c r="C446" s="1" t="str">
        <x:f>'Current inventory'!B68</x:f>
        <x:v>800FGE</x:v>
      </x:c>
      <x:c r="D446" s="7" t="n">
        <x:f>A320</x:f>
        <x:v>46388</x:v>
      </x:c>
      <x:c r="E446" s="8" t="n">
        <x:f>L320</x:f>
        <x:v>0</x:v>
      </x:c>
      <x:c r="F446" s="8" t="n">
        <x:f>M320</x:f>
        <x:v>0</x:v>
      </x:c>
      <x:c r="G446" s="8" t="n">
        <x:f>N320</x:f>
        <x:v>0</x:v>
      </x:c>
      <x:c r="H446" s="8" t="n">
        <x:f>SUMIFS('PO detail'!$U$2:$U$672,'PO detail'!$A$2:$A$672,B446,'PO detail'!$B$2:$B$672,C446,'PO detail'!$G$2:$G$672,"&gt;="&amp;D446,'PO detail'!$G$2:$G$672,"&lt;"&amp;A446)</x:f>
        <x:v>0</x:v>
      </x:c>
      <x:c r="I446" s="8" t="n">
        <x:f>SUMIFS('PO detail'!$V$2:$V$672,'PO detail'!$A$2:$A$672,B446,'PO detail'!$B$2:$B$672,C446,'PO detail'!$G$2:$G$672,"&gt;="&amp;D446,'PO detail'!$G$2:$G$672,"&lt;"&amp;A446)</x:f>
        <x:v>0</x:v>
      </x:c>
      <x:c r="J446" s="8" t="n">
        <x:f>SUMIFS('PO detail'!$W$2:$W$672,'PO detail'!$A$2:$A$672,B446,'PO detail'!$B$2:$B$672,C446,'PO detail'!$G$2:$G$672,"&gt;="&amp;D446,'PO detail'!$G$2:$G$672,"&lt;"&amp;A446)</x:f>
        <x:v>0</x:v>
      </x:c>
      <x:c r="K446" s="8" t="n">
        <x:f>'Current inventory'!E68*Summary!$D$6*(A446-D446)/30.4375</x:f>
        <x:v>0</x:v>
      </x:c>
      <x:c r="L446" s="8" t="n">
        <x:f>MAX(0,E446+H446-K446)</x:f>
        <x:v>0</x:v>
      </x:c>
      <x:c r="M446" s="8" t="n">
        <x:f>MAX(0,F446+I446-MAX(0,K446-E446-H446))</x:f>
        <x:v>0</x:v>
      </x:c>
      <x:c r="N446" s="8" t="n">
        <x:f>MAX(0,G446+J446-K446)</x:f>
        <x:v>0</x:v>
      </x:c>
      <x:c r="O446" s="8" t="n">
        <x:f>SUM(L446:N446)</x:f>
        <x:v>0</x:v>
      </x:c>
      <x:c r="P446" s="14" t="n">
        <x:f>'Current inventory'!V68</x:f>
        <x:v>10.78</x:v>
      </x:c>
      <x:c r="Q446" s="14" t="str">
        <x:f>'Current inventory'!W68</x:f>
        <x:v>n.a.</x:v>
      </x:c>
      <x:c r="R446" s="10" t="n">
        <x:f>L446*P446</x:f>
        <x:v>0</x:v>
      </x:c>
      <x:c r="S446" s="10" t="n">
        <x:f>M446*P446</x:f>
        <x:v>0</x:v>
      </x:c>
      <x:c r="T446" s="10" t="n">
        <x:f>N446*P446</x:f>
        <x:v>0</x:v>
      </x:c>
      <x:c r="U446" s="10" t="n">
        <x:f>O446*P446</x:f>
        <x:v>0</x:v>
      </x:c>
      <x:c r="V446" s="10" t="str">
        <x:f>IF(ISNUMBER(Q446),O446*(Q446-P446),"n.a.")</x:f>
        <x:v>n.a.</x:v>
      </x:c>
      <x:c r="W446" s="10" t="n">
        <x:f>IF(ISNUMBER(Q446),U446,0)</x:f>
        <x:v>0</x:v>
      </x:c>
      <x:c r="X446" s="8" t="n">
        <x:f>MAX(0,K446-SUM(E446:J446))</x:f>
        <x:v>0</x:v>
      </x:c>
      <x:c r="Y446" s="1" t="str">
        <x:f>IF(AND(O446&gt;0,NOT(ISNUMBER(Q446))),"No proposed replacement standard",IF(X446&gt;0,"Demand exceeds available stock",""))</x:f>
      </x:c>
      <x:c r="Z446" s="1" t="n">
        <x:f>IF(ISNUMBER(Q446),1,0)</x:f>
        <x:v>0</x:v>
      </x:c>
    </x:row>
    <x:row r="447" ht="21" customHeight="1">
      <x:c r="A447" s="17" t="n">
        <x:f>Summary!B18</x:f>
        <x:v>46419</x:v>
      </x:c>
      <x:c r="B447" s="1" t="str">
        <x:f>'Current inventory'!A69</x:f>
        <x:v>10</x:v>
      </x:c>
      <x:c r="C447" s="1" t="str">
        <x:f>'Current inventory'!B69</x:f>
        <x:v>800NAVF</x:v>
      </x:c>
      <x:c r="D447" s="7" t="n">
        <x:f>A321</x:f>
        <x:v>46388</x:v>
      </x:c>
      <x:c r="E447" s="8" t="n">
        <x:f>L321</x:f>
        <x:v>0</x:v>
      </x:c>
      <x:c r="F447" s="8" t="n">
        <x:f>M321</x:f>
        <x:v>0</x:v>
      </x:c>
      <x:c r="G447" s="8" t="n">
        <x:f>N321</x:f>
        <x:v>0</x:v>
      </x:c>
      <x:c r="H447" s="8" t="n">
        <x:f>SUMIFS('PO detail'!$U$2:$U$672,'PO detail'!$A$2:$A$672,B447,'PO detail'!$B$2:$B$672,C447,'PO detail'!$G$2:$G$672,"&gt;="&amp;D447,'PO detail'!$G$2:$G$672,"&lt;"&amp;A447)</x:f>
        <x:v>0</x:v>
      </x:c>
      <x:c r="I447" s="8" t="n">
        <x:f>SUMIFS('PO detail'!$V$2:$V$672,'PO detail'!$A$2:$A$672,B447,'PO detail'!$B$2:$B$672,C447,'PO detail'!$G$2:$G$672,"&gt;="&amp;D447,'PO detail'!$G$2:$G$672,"&lt;"&amp;A447)</x:f>
        <x:v>0</x:v>
      </x:c>
      <x:c r="J447" s="8" t="n">
        <x:f>SUMIFS('PO detail'!$W$2:$W$672,'PO detail'!$A$2:$A$672,B447,'PO detail'!$B$2:$B$672,C447,'PO detail'!$G$2:$G$672,"&gt;="&amp;D447,'PO detail'!$G$2:$G$672,"&lt;"&amp;A447)</x:f>
        <x:v>0</x:v>
      </x:c>
      <x:c r="K447" s="8" t="n">
        <x:f>'Current inventory'!E69*Summary!$D$6*(A447-D447)/30.4375</x:f>
        <x:v>0</x:v>
      </x:c>
      <x:c r="L447" s="8" t="n">
        <x:f>MAX(0,E447+H447-K447)</x:f>
        <x:v>0</x:v>
      </x:c>
      <x:c r="M447" s="8" t="n">
        <x:f>MAX(0,F447+I447-MAX(0,K447-E447-H447))</x:f>
        <x:v>0</x:v>
      </x:c>
      <x:c r="N447" s="8" t="n">
        <x:f>MAX(0,G447+J447-K447)</x:f>
        <x:v>0</x:v>
      </x:c>
      <x:c r="O447" s="8" t="n">
        <x:f>SUM(L447:N447)</x:f>
        <x:v>0</x:v>
      </x:c>
      <x:c r="P447" s="14" t="n">
        <x:f>'Current inventory'!V69</x:f>
        <x:v>7.03</x:v>
      </x:c>
      <x:c r="Q447" s="14" t="str">
        <x:f>'Current inventory'!W69</x:f>
        <x:v>n.a.</x:v>
      </x:c>
      <x:c r="R447" s="10" t="n">
        <x:f>L447*P447</x:f>
        <x:v>0</x:v>
      </x:c>
      <x:c r="S447" s="10" t="n">
        <x:f>M447*P447</x:f>
        <x:v>0</x:v>
      </x:c>
      <x:c r="T447" s="10" t="n">
        <x:f>N447*P447</x:f>
        <x:v>0</x:v>
      </x:c>
      <x:c r="U447" s="10" t="n">
        <x:f>O447*P447</x:f>
        <x:v>0</x:v>
      </x:c>
      <x:c r="V447" s="10" t="str">
        <x:f>IF(ISNUMBER(Q447),O447*(Q447-P447),"n.a.")</x:f>
        <x:v>n.a.</x:v>
      </x:c>
      <x:c r="W447" s="10" t="n">
        <x:f>IF(ISNUMBER(Q447),U447,0)</x:f>
        <x:v>0</x:v>
      </x:c>
      <x:c r="X447" s="8" t="n">
        <x:f>MAX(0,K447-SUM(E447:J447))</x:f>
        <x:v>0</x:v>
      </x:c>
      <x:c r="Y447" s="1" t="str">
        <x:f>IF(AND(O447&gt;0,NOT(ISNUMBER(Q447))),"No proposed replacement standard",IF(X447&gt;0,"Demand exceeds available stock",""))</x:f>
      </x:c>
      <x:c r="Z447" s="1" t="n">
        <x:f>IF(ISNUMBER(Q447),1,0)</x:f>
        <x:v>0</x:v>
      </x:c>
    </x:row>
    <x:row r="448" ht="21" customHeight="1">
      <x:c r="A448" s="17" t="n">
        <x:f>Summary!B18</x:f>
        <x:v>46419</x:v>
      </x:c>
      <x:c r="B448" s="1" t="str">
        <x:f>'Current inventory'!A70</x:f>
        <x:v>10</x:v>
      </x:c>
      <x:c r="C448" s="1" t="str">
        <x:f>'Current inventory'!B70</x:f>
        <x:v>800WHTE</x:v>
      </x:c>
      <x:c r="D448" s="7" t="n">
        <x:f>A322</x:f>
        <x:v>46388</x:v>
      </x:c>
      <x:c r="E448" s="8" t="n">
        <x:f>L322</x:f>
        <x:v>0</x:v>
      </x:c>
      <x:c r="F448" s="8" t="n">
        <x:f>M322</x:f>
        <x:v>0</x:v>
      </x:c>
      <x:c r="G448" s="8" t="n">
        <x:f>N322</x:f>
        <x:v>0</x:v>
      </x:c>
      <x:c r="H448" s="8" t="n">
        <x:f>SUMIFS('PO detail'!$U$2:$U$672,'PO detail'!$A$2:$A$672,B448,'PO detail'!$B$2:$B$672,C448,'PO detail'!$G$2:$G$672,"&gt;="&amp;D448,'PO detail'!$G$2:$G$672,"&lt;"&amp;A448)</x:f>
        <x:v>0</x:v>
      </x:c>
      <x:c r="I448" s="8" t="n">
        <x:f>SUMIFS('PO detail'!$V$2:$V$672,'PO detail'!$A$2:$A$672,B448,'PO detail'!$B$2:$B$672,C448,'PO detail'!$G$2:$G$672,"&gt;="&amp;D448,'PO detail'!$G$2:$G$672,"&lt;"&amp;A448)</x:f>
        <x:v>0</x:v>
      </x:c>
      <x:c r="J448" s="8" t="n">
        <x:f>SUMIFS('PO detail'!$W$2:$W$672,'PO detail'!$A$2:$A$672,B448,'PO detail'!$B$2:$B$672,C448,'PO detail'!$G$2:$G$672,"&gt;="&amp;D448,'PO detail'!$G$2:$G$672,"&lt;"&amp;A448)</x:f>
        <x:v>0</x:v>
      </x:c>
      <x:c r="K448" s="8" t="n">
        <x:f>'Current inventory'!E70*Summary!$D$6*(A448-D448)/30.4375</x:f>
        <x:v>0</x:v>
      </x:c>
      <x:c r="L448" s="8" t="n">
        <x:f>MAX(0,E448+H448-K448)</x:f>
        <x:v>0</x:v>
      </x:c>
      <x:c r="M448" s="8" t="n">
        <x:f>MAX(0,F448+I448-MAX(0,K448-E448-H448))</x:f>
        <x:v>0</x:v>
      </x:c>
      <x:c r="N448" s="8" t="n">
        <x:f>MAX(0,G448+J448-K448)</x:f>
        <x:v>0</x:v>
      </x:c>
      <x:c r="O448" s="8" t="n">
        <x:f>SUM(L448:N448)</x:f>
        <x:v>0</x:v>
      </x:c>
      <x:c r="P448" s="14" t="n">
        <x:f>'Current inventory'!V70</x:f>
        <x:v>11.44</x:v>
      </x:c>
      <x:c r="Q448" s="14" t="str">
        <x:f>'Current inventory'!W70</x:f>
        <x:v>n.a.</x:v>
      </x:c>
      <x:c r="R448" s="10" t="n">
        <x:f>L448*P448</x:f>
        <x:v>0</x:v>
      </x:c>
      <x:c r="S448" s="10" t="n">
        <x:f>M448*P448</x:f>
        <x:v>0</x:v>
      </x:c>
      <x:c r="T448" s="10" t="n">
        <x:f>N448*P448</x:f>
        <x:v>0</x:v>
      </x:c>
      <x:c r="U448" s="10" t="n">
        <x:f>O448*P448</x:f>
        <x:v>0</x:v>
      </x:c>
      <x:c r="V448" s="10" t="str">
        <x:f>IF(ISNUMBER(Q448),O448*(Q448-P448),"n.a.")</x:f>
        <x:v>n.a.</x:v>
      </x:c>
      <x:c r="W448" s="10" t="n">
        <x:f>IF(ISNUMBER(Q448),U448,0)</x:f>
        <x:v>0</x:v>
      </x:c>
      <x:c r="X448" s="8" t="n">
        <x:f>MAX(0,K448-SUM(E448:J448))</x:f>
        <x:v>0</x:v>
      </x:c>
      <x:c r="Y448" s="1" t="str">
        <x:f>IF(AND(O448&gt;0,NOT(ISNUMBER(Q448))),"No proposed replacement standard",IF(X448&gt;0,"Demand exceeds available stock",""))</x:f>
      </x:c>
      <x:c r="Z448" s="1" t="n">
        <x:f>IF(ISNUMBER(Q448),1,0)</x:f>
        <x:v>0</x:v>
      </x:c>
    </x:row>
    <x:row r="449" ht="21" customHeight="1">
      <x:c r="A449" s="17" t="n">
        <x:f>Summary!B18</x:f>
        <x:v>46419</x:v>
      </x:c>
      <x:c r="B449" s="1" t="str">
        <x:f>'Current inventory'!A71</x:f>
        <x:v>10</x:v>
      </x:c>
      <x:c r="C449" s="1" t="str">
        <x:f>'Current inventory'!B71</x:f>
        <x:v>880BLKE</x:v>
      </x:c>
      <x:c r="D449" s="7" t="n">
        <x:f>A323</x:f>
        <x:v>46388</x:v>
      </x:c>
      <x:c r="E449" s="8" t="n">
        <x:f>L323</x:f>
        <x:v>0</x:v>
      </x:c>
      <x:c r="F449" s="8" t="n">
        <x:f>M323</x:f>
        <x:v>0</x:v>
      </x:c>
      <x:c r="G449" s="8" t="n">
        <x:f>N323</x:f>
        <x:v>0</x:v>
      </x:c>
      <x:c r="H449" s="8" t="n">
        <x:f>SUMIFS('PO detail'!$U$2:$U$672,'PO detail'!$A$2:$A$672,B449,'PO detail'!$B$2:$B$672,C449,'PO detail'!$G$2:$G$672,"&gt;="&amp;D449,'PO detail'!$G$2:$G$672,"&lt;"&amp;A449)</x:f>
        <x:v>0</x:v>
      </x:c>
      <x:c r="I449" s="8" t="n">
        <x:f>SUMIFS('PO detail'!$V$2:$V$672,'PO detail'!$A$2:$A$672,B449,'PO detail'!$B$2:$B$672,C449,'PO detail'!$G$2:$G$672,"&gt;="&amp;D449,'PO detail'!$G$2:$G$672,"&lt;"&amp;A449)</x:f>
        <x:v>0</x:v>
      </x:c>
      <x:c r="J449" s="8" t="n">
        <x:f>SUMIFS('PO detail'!$W$2:$W$672,'PO detail'!$A$2:$A$672,B449,'PO detail'!$B$2:$B$672,C449,'PO detail'!$G$2:$G$672,"&gt;="&amp;D449,'PO detail'!$G$2:$G$672,"&lt;"&amp;A449)</x:f>
        <x:v>0</x:v>
      </x:c>
      <x:c r="K449" s="8" t="n">
        <x:f>'Current inventory'!E71*Summary!$D$6*(A449-D449)/30.4375</x:f>
        <x:v>0</x:v>
      </x:c>
      <x:c r="L449" s="8" t="n">
        <x:f>MAX(0,E449+H449-K449)</x:f>
        <x:v>0</x:v>
      </x:c>
      <x:c r="M449" s="8" t="n">
        <x:f>MAX(0,F449+I449-MAX(0,K449-E449-H449))</x:f>
        <x:v>0</x:v>
      </x:c>
      <x:c r="N449" s="8" t="n">
        <x:f>MAX(0,G449+J449-K449)</x:f>
        <x:v>0</x:v>
      </x:c>
      <x:c r="O449" s="8" t="n">
        <x:f>SUM(L449:N449)</x:f>
        <x:v>0</x:v>
      </x:c>
      <x:c r="P449" s="14" t="n">
        <x:f>'Current inventory'!V71</x:f>
        <x:v>21.34</x:v>
      </x:c>
      <x:c r="Q449" s="14" t="str">
        <x:f>'Current inventory'!W71</x:f>
        <x:v>n.a.</x:v>
      </x:c>
      <x:c r="R449" s="10" t="n">
        <x:f>L449*P449</x:f>
        <x:v>0</x:v>
      </x:c>
      <x:c r="S449" s="10" t="n">
        <x:f>M449*P449</x:f>
        <x:v>0</x:v>
      </x:c>
      <x:c r="T449" s="10" t="n">
        <x:f>N449*P449</x:f>
        <x:v>0</x:v>
      </x:c>
      <x:c r="U449" s="10" t="n">
        <x:f>O449*P449</x:f>
        <x:v>0</x:v>
      </x:c>
      <x:c r="V449" s="10" t="str">
        <x:f>IF(ISNUMBER(Q449),O449*(Q449-P449),"n.a.")</x:f>
        <x:v>n.a.</x:v>
      </x:c>
      <x:c r="W449" s="10" t="n">
        <x:f>IF(ISNUMBER(Q449),U449,0)</x:f>
        <x:v>0</x:v>
      </x:c>
      <x:c r="X449" s="8" t="n">
        <x:f>MAX(0,K449-SUM(E449:J449))</x:f>
        <x:v>0</x:v>
      </x:c>
      <x:c r="Y449" s="1" t="str">
        <x:f>IF(AND(O449&gt;0,NOT(ISNUMBER(Q449))),"No proposed replacement standard",IF(X449&gt;0,"Demand exceeds available stock",""))</x:f>
      </x:c>
      <x:c r="Z449" s="1" t="n">
        <x:f>IF(ISNUMBER(Q449),1,0)</x:f>
        <x:v>0</x:v>
      </x:c>
    </x:row>
    <x:row r="450" ht="21" customHeight="1">
      <x:c r="A450" s="17" t="n">
        <x:f>Summary!B18</x:f>
        <x:v>46419</x:v>
      </x:c>
      <x:c r="B450" s="1" t="str">
        <x:f>'Current inventory'!A72</x:f>
        <x:v>10</x:v>
      </x:c>
      <x:c r="C450" s="1" t="str">
        <x:f>'Current inventory'!B72</x:f>
        <x:v>880NAVE</x:v>
      </x:c>
      <x:c r="D450" s="7" t="n">
        <x:f>A324</x:f>
        <x:v>46388</x:v>
      </x:c>
      <x:c r="E450" s="8" t="n">
        <x:f>L324</x:f>
        <x:v>0</x:v>
      </x:c>
      <x:c r="F450" s="8" t="n">
        <x:f>M324</x:f>
        <x:v>0</x:v>
      </x:c>
      <x:c r="G450" s="8" t="n">
        <x:f>N324</x:f>
        <x:v>0</x:v>
      </x:c>
      <x:c r="H450" s="8" t="n">
        <x:f>SUMIFS('PO detail'!$U$2:$U$672,'PO detail'!$A$2:$A$672,B450,'PO detail'!$B$2:$B$672,C450,'PO detail'!$G$2:$G$672,"&gt;="&amp;D450,'PO detail'!$G$2:$G$672,"&lt;"&amp;A450)</x:f>
        <x:v>0</x:v>
      </x:c>
      <x:c r="I450" s="8" t="n">
        <x:f>SUMIFS('PO detail'!$V$2:$V$672,'PO detail'!$A$2:$A$672,B450,'PO detail'!$B$2:$B$672,C450,'PO detail'!$G$2:$G$672,"&gt;="&amp;D450,'PO detail'!$G$2:$G$672,"&lt;"&amp;A450)</x:f>
        <x:v>0</x:v>
      </x:c>
      <x:c r="J450" s="8" t="n">
        <x:f>SUMIFS('PO detail'!$W$2:$W$672,'PO detail'!$A$2:$A$672,B450,'PO detail'!$B$2:$B$672,C450,'PO detail'!$G$2:$G$672,"&gt;="&amp;D450,'PO detail'!$G$2:$G$672,"&lt;"&amp;A450)</x:f>
        <x:v>0</x:v>
      </x:c>
      <x:c r="K450" s="8" t="n">
        <x:f>'Current inventory'!E72*Summary!$D$6*(A450-D450)/30.4375</x:f>
        <x:v>0</x:v>
      </x:c>
      <x:c r="L450" s="8" t="n">
        <x:f>MAX(0,E450+H450-K450)</x:f>
        <x:v>0</x:v>
      </x:c>
      <x:c r="M450" s="8" t="n">
        <x:f>MAX(0,F450+I450-MAX(0,K450-E450-H450))</x:f>
        <x:v>0</x:v>
      </x:c>
      <x:c r="N450" s="8" t="n">
        <x:f>MAX(0,G450+J450-K450)</x:f>
        <x:v>0</x:v>
      </x:c>
      <x:c r="O450" s="8" t="n">
        <x:f>SUM(L450:N450)</x:f>
        <x:v>0</x:v>
      </x:c>
      <x:c r="P450" s="14" t="n">
        <x:f>'Current inventory'!V72</x:f>
        <x:v>21.34</x:v>
      </x:c>
      <x:c r="Q450" s="14" t="str">
        <x:f>'Current inventory'!W72</x:f>
        <x:v>n.a.</x:v>
      </x:c>
      <x:c r="R450" s="10" t="n">
        <x:f>L450*P450</x:f>
        <x:v>0</x:v>
      </x:c>
      <x:c r="S450" s="10" t="n">
        <x:f>M450*P450</x:f>
        <x:v>0</x:v>
      </x:c>
      <x:c r="T450" s="10" t="n">
        <x:f>N450*P450</x:f>
        <x:v>0</x:v>
      </x:c>
      <x:c r="U450" s="10" t="n">
        <x:f>O450*P450</x:f>
        <x:v>0</x:v>
      </x:c>
      <x:c r="V450" s="10" t="str">
        <x:f>IF(ISNUMBER(Q450),O450*(Q450-P450),"n.a.")</x:f>
        <x:v>n.a.</x:v>
      </x:c>
      <x:c r="W450" s="10" t="n">
        <x:f>IF(ISNUMBER(Q450),U450,0)</x:f>
        <x:v>0</x:v>
      </x:c>
      <x:c r="X450" s="8" t="n">
        <x:f>MAX(0,K450-SUM(E450:J450))</x:f>
        <x:v>0</x:v>
      </x:c>
      <x:c r="Y450" s="1" t="str">
        <x:f>IF(AND(O450&gt;0,NOT(ISNUMBER(Q450))),"No proposed replacement standard",IF(X450&gt;0,"Demand exceeds available stock",""))</x:f>
      </x:c>
      <x:c r="Z450" s="1" t="n">
        <x:f>IF(ISNUMBER(Q450),1,0)</x:f>
        <x:v>0</x:v>
      </x:c>
    </x:row>
    <x:row r="451" ht="21" customHeight="1">
      <x:c r="A451" s="17" t="n">
        <x:f>Summary!B18</x:f>
        <x:v>46419</x:v>
      </x:c>
      <x:c r="B451" s="1" t="str">
        <x:f>'Current inventory'!A73</x:f>
        <x:v>10</x:v>
      </x:c>
      <x:c r="C451" s="1" t="str">
        <x:f>'Current inventory'!B73</x:f>
        <x:v>800BLKTB</x:v>
      </x:c>
      <x:c r="D451" s="7" t="n">
        <x:f>A325</x:f>
        <x:v>46388</x:v>
      </x:c>
      <x:c r="E451" s="8" t="n">
        <x:f>L325</x:f>
        <x:v>0</x:v>
      </x:c>
      <x:c r="F451" s="8" t="n">
        <x:f>M325</x:f>
        <x:v>0</x:v>
      </x:c>
      <x:c r="G451" s="8" t="n">
        <x:f>N325</x:f>
        <x:v>1050</x:v>
      </x:c>
      <x:c r="H451" s="8" t="n">
        <x:f>SUMIFS('PO detail'!$U$2:$U$672,'PO detail'!$A$2:$A$672,B451,'PO detail'!$B$2:$B$672,C451,'PO detail'!$G$2:$G$672,"&gt;="&amp;D451,'PO detail'!$G$2:$G$672,"&lt;"&amp;A451)</x:f>
        <x:v>0</x:v>
      </x:c>
      <x:c r="I451" s="8" t="n">
        <x:f>SUMIFS('PO detail'!$V$2:$V$672,'PO detail'!$A$2:$A$672,B451,'PO detail'!$B$2:$B$672,C451,'PO detail'!$G$2:$G$672,"&gt;="&amp;D451,'PO detail'!$G$2:$G$672,"&lt;"&amp;A451)</x:f>
        <x:v>0</x:v>
      </x:c>
      <x:c r="J451" s="8" t="n">
        <x:f>SUMIFS('PO detail'!$W$2:$W$672,'PO detail'!$A$2:$A$672,B451,'PO detail'!$B$2:$B$672,C451,'PO detail'!$G$2:$G$672,"&gt;="&amp;D451,'PO detail'!$G$2:$G$672,"&lt;"&amp;A451)</x:f>
        <x:v>0</x:v>
      </x:c>
      <x:c r="K451" s="8" t="n">
        <x:f>'Current inventory'!E73*Summary!$D$6*(A451-D451)/30.4375</x:f>
        <x:v>0</x:v>
      </x:c>
      <x:c r="L451" s="8" t="n">
        <x:f>MAX(0,E451+H451-K451)</x:f>
        <x:v>0</x:v>
      </x:c>
      <x:c r="M451" s="8" t="n">
        <x:f>MAX(0,F451+I451-MAX(0,K451-E451-H451))</x:f>
        <x:v>0</x:v>
      </x:c>
      <x:c r="N451" s="8" t="n">
        <x:f>MAX(0,G451+J451-K451)</x:f>
        <x:v>1050</x:v>
      </x:c>
      <x:c r="O451" s="8" t="n">
        <x:f>SUM(L451:N451)</x:f>
        <x:v>1050</x:v>
      </x:c>
      <x:c r="P451" s="14" t="n">
        <x:f>'Current inventory'!V73</x:f>
        <x:v>0.532</x:v>
      </x:c>
      <x:c r="Q451" s="14" t="str">
        <x:f>'Current inventory'!W73</x:f>
        <x:v>n.a.</x:v>
      </x:c>
      <x:c r="R451" s="10" t="n">
        <x:f>L451*P451</x:f>
        <x:v>0</x:v>
      </x:c>
      <x:c r="S451" s="10" t="n">
        <x:f>M451*P451</x:f>
        <x:v>0</x:v>
      </x:c>
      <x:c r="T451" s="10" t="n">
        <x:f>N451*P451</x:f>
        <x:v>558.6</x:v>
      </x:c>
      <x:c r="U451" s="10" t="n">
        <x:f>O451*P451</x:f>
        <x:v>558.6</x:v>
      </x:c>
      <x:c r="V451" s="10" t="str">
        <x:f>IF(ISNUMBER(Q451),O451*(Q451-P451),"n.a.")</x:f>
        <x:v>n.a.</x:v>
      </x:c>
      <x:c r="W451" s="10" t="n">
        <x:f>IF(ISNUMBER(Q451),U451,0)</x:f>
        <x:v>0</x:v>
      </x:c>
      <x:c r="X451" s="8" t="n">
        <x:f>MAX(0,K451-SUM(E451:J451))</x:f>
        <x:v>0</x:v>
      </x:c>
      <x:c r="Y451" s="1" t="str">
        <x:f>IF(AND(O451&gt;0,NOT(ISNUMBER(Q451))),"No proposed replacement standard",IF(X451&gt;0,"Demand exceeds available stock",""))</x:f>
        <x:v>No proposed replacement standard</x:v>
      </x:c>
      <x:c r="Z451" s="1" t="n">
        <x:f>IF(ISNUMBER(Q451),1,0)</x:f>
        <x:v>0</x:v>
      </x:c>
    </x:row>
    <x:row r="452" ht="21" customHeight="1">
      <x:c r="A452" s="17" t="n">
        <x:f>Summary!B18</x:f>
        <x:v>46419</x:v>
      </x:c>
      <x:c r="B452" s="1" t="str">
        <x:f>'Current inventory'!A74</x:f>
        <x:v>10</x:v>
      </x:c>
      <x:c r="C452" s="1" t="str">
        <x:f>'Current inventory'!B74</x:f>
        <x:v>800BREDASC</x:v>
      </x:c>
      <x:c r="D452" s="7" t="n">
        <x:f>A326</x:f>
        <x:v>46388</x:v>
      </x:c>
      <x:c r="E452" s="8" t="n">
        <x:f>L326</x:f>
        <x:v>0</x:v>
      </x:c>
      <x:c r="F452" s="8" t="n">
        <x:f>M326</x:f>
        <x:v>0</x:v>
      </x:c>
      <x:c r="G452" s="8" t="n">
        <x:f>N326</x:f>
        <x:v>0</x:v>
      </x:c>
      <x:c r="H452" s="8" t="n">
        <x:f>SUMIFS('PO detail'!$U$2:$U$672,'PO detail'!$A$2:$A$672,B452,'PO detail'!$B$2:$B$672,C452,'PO detail'!$G$2:$G$672,"&gt;="&amp;D452,'PO detail'!$G$2:$G$672,"&lt;"&amp;A452)</x:f>
        <x:v>0</x:v>
      </x:c>
      <x:c r="I452" s="8" t="n">
        <x:f>SUMIFS('PO detail'!$V$2:$V$672,'PO detail'!$A$2:$A$672,B452,'PO detail'!$B$2:$B$672,C452,'PO detail'!$G$2:$G$672,"&gt;="&amp;D452,'PO detail'!$G$2:$G$672,"&lt;"&amp;A452)</x:f>
        <x:v>0</x:v>
      </x:c>
      <x:c r="J452" s="8" t="n">
        <x:f>SUMIFS('PO detail'!$W$2:$W$672,'PO detail'!$A$2:$A$672,B452,'PO detail'!$B$2:$B$672,C452,'PO detail'!$G$2:$G$672,"&gt;="&amp;D452,'PO detail'!$G$2:$G$672,"&lt;"&amp;A452)</x:f>
        <x:v>0</x:v>
      </x:c>
      <x:c r="K452" s="8" t="n">
        <x:f>'Current inventory'!E74*Summary!$D$6*(A452-D452)/30.4375</x:f>
        <x:v>0</x:v>
      </x:c>
      <x:c r="L452" s="8" t="n">
        <x:f>MAX(0,E452+H452-K452)</x:f>
        <x:v>0</x:v>
      </x:c>
      <x:c r="M452" s="8" t="n">
        <x:f>MAX(0,F452+I452-MAX(0,K452-E452-H452))</x:f>
        <x:v>0</x:v>
      </x:c>
      <x:c r="N452" s="8" t="n">
        <x:f>MAX(0,G452+J452-K452)</x:f>
        <x:v>0</x:v>
      </x:c>
      <x:c r="O452" s="8" t="n">
        <x:f>SUM(L452:N452)</x:f>
        <x:v>0</x:v>
      </x:c>
      <x:c r="P452" s="14" t="n">
        <x:f>'Current inventory'!V74</x:f>
        <x:v>0.07919999999999999</x:v>
      </x:c>
      <x:c r="Q452" s="14" t="str">
        <x:f>'Current inventory'!W74</x:f>
        <x:v>n.a.</x:v>
      </x:c>
      <x:c r="R452" s="10" t="n">
        <x:f>L452*P452</x:f>
        <x:v>0</x:v>
      </x:c>
      <x:c r="S452" s="10" t="n">
        <x:f>M452*P452</x:f>
        <x:v>0</x:v>
      </x:c>
      <x:c r="T452" s="10" t="n">
        <x:f>N452*P452</x:f>
        <x:v>0</x:v>
      </x:c>
      <x:c r="U452" s="10" t="n">
        <x:f>O452*P452</x:f>
        <x:v>0</x:v>
      </x:c>
      <x:c r="V452" s="10" t="str">
        <x:f>IF(ISNUMBER(Q452),O452*(Q452-P452),"n.a.")</x:f>
        <x:v>n.a.</x:v>
      </x:c>
      <x:c r="W452" s="10" t="n">
        <x:f>IF(ISNUMBER(Q452),U452,0)</x:f>
        <x:v>0</x:v>
      </x:c>
      <x:c r="X452" s="8" t="n">
        <x:f>MAX(0,K452-SUM(E452:J452))</x:f>
        <x:v>0</x:v>
      </x:c>
      <x:c r="Y452" s="1" t="str">
        <x:f>IF(AND(O452&gt;0,NOT(ISNUMBER(Q452))),"No proposed replacement standard",IF(X452&gt;0,"Demand exceeds available stock",""))</x:f>
      </x:c>
      <x:c r="Z452" s="1" t="n">
        <x:f>IF(ISNUMBER(Q452),1,0)</x:f>
        <x:v>0</x:v>
      </x:c>
    </x:row>
    <x:row r="453" ht="21" customHeight="1">
      <x:c r="A453" s="17" t="n">
        <x:f>Summary!B18</x:f>
        <x:v>46419</x:v>
      </x:c>
      <x:c r="B453" s="1" t="str">
        <x:f>'Current inventory'!A75</x:f>
        <x:v>10</x:v>
      </x:c>
      <x:c r="C453" s="1" t="str">
        <x:f>'Current inventory'!B75</x:f>
        <x:v>800BREDBRC</x:v>
      </x:c>
      <x:c r="D453" s="7" t="n">
        <x:f>A327</x:f>
        <x:v>46388</x:v>
      </x:c>
      <x:c r="E453" s="8" t="n">
        <x:f>L327</x:f>
        <x:v>0</x:v>
      </x:c>
      <x:c r="F453" s="8" t="n">
        <x:f>M327</x:f>
        <x:v>0</x:v>
      </x:c>
      <x:c r="G453" s="8" t="n">
        <x:f>N327</x:f>
        <x:v>0</x:v>
      </x:c>
      <x:c r="H453" s="8" t="n">
        <x:f>SUMIFS('PO detail'!$U$2:$U$672,'PO detail'!$A$2:$A$672,B453,'PO detail'!$B$2:$B$672,C453,'PO detail'!$G$2:$G$672,"&gt;="&amp;D453,'PO detail'!$G$2:$G$672,"&lt;"&amp;A453)</x:f>
        <x:v>0</x:v>
      </x:c>
      <x:c r="I453" s="8" t="n">
        <x:f>SUMIFS('PO detail'!$V$2:$V$672,'PO detail'!$A$2:$A$672,B453,'PO detail'!$B$2:$B$672,C453,'PO detail'!$G$2:$G$672,"&gt;="&amp;D453,'PO detail'!$G$2:$G$672,"&lt;"&amp;A453)</x:f>
        <x:v>0</x:v>
      </x:c>
      <x:c r="J453" s="8" t="n">
        <x:f>SUMIFS('PO detail'!$W$2:$W$672,'PO detail'!$A$2:$A$672,B453,'PO detail'!$B$2:$B$672,C453,'PO detail'!$G$2:$G$672,"&gt;="&amp;D453,'PO detail'!$G$2:$G$672,"&lt;"&amp;A453)</x:f>
        <x:v>0</x:v>
      </x:c>
      <x:c r="K453" s="8" t="n">
        <x:f>'Current inventory'!E75*Summary!$D$6*(A453-D453)/30.4375</x:f>
        <x:v>0</x:v>
      </x:c>
      <x:c r="L453" s="8" t="n">
        <x:f>MAX(0,E453+H453-K453)</x:f>
        <x:v>0</x:v>
      </x:c>
      <x:c r="M453" s="8" t="n">
        <x:f>MAX(0,F453+I453-MAX(0,K453-E453-H453))</x:f>
        <x:v>0</x:v>
      </x:c>
      <x:c r="N453" s="8" t="n">
        <x:f>MAX(0,G453+J453-K453)</x:f>
        <x:v>0</x:v>
      </x:c>
      <x:c r="O453" s="8" t="n">
        <x:f>SUM(L453:N453)</x:f>
        <x:v>0</x:v>
      </x:c>
      <x:c r="P453" s="14" t="n">
        <x:f>'Current inventory'!V75</x:f>
        <x:v>0.0898</x:v>
      </x:c>
      <x:c r="Q453" s="14" t="str">
        <x:f>'Current inventory'!W75</x:f>
        <x:v>n.a.</x:v>
      </x:c>
      <x:c r="R453" s="10" t="n">
        <x:f>L453*P453</x:f>
        <x:v>0</x:v>
      </x:c>
      <x:c r="S453" s="10" t="n">
        <x:f>M453*P453</x:f>
        <x:v>0</x:v>
      </x:c>
      <x:c r="T453" s="10" t="n">
        <x:f>N453*P453</x:f>
        <x:v>0</x:v>
      </x:c>
      <x:c r="U453" s="10" t="n">
        <x:f>O453*P453</x:f>
        <x:v>0</x:v>
      </x:c>
      <x:c r="V453" s="10" t="str">
        <x:f>IF(ISNUMBER(Q453),O453*(Q453-P453),"n.a.")</x:f>
        <x:v>n.a.</x:v>
      </x:c>
      <x:c r="W453" s="10" t="n">
        <x:f>IF(ISNUMBER(Q453),U453,0)</x:f>
        <x:v>0</x:v>
      </x:c>
      <x:c r="X453" s="8" t="n">
        <x:f>MAX(0,K453-SUM(E453:J453))</x:f>
        <x:v>0</x:v>
      </x:c>
      <x:c r="Y453" s="1" t="str">
        <x:f>IF(AND(O453&gt;0,NOT(ISNUMBER(Q453))),"No proposed replacement standard",IF(X453&gt;0,"Demand exceeds available stock",""))</x:f>
      </x:c>
      <x:c r="Z453" s="1" t="n">
        <x:f>IF(ISNUMBER(Q453),1,0)</x:f>
        <x:v>0</x:v>
      </x:c>
    </x:row>
    <x:row r="454" ht="21" customHeight="1">
      <x:c r="A454" s="17" t="n">
        <x:f>Summary!B18</x:f>
        <x:v>46419</x:v>
      </x:c>
      <x:c r="B454" s="1" t="str">
        <x:f>'Current inventory'!A76</x:f>
        <x:v>10</x:v>
      </x:c>
      <x:c r="C454" s="1" t="str">
        <x:f>'Current inventory'!B76</x:f>
        <x:v>800WBLKBRC</x:v>
      </x:c>
      <x:c r="D454" s="7" t="n">
        <x:f>A328</x:f>
        <x:v>46388</x:v>
      </x:c>
      <x:c r="E454" s="8" t="n">
        <x:f>L328</x:f>
        <x:v>0</x:v>
      </x:c>
      <x:c r="F454" s="8" t="n">
        <x:f>M328</x:f>
        <x:v>0</x:v>
      </x:c>
      <x:c r="G454" s="8" t="n">
        <x:f>N328</x:f>
        <x:v>200</x:v>
      </x:c>
      <x:c r="H454" s="8" t="n">
        <x:f>SUMIFS('PO detail'!$U$2:$U$672,'PO detail'!$A$2:$A$672,B454,'PO detail'!$B$2:$B$672,C454,'PO detail'!$G$2:$G$672,"&gt;="&amp;D454,'PO detail'!$G$2:$G$672,"&lt;"&amp;A454)</x:f>
        <x:v>0</x:v>
      </x:c>
      <x:c r="I454" s="8" t="n">
        <x:f>SUMIFS('PO detail'!$V$2:$V$672,'PO detail'!$A$2:$A$672,B454,'PO detail'!$B$2:$B$672,C454,'PO detail'!$G$2:$G$672,"&gt;="&amp;D454,'PO detail'!$G$2:$G$672,"&lt;"&amp;A454)</x:f>
        <x:v>0</x:v>
      </x:c>
      <x:c r="J454" s="8" t="n">
        <x:f>SUMIFS('PO detail'!$W$2:$W$672,'PO detail'!$A$2:$A$672,B454,'PO detail'!$B$2:$B$672,C454,'PO detail'!$G$2:$G$672,"&gt;="&amp;D454,'PO detail'!$G$2:$G$672,"&lt;"&amp;A454)</x:f>
        <x:v>0</x:v>
      </x:c>
      <x:c r="K454" s="8" t="n">
        <x:f>'Current inventory'!E76*Summary!$D$6*(A454-D454)/30.4375</x:f>
        <x:v>0</x:v>
      </x:c>
      <x:c r="L454" s="8" t="n">
        <x:f>MAX(0,E454+H454-K454)</x:f>
        <x:v>0</x:v>
      </x:c>
      <x:c r="M454" s="8" t="n">
        <x:f>MAX(0,F454+I454-MAX(0,K454-E454-H454))</x:f>
        <x:v>0</x:v>
      </x:c>
      <x:c r="N454" s="8" t="n">
        <x:f>MAX(0,G454+J454-K454)</x:f>
        <x:v>200</x:v>
      </x:c>
      <x:c r="O454" s="8" t="n">
        <x:f>SUM(L454:N454)</x:f>
        <x:v>200</x:v>
      </x:c>
      <x:c r="P454" s="14" t="n">
        <x:f>'Current inventory'!V76</x:f>
        <x:v>0.14150000000000001</x:v>
      </x:c>
      <x:c r="Q454" s="14" t="str">
        <x:f>'Current inventory'!W76</x:f>
        <x:v>n.a.</x:v>
      </x:c>
      <x:c r="R454" s="10" t="n">
        <x:f>L454*P454</x:f>
        <x:v>0</x:v>
      </x:c>
      <x:c r="S454" s="10" t="n">
        <x:f>M454*P454</x:f>
        <x:v>0</x:v>
      </x:c>
      <x:c r="T454" s="10" t="n">
        <x:f>N454*P454</x:f>
        <x:v>28.300000000000004</x:v>
      </x:c>
      <x:c r="U454" s="10" t="n">
        <x:f>O454*P454</x:f>
        <x:v>28.300000000000004</x:v>
      </x:c>
      <x:c r="V454" s="10" t="str">
        <x:f>IF(ISNUMBER(Q454),O454*(Q454-P454),"n.a.")</x:f>
        <x:v>n.a.</x:v>
      </x:c>
      <x:c r="W454" s="10" t="n">
        <x:f>IF(ISNUMBER(Q454),U454,0)</x:f>
        <x:v>0</x:v>
      </x:c>
      <x:c r="X454" s="8" t="n">
        <x:f>MAX(0,K454-SUM(E454:J454))</x:f>
        <x:v>0</x:v>
      </x:c>
      <x:c r="Y454" s="1" t="str">
        <x:f>IF(AND(O454&gt;0,NOT(ISNUMBER(Q454))),"No proposed replacement standard",IF(X454&gt;0,"Demand exceeds available stock",""))</x:f>
        <x:v>No proposed replacement standard</x:v>
      </x:c>
      <x:c r="Z454" s="1" t="n">
        <x:f>IF(ISNUMBER(Q454),1,0)</x:f>
        <x:v>0</x:v>
      </x:c>
    </x:row>
    <x:row r="455" ht="21" customHeight="1">
      <x:c r="A455" s="17" t="n">
        <x:f>Summary!B18</x:f>
        <x:v>46419</x:v>
      </x:c>
      <x:c r="B455" s="1" t="str">
        <x:f>'Current inventory'!A77</x:f>
        <x:v>10</x:v>
      </x:c>
      <x:c r="C455" s="1" t="str">
        <x:f>'Current inventory'!B77</x:f>
        <x:v>800WFGASC</x:v>
      </x:c>
      <x:c r="D455" s="7" t="n">
        <x:f>A329</x:f>
        <x:v>46388</x:v>
      </x:c>
      <x:c r="E455" s="8" t="n">
        <x:f>L329</x:f>
        <x:v>0</x:v>
      </x:c>
      <x:c r="F455" s="8" t="n">
        <x:f>M329</x:f>
        <x:v>0</x:v>
      </x:c>
      <x:c r="G455" s="8" t="n">
        <x:f>N329</x:f>
        <x:v>0</x:v>
      </x:c>
      <x:c r="H455" s="8" t="n">
        <x:f>SUMIFS('PO detail'!$U$2:$U$672,'PO detail'!$A$2:$A$672,B455,'PO detail'!$B$2:$B$672,C455,'PO detail'!$G$2:$G$672,"&gt;="&amp;D455,'PO detail'!$G$2:$G$672,"&lt;"&amp;A455)</x:f>
        <x:v>0</x:v>
      </x:c>
      <x:c r="I455" s="8" t="n">
        <x:f>SUMIFS('PO detail'!$V$2:$V$672,'PO detail'!$A$2:$A$672,B455,'PO detail'!$B$2:$B$672,C455,'PO detail'!$G$2:$G$672,"&gt;="&amp;D455,'PO detail'!$G$2:$G$672,"&lt;"&amp;A455)</x:f>
        <x:v>0</x:v>
      </x:c>
      <x:c r="J455" s="8" t="n">
        <x:f>SUMIFS('PO detail'!$W$2:$W$672,'PO detail'!$A$2:$A$672,B455,'PO detail'!$B$2:$B$672,C455,'PO detail'!$G$2:$G$672,"&gt;="&amp;D455,'PO detail'!$G$2:$G$672,"&lt;"&amp;A455)</x:f>
        <x:v>0</x:v>
      </x:c>
      <x:c r="K455" s="8" t="n">
        <x:f>'Current inventory'!E77*Summary!$D$6*(A455-D455)/30.4375</x:f>
        <x:v>0</x:v>
      </x:c>
      <x:c r="L455" s="8" t="n">
        <x:f>MAX(0,E455+H455-K455)</x:f>
        <x:v>0</x:v>
      </x:c>
      <x:c r="M455" s="8" t="n">
        <x:f>MAX(0,F455+I455-MAX(0,K455-E455-H455))</x:f>
        <x:v>0</x:v>
      </x:c>
      <x:c r="N455" s="8" t="n">
        <x:f>MAX(0,G455+J455-K455)</x:f>
        <x:v>0</x:v>
      </x:c>
      <x:c r="O455" s="8" t="n">
        <x:f>SUM(L455:N455)</x:f>
        <x:v>0</x:v>
      </x:c>
      <x:c r="P455" s="14" t="n">
        <x:f>'Current inventory'!V77</x:f>
        <x:v>0.1456</x:v>
      </x:c>
      <x:c r="Q455" s="14" t="str">
        <x:f>'Current inventory'!W77</x:f>
        <x:v>n.a.</x:v>
      </x:c>
      <x:c r="R455" s="10" t="n">
        <x:f>L455*P455</x:f>
        <x:v>0</x:v>
      </x:c>
      <x:c r="S455" s="10" t="n">
        <x:f>M455*P455</x:f>
        <x:v>0</x:v>
      </x:c>
      <x:c r="T455" s="10" t="n">
        <x:f>N455*P455</x:f>
        <x:v>0</x:v>
      </x:c>
      <x:c r="U455" s="10" t="n">
        <x:f>O455*P455</x:f>
        <x:v>0</x:v>
      </x:c>
      <x:c r="V455" s="10" t="str">
        <x:f>IF(ISNUMBER(Q455),O455*(Q455-P455),"n.a.")</x:f>
        <x:v>n.a.</x:v>
      </x:c>
      <x:c r="W455" s="10" t="n">
        <x:f>IF(ISNUMBER(Q455),U455,0)</x:f>
        <x:v>0</x:v>
      </x:c>
      <x:c r="X455" s="8" t="n">
        <x:f>MAX(0,K455-SUM(E455:J455))</x:f>
        <x:v>0</x:v>
      </x:c>
      <x:c r="Y455" s="1" t="str">
        <x:f>IF(AND(O455&gt;0,NOT(ISNUMBER(Q455))),"No proposed replacement standard",IF(X455&gt;0,"Demand exceeds available stock",""))</x:f>
      </x:c>
      <x:c r="Z455" s="1" t="n">
        <x:f>IF(ISNUMBER(Q455),1,0)</x:f>
        <x:v>0</x:v>
      </x:c>
    </x:row>
    <x:row r="456" ht="21" customHeight="1">
      <x:c r="A456" s="17" t="n">
        <x:f>Summary!B18</x:f>
        <x:v>46419</x:v>
      </x:c>
      <x:c r="B456" s="1" t="str">
        <x:f>'Current inventory'!A78</x:f>
        <x:v>10</x:v>
      </x:c>
      <x:c r="C456" s="1" t="str">
        <x:f>'Current inventory'!B78</x:f>
        <x:v>800WFGBRC</x:v>
      </x:c>
      <x:c r="D456" s="7" t="n">
        <x:f>A330</x:f>
        <x:v>46388</x:v>
      </x:c>
      <x:c r="E456" s="8" t="n">
        <x:f>L330</x:f>
        <x:v>0</x:v>
      </x:c>
      <x:c r="F456" s="8" t="n">
        <x:f>M330</x:f>
        <x:v>0</x:v>
      </x:c>
      <x:c r="G456" s="8" t="n">
        <x:f>N330</x:f>
        <x:v>0</x:v>
      </x:c>
      <x:c r="H456" s="8" t="n">
        <x:f>SUMIFS('PO detail'!$U$2:$U$672,'PO detail'!$A$2:$A$672,B456,'PO detail'!$B$2:$B$672,C456,'PO detail'!$G$2:$G$672,"&gt;="&amp;D456,'PO detail'!$G$2:$G$672,"&lt;"&amp;A456)</x:f>
        <x:v>0</x:v>
      </x:c>
      <x:c r="I456" s="8" t="n">
        <x:f>SUMIFS('PO detail'!$V$2:$V$672,'PO detail'!$A$2:$A$672,B456,'PO detail'!$B$2:$B$672,C456,'PO detail'!$G$2:$G$672,"&gt;="&amp;D456,'PO detail'!$G$2:$G$672,"&lt;"&amp;A456)</x:f>
        <x:v>0</x:v>
      </x:c>
      <x:c r="J456" s="8" t="n">
        <x:f>SUMIFS('PO detail'!$W$2:$W$672,'PO detail'!$A$2:$A$672,B456,'PO detail'!$B$2:$B$672,C456,'PO detail'!$G$2:$G$672,"&gt;="&amp;D456,'PO detail'!$G$2:$G$672,"&lt;"&amp;A456)</x:f>
        <x:v>0</x:v>
      </x:c>
      <x:c r="K456" s="8" t="n">
        <x:f>'Current inventory'!E78*Summary!$D$6*(A456-D456)/30.4375</x:f>
        <x:v>0</x:v>
      </x:c>
      <x:c r="L456" s="8" t="n">
        <x:f>MAX(0,E456+H456-K456)</x:f>
        <x:v>0</x:v>
      </x:c>
      <x:c r="M456" s="8" t="n">
        <x:f>MAX(0,F456+I456-MAX(0,K456-E456-H456))</x:f>
        <x:v>0</x:v>
      </x:c>
      <x:c r="N456" s="8" t="n">
        <x:f>MAX(0,G456+J456-K456)</x:f>
        <x:v>0</x:v>
      </x:c>
      <x:c r="O456" s="8" t="n">
        <x:f>SUM(L456:N456)</x:f>
        <x:v>0</x:v>
      </x:c>
      <x:c r="P456" s="14" t="n">
        <x:f>'Current inventory'!V78</x:f>
        <x:v>0.18469999999999998</x:v>
      </x:c>
      <x:c r="Q456" s="14" t="str">
        <x:f>'Current inventory'!W78</x:f>
        <x:v>n.a.</x:v>
      </x:c>
      <x:c r="R456" s="10" t="n">
        <x:f>L456*P456</x:f>
        <x:v>0</x:v>
      </x:c>
      <x:c r="S456" s="10" t="n">
        <x:f>M456*P456</x:f>
        <x:v>0</x:v>
      </x:c>
      <x:c r="T456" s="10" t="n">
        <x:f>N456*P456</x:f>
        <x:v>0</x:v>
      </x:c>
      <x:c r="U456" s="10" t="n">
        <x:f>O456*P456</x:f>
        <x:v>0</x:v>
      </x:c>
      <x:c r="V456" s="10" t="str">
        <x:f>IF(ISNUMBER(Q456),O456*(Q456-P456),"n.a.")</x:f>
        <x:v>n.a.</x:v>
      </x:c>
      <x:c r="W456" s="10" t="n">
        <x:f>IF(ISNUMBER(Q456),U456,0)</x:f>
        <x:v>0</x:v>
      </x:c>
      <x:c r="X456" s="8" t="n">
        <x:f>MAX(0,K456-SUM(E456:J456))</x:f>
        <x:v>0</x:v>
      </x:c>
      <x:c r="Y456" s="1" t="str">
        <x:f>IF(AND(O456&gt;0,NOT(ISNUMBER(Q456))),"No proposed replacement standard",IF(X456&gt;0,"Demand exceeds available stock",""))</x:f>
      </x:c>
      <x:c r="Z456" s="1" t="n">
        <x:f>IF(ISNUMBER(Q456),1,0)</x:f>
        <x:v>0</x:v>
      </x:c>
    </x:row>
    <x:row r="457" ht="21" customHeight="1">
      <x:c r="A457" s="17" t="n">
        <x:f>Summary!B18</x:f>
        <x:v>46419</x:v>
      </x:c>
      <x:c r="B457" s="1" t="str">
        <x:f>'Current inventory'!A79</x:f>
        <x:v>10</x:v>
      </x:c>
      <x:c r="C457" s="1" t="str">
        <x:f>'Current inventory'!B79</x:f>
        <x:v>800WMARBRC</x:v>
      </x:c>
      <x:c r="D457" s="7" t="n">
        <x:f>A331</x:f>
        <x:v>46388</x:v>
      </x:c>
      <x:c r="E457" s="8" t="n">
        <x:f>L331</x:f>
        <x:v>0</x:v>
      </x:c>
      <x:c r="F457" s="8" t="n">
        <x:f>M331</x:f>
        <x:v>0</x:v>
      </x:c>
      <x:c r="G457" s="8" t="n">
        <x:f>N331</x:f>
        <x:v>900</x:v>
      </x:c>
      <x:c r="H457" s="8" t="n">
        <x:f>SUMIFS('PO detail'!$U$2:$U$672,'PO detail'!$A$2:$A$672,B457,'PO detail'!$B$2:$B$672,C457,'PO detail'!$G$2:$G$672,"&gt;="&amp;D457,'PO detail'!$G$2:$G$672,"&lt;"&amp;A457)</x:f>
        <x:v>0</x:v>
      </x:c>
      <x:c r="I457" s="8" t="n">
        <x:f>SUMIFS('PO detail'!$V$2:$V$672,'PO detail'!$A$2:$A$672,B457,'PO detail'!$B$2:$B$672,C457,'PO detail'!$G$2:$G$672,"&gt;="&amp;D457,'PO detail'!$G$2:$G$672,"&lt;"&amp;A457)</x:f>
        <x:v>0</x:v>
      </x:c>
      <x:c r="J457" s="8" t="n">
        <x:f>SUMIFS('PO detail'!$W$2:$W$672,'PO detail'!$A$2:$A$672,B457,'PO detail'!$B$2:$B$672,C457,'PO detail'!$G$2:$G$672,"&gt;="&amp;D457,'PO detail'!$G$2:$G$672,"&lt;"&amp;A457)</x:f>
        <x:v>0</x:v>
      </x:c>
      <x:c r="K457" s="8" t="n">
        <x:f>'Current inventory'!E79*Summary!$D$6*(A457-D457)/30.4375</x:f>
        <x:v>0</x:v>
      </x:c>
      <x:c r="L457" s="8" t="n">
        <x:f>MAX(0,E457+H457-K457)</x:f>
        <x:v>0</x:v>
      </x:c>
      <x:c r="M457" s="8" t="n">
        <x:f>MAX(0,F457+I457-MAX(0,K457-E457-H457))</x:f>
        <x:v>0</x:v>
      </x:c>
      <x:c r="N457" s="8" t="n">
        <x:f>MAX(0,G457+J457-K457)</x:f>
        <x:v>900</x:v>
      </x:c>
      <x:c r="O457" s="8" t="n">
        <x:f>SUM(L457:N457)</x:f>
        <x:v>900</x:v>
      </x:c>
      <x:c r="P457" s="14" t="n">
        <x:f>'Current inventory'!V79</x:f>
        <x:v>0.17350000000000002</x:v>
      </x:c>
      <x:c r="Q457" s="14" t="str">
        <x:f>'Current inventory'!W79</x:f>
        <x:v>n.a.</x:v>
      </x:c>
      <x:c r="R457" s="10" t="n">
        <x:f>L457*P457</x:f>
        <x:v>0</x:v>
      </x:c>
      <x:c r="S457" s="10" t="n">
        <x:f>M457*P457</x:f>
        <x:v>0</x:v>
      </x:c>
      <x:c r="T457" s="10" t="n">
        <x:f>N457*P457</x:f>
        <x:v>156.15</x:v>
      </x:c>
      <x:c r="U457" s="10" t="n">
        <x:f>O457*P457</x:f>
        <x:v>156.15</x:v>
      </x:c>
      <x:c r="V457" s="10" t="str">
        <x:f>IF(ISNUMBER(Q457),O457*(Q457-P457),"n.a.")</x:f>
        <x:v>n.a.</x:v>
      </x:c>
      <x:c r="W457" s="10" t="n">
        <x:f>IF(ISNUMBER(Q457),U457,0)</x:f>
        <x:v>0</x:v>
      </x:c>
      <x:c r="X457" s="8" t="n">
        <x:f>MAX(0,K457-SUM(E457:J457))</x:f>
        <x:v>0</x:v>
      </x:c>
      <x:c r="Y457" s="1" t="str">
        <x:f>IF(AND(O457&gt;0,NOT(ISNUMBER(Q457))),"No proposed replacement standard",IF(X457&gt;0,"Demand exceeds available stock",""))</x:f>
        <x:v>No proposed replacement standard</x:v>
      </x:c>
      <x:c r="Z457" s="1" t="n">
        <x:f>IF(ISNUMBER(Q457),1,0)</x:f>
        <x:v>0</x:v>
      </x:c>
    </x:row>
    <x:row r="458" ht="21" customHeight="1">
      <x:c r="A458" s="17" t="n">
        <x:f>Summary!B18</x:f>
        <x:v>46419</x:v>
      </x:c>
      <x:c r="B458" s="1" t="str">
        <x:f>'Current inventory'!A80</x:f>
        <x:v>10</x:v>
      </x:c>
      <x:c r="C458" s="1" t="str">
        <x:f>'Current inventory'!B80</x:f>
        <x:v>800WNAVBRC</x:v>
      </x:c>
      <x:c r="D458" s="7" t="n">
        <x:f>A332</x:f>
        <x:v>46388</x:v>
      </x:c>
      <x:c r="E458" s="8" t="n">
        <x:f>L332</x:f>
        <x:v>0</x:v>
      </x:c>
      <x:c r="F458" s="8" t="n">
        <x:f>M332</x:f>
        <x:v>0</x:v>
      </x:c>
      <x:c r="G458" s="8" t="n">
        <x:f>N332</x:f>
        <x:v>600</x:v>
      </x:c>
      <x:c r="H458" s="8" t="n">
        <x:f>SUMIFS('PO detail'!$U$2:$U$672,'PO detail'!$A$2:$A$672,B458,'PO detail'!$B$2:$B$672,C458,'PO detail'!$G$2:$G$672,"&gt;="&amp;D458,'PO detail'!$G$2:$G$672,"&lt;"&amp;A458)</x:f>
        <x:v>0</x:v>
      </x:c>
      <x:c r="I458" s="8" t="n">
        <x:f>SUMIFS('PO detail'!$V$2:$V$672,'PO detail'!$A$2:$A$672,B458,'PO detail'!$B$2:$B$672,C458,'PO detail'!$G$2:$G$672,"&gt;="&amp;D458,'PO detail'!$G$2:$G$672,"&lt;"&amp;A458)</x:f>
        <x:v>0</x:v>
      </x:c>
      <x:c r="J458" s="8" t="n">
        <x:f>SUMIFS('PO detail'!$W$2:$W$672,'PO detail'!$A$2:$A$672,B458,'PO detail'!$B$2:$B$672,C458,'PO detail'!$G$2:$G$672,"&gt;="&amp;D458,'PO detail'!$G$2:$G$672,"&lt;"&amp;A458)</x:f>
        <x:v>0</x:v>
      </x:c>
      <x:c r="K458" s="8" t="n">
        <x:f>'Current inventory'!E80*Summary!$D$6*(A458-D458)/30.4375</x:f>
        <x:v>0</x:v>
      </x:c>
      <x:c r="L458" s="8" t="n">
        <x:f>MAX(0,E458+H458-K458)</x:f>
        <x:v>0</x:v>
      </x:c>
      <x:c r="M458" s="8" t="n">
        <x:f>MAX(0,F458+I458-MAX(0,K458-E458-H458))</x:f>
        <x:v>0</x:v>
      </x:c>
      <x:c r="N458" s="8" t="n">
        <x:f>MAX(0,G458+J458-K458)</x:f>
        <x:v>600</x:v>
      </x:c>
      <x:c r="O458" s="8" t="n">
        <x:f>SUM(L458:N458)</x:f>
        <x:v>600</x:v>
      </x:c>
      <x:c r="P458" s="14" t="n">
        <x:f>'Current inventory'!V80</x:f>
        <x:v>0.17350000000000002</x:v>
      </x:c>
      <x:c r="Q458" s="14" t="str">
        <x:f>'Current inventory'!W80</x:f>
        <x:v>n.a.</x:v>
      </x:c>
      <x:c r="R458" s="10" t="n">
        <x:f>L458*P458</x:f>
        <x:v>0</x:v>
      </x:c>
      <x:c r="S458" s="10" t="n">
        <x:f>M458*P458</x:f>
        <x:v>0</x:v>
      </x:c>
      <x:c r="T458" s="10" t="n">
        <x:f>N458*P458</x:f>
        <x:v>104.10000000000001</x:v>
      </x:c>
      <x:c r="U458" s="10" t="n">
        <x:f>O458*P458</x:f>
        <x:v>104.10000000000001</x:v>
      </x:c>
      <x:c r="V458" s="10" t="str">
        <x:f>IF(ISNUMBER(Q458),O458*(Q458-P458),"n.a.")</x:f>
        <x:v>n.a.</x:v>
      </x:c>
      <x:c r="W458" s="10" t="n">
        <x:f>IF(ISNUMBER(Q458),U458,0)</x:f>
        <x:v>0</x:v>
      </x:c>
      <x:c r="X458" s="8" t="n">
        <x:f>MAX(0,K458-SUM(E458:J458))</x:f>
        <x:v>0</x:v>
      </x:c>
      <x:c r="Y458" s="1" t="str">
        <x:f>IF(AND(O458&gt;0,NOT(ISNUMBER(Q458))),"No proposed replacement standard",IF(X458&gt;0,"Demand exceeds available stock",""))</x:f>
        <x:v>No proposed replacement standard</x:v>
      </x:c>
      <x:c r="Z458" s="1" t="n">
        <x:f>IF(ISNUMBER(Q458),1,0)</x:f>
        <x:v>0</x:v>
      </x:c>
    </x:row>
    <x:row r="459" ht="21" customHeight="1">
      <x:c r="A459" s="17" t="n">
        <x:f>Summary!B18</x:f>
        <x:v>46419</x:v>
      </x:c>
      <x:c r="B459" s="1" t="str">
        <x:f>'Current inventory'!A81</x:f>
        <x:v>10</x:v>
      </x:c>
      <x:c r="C459" s="1" t="str">
        <x:f>'Current inventory'!B81</x:f>
        <x:v>800WREDASC</x:v>
      </x:c>
      <x:c r="D459" s="7" t="n">
        <x:f>A333</x:f>
        <x:v>46388</x:v>
      </x:c>
      <x:c r="E459" s="8" t="n">
        <x:f>L333</x:f>
        <x:v>0</x:v>
      </x:c>
      <x:c r="F459" s="8" t="n">
        <x:f>M333</x:f>
        <x:v>0</x:v>
      </x:c>
      <x:c r="G459" s="8" t="n">
        <x:f>N333</x:f>
        <x:v>0</x:v>
      </x:c>
      <x:c r="H459" s="8" t="n">
        <x:f>SUMIFS('PO detail'!$U$2:$U$672,'PO detail'!$A$2:$A$672,B459,'PO detail'!$B$2:$B$672,C459,'PO detail'!$G$2:$G$672,"&gt;="&amp;D459,'PO detail'!$G$2:$G$672,"&lt;"&amp;A459)</x:f>
        <x:v>0</x:v>
      </x:c>
      <x:c r="I459" s="8" t="n">
        <x:f>SUMIFS('PO detail'!$V$2:$V$672,'PO detail'!$A$2:$A$672,B459,'PO detail'!$B$2:$B$672,C459,'PO detail'!$G$2:$G$672,"&gt;="&amp;D459,'PO detail'!$G$2:$G$672,"&lt;"&amp;A459)</x:f>
        <x:v>0</x:v>
      </x:c>
      <x:c r="J459" s="8" t="n">
        <x:f>SUMIFS('PO detail'!$W$2:$W$672,'PO detail'!$A$2:$A$672,B459,'PO detail'!$B$2:$B$672,C459,'PO detail'!$G$2:$G$672,"&gt;="&amp;D459,'PO detail'!$G$2:$G$672,"&lt;"&amp;A459)</x:f>
        <x:v>0</x:v>
      </x:c>
      <x:c r="K459" s="8" t="n">
        <x:f>'Current inventory'!E81*Summary!$D$6*(A459-D459)/30.4375</x:f>
        <x:v>0</x:v>
      </x:c>
      <x:c r="L459" s="8" t="n">
        <x:f>MAX(0,E459+H459-K459)</x:f>
        <x:v>0</x:v>
      </x:c>
      <x:c r="M459" s="8" t="n">
        <x:f>MAX(0,F459+I459-MAX(0,K459-E459-H459))</x:f>
        <x:v>0</x:v>
      </x:c>
      <x:c r="N459" s="8" t="n">
        <x:f>MAX(0,G459+J459-K459)</x:f>
        <x:v>0</x:v>
      </x:c>
      <x:c r="O459" s="8" t="n">
        <x:f>SUM(L459:N459)</x:f>
        <x:v>0</x:v>
      </x:c>
      <x:c r="P459" s="14" t="n">
        <x:f>'Current inventory'!V81</x:f>
        <x:v>0.07919999999999999</x:v>
      </x:c>
      <x:c r="Q459" s="14" t="str">
        <x:f>'Current inventory'!W81</x:f>
        <x:v>n.a.</x:v>
      </x:c>
      <x:c r="R459" s="10" t="n">
        <x:f>L459*P459</x:f>
        <x:v>0</x:v>
      </x:c>
      <x:c r="S459" s="10" t="n">
        <x:f>M459*P459</x:f>
        <x:v>0</x:v>
      </x:c>
      <x:c r="T459" s="10" t="n">
        <x:f>N459*P459</x:f>
        <x:v>0</x:v>
      </x:c>
      <x:c r="U459" s="10" t="n">
        <x:f>O459*P459</x:f>
        <x:v>0</x:v>
      </x:c>
      <x:c r="V459" s="10" t="str">
        <x:f>IF(ISNUMBER(Q459),O459*(Q459-P459),"n.a.")</x:f>
        <x:v>n.a.</x:v>
      </x:c>
      <x:c r="W459" s="10" t="n">
        <x:f>IF(ISNUMBER(Q459),U459,0)</x:f>
        <x:v>0</x:v>
      </x:c>
      <x:c r="X459" s="8" t="n">
        <x:f>MAX(0,K459-SUM(E459:J459))</x:f>
        <x:v>0</x:v>
      </x:c>
      <x:c r="Y459" s="1" t="str">
        <x:f>IF(AND(O459&gt;0,NOT(ISNUMBER(Q459))),"No proposed replacement standard",IF(X459&gt;0,"Demand exceeds available stock",""))</x:f>
      </x:c>
      <x:c r="Z459" s="1" t="n">
        <x:f>IF(ISNUMBER(Q459),1,0)</x:f>
        <x:v>0</x:v>
      </x:c>
    </x:row>
    <x:row r="460" ht="21" customHeight="1">
      <x:c r="A460" s="17" t="n">
        <x:f>Summary!B18</x:f>
        <x:v>46419</x:v>
      </x:c>
      <x:c r="B460" s="1" t="str">
        <x:f>'Current inventory'!A82</x:f>
        <x:v>10</x:v>
      </x:c>
      <x:c r="C460" s="1" t="str">
        <x:f>'Current inventory'!B82</x:f>
        <x:v>800WREDBRC</x:v>
      </x:c>
      <x:c r="D460" s="7" t="n">
        <x:f>A334</x:f>
        <x:v>46388</x:v>
      </x:c>
      <x:c r="E460" s="8" t="n">
        <x:f>L334</x:f>
        <x:v>0</x:v>
      </x:c>
      <x:c r="F460" s="8" t="n">
        <x:f>M334</x:f>
        <x:v>0</x:v>
      </x:c>
      <x:c r="G460" s="8" t="n">
        <x:f>N334</x:f>
        <x:v>0</x:v>
      </x:c>
      <x:c r="H460" s="8" t="n">
        <x:f>SUMIFS('PO detail'!$U$2:$U$672,'PO detail'!$A$2:$A$672,B460,'PO detail'!$B$2:$B$672,C460,'PO detail'!$G$2:$G$672,"&gt;="&amp;D460,'PO detail'!$G$2:$G$672,"&lt;"&amp;A460)</x:f>
        <x:v>0</x:v>
      </x:c>
      <x:c r="I460" s="8" t="n">
        <x:f>SUMIFS('PO detail'!$V$2:$V$672,'PO detail'!$A$2:$A$672,B460,'PO detail'!$B$2:$B$672,C460,'PO detail'!$G$2:$G$672,"&gt;="&amp;D460,'PO detail'!$G$2:$G$672,"&lt;"&amp;A460)</x:f>
        <x:v>0</x:v>
      </x:c>
      <x:c r="J460" s="8" t="n">
        <x:f>SUMIFS('PO detail'!$W$2:$W$672,'PO detail'!$A$2:$A$672,B460,'PO detail'!$B$2:$B$672,C460,'PO detail'!$G$2:$G$672,"&gt;="&amp;D460,'PO detail'!$G$2:$G$672,"&lt;"&amp;A460)</x:f>
        <x:v>0</x:v>
      </x:c>
      <x:c r="K460" s="8" t="n">
        <x:f>'Current inventory'!E82*Summary!$D$6*(A460-D460)/30.4375</x:f>
        <x:v>0</x:v>
      </x:c>
      <x:c r="L460" s="8" t="n">
        <x:f>MAX(0,E460+H460-K460)</x:f>
        <x:v>0</x:v>
      </x:c>
      <x:c r="M460" s="8" t="n">
        <x:f>MAX(0,F460+I460-MAX(0,K460-E460-H460))</x:f>
        <x:v>0</x:v>
      </x:c>
      <x:c r="N460" s="8" t="n">
        <x:f>MAX(0,G460+J460-K460)</x:f>
        <x:v>0</x:v>
      </x:c>
      <x:c r="O460" s="8" t="n">
        <x:f>SUM(L460:N460)</x:f>
        <x:v>0</x:v>
      </x:c>
      <x:c r="P460" s="14" t="n">
        <x:f>'Current inventory'!V82</x:f>
        <x:v>0.0898</x:v>
      </x:c>
      <x:c r="Q460" s="14" t="str">
        <x:f>'Current inventory'!W82</x:f>
        <x:v>n.a.</x:v>
      </x:c>
      <x:c r="R460" s="10" t="n">
        <x:f>L460*P460</x:f>
        <x:v>0</x:v>
      </x:c>
      <x:c r="S460" s="10" t="n">
        <x:f>M460*P460</x:f>
        <x:v>0</x:v>
      </x:c>
      <x:c r="T460" s="10" t="n">
        <x:f>N460*P460</x:f>
        <x:v>0</x:v>
      </x:c>
      <x:c r="U460" s="10" t="n">
        <x:f>O460*P460</x:f>
        <x:v>0</x:v>
      </x:c>
      <x:c r="V460" s="10" t="str">
        <x:f>IF(ISNUMBER(Q460),O460*(Q460-P460),"n.a.")</x:f>
        <x:v>n.a.</x:v>
      </x:c>
      <x:c r="W460" s="10" t="n">
        <x:f>IF(ISNUMBER(Q460),U460,0)</x:f>
        <x:v>0</x:v>
      </x:c>
      <x:c r="X460" s="8" t="n">
        <x:f>MAX(0,K460-SUM(E460:J460))</x:f>
        <x:v>0</x:v>
      </x:c>
      <x:c r="Y460" s="1" t="str">
        <x:f>IF(AND(O460&gt;0,NOT(ISNUMBER(Q460))),"No proposed replacement standard",IF(X460&gt;0,"Demand exceeds available stock",""))</x:f>
      </x:c>
      <x:c r="Z460" s="1" t="n">
        <x:f>IF(ISNUMBER(Q460),1,0)</x:f>
        <x:v>0</x:v>
      </x:c>
    </x:row>
    <x:row r="461" ht="21" customHeight="1">
      <x:c r="A461" s="17" t="n">
        <x:f>Summary!B18</x:f>
        <x:v>46419</x:v>
      </x:c>
      <x:c r="B461" s="1" t="str">
        <x:f>'Current inventory'!A83</x:f>
        <x:v>10</x:v>
      </x:c>
      <x:c r="C461" s="1" t="str">
        <x:f>'Current inventory'!B83</x:f>
        <x:v>800WWHTASC</x:v>
      </x:c>
      <x:c r="D461" s="7" t="n">
        <x:f>A335</x:f>
        <x:v>46388</x:v>
      </x:c>
      <x:c r="E461" s="8" t="n">
        <x:f>L335</x:f>
        <x:v>0</x:v>
      </x:c>
      <x:c r="F461" s="8" t="n">
        <x:f>M335</x:f>
        <x:v>0</x:v>
      </x:c>
      <x:c r="G461" s="8" t="n">
        <x:f>N335</x:f>
        <x:v>0</x:v>
      </x:c>
      <x:c r="H461" s="8" t="n">
        <x:f>SUMIFS('PO detail'!$U$2:$U$672,'PO detail'!$A$2:$A$672,B461,'PO detail'!$B$2:$B$672,C461,'PO detail'!$G$2:$G$672,"&gt;="&amp;D461,'PO detail'!$G$2:$G$672,"&lt;"&amp;A461)</x:f>
        <x:v>0</x:v>
      </x:c>
      <x:c r="I461" s="8" t="n">
        <x:f>SUMIFS('PO detail'!$V$2:$V$672,'PO detail'!$A$2:$A$672,B461,'PO detail'!$B$2:$B$672,C461,'PO detail'!$G$2:$G$672,"&gt;="&amp;D461,'PO detail'!$G$2:$G$672,"&lt;"&amp;A461)</x:f>
        <x:v>0</x:v>
      </x:c>
      <x:c r="J461" s="8" t="n">
        <x:f>SUMIFS('PO detail'!$W$2:$W$672,'PO detail'!$A$2:$A$672,B461,'PO detail'!$B$2:$B$672,C461,'PO detail'!$G$2:$G$672,"&gt;="&amp;D461,'PO detail'!$G$2:$G$672,"&lt;"&amp;A461)</x:f>
        <x:v>0</x:v>
      </x:c>
      <x:c r="K461" s="8" t="n">
        <x:f>'Current inventory'!E83*Summary!$D$6*(A461-D461)/30.4375</x:f>
        <x:v>0</x:v>
      </x:c>
      <x:c r="L461" s="8" t="n">
        <x:f>MAX(0,E461+H461-K461)</x:f>
        <x:v>0</x:v>
      </x:c>
      <x:c r="M461" s="8" t="n">
        <x:f>MAX(0,F461+I461-MAX(0,K461-E461-H461))</x:f>
        <x:v>0</x:v>
      </x:c>
      <x:c r="N461" s="8" t="n">
        <x:f>MAX(0,G461+J461-K461)</x:f>
        <x:v>0</x:v>
      </x:c>
      <x:c r="O461" s="8" t="n">
        <x:f>SUM(L461:N461)</x:f>
        <x:v>0</x:v>
      </x:c>
      <x:c r="P461" s="14" t="n">
        <x:f>'Current inventory'!V83</x:f>
        <x:v>0.1456</x:v>
      </x:c>
      <x:c r="Q461" s="14" t="str">
        <x:f>'Current inventory'!W83</x:f>
        <x:v>n.a.</x:v>
      </x:c>
      <x:c r="R461" s="10" t="n">
        <x:f>L461*P461</x:f>
        <x:v>0</x:v>
      </x:c>
      <x:c r="S461" s="10" t="n">
        <x:f>M461*P461</x:f>
        <x:v>0</x:v>
      </x:c>
      <x:c r="T461" s="10" t="n">
        <x:f>N461*P461</x:f>
        <x:v>0</x:v>
      </x:c>
      <x:c r="U461" s="10" t="n">
        <x:f>O461*P461</x:f>
        <x:v>0</x:v>
      </x:c>
      <x:c r="V461" s="10" t="str">
        <x:f>IF(ISNUMBER(Q461),O461*(Q461-P461),"n.a.")</x:f>
        <x:v>n.a.</x:v>
      </x:c>
      <x:c r="W461" s="10" t="n">
        <x:f>IF(ISNUMBER(Q461),U461,0)</x:f>
        <x:v>0</x:v>
      </x:c>
      <x:c r="X461" s="8" t="n">
        <x:f>MAX(0,K461-SUM(E461:J461))</x:f>
        <x:v>0</x:v>
      </x:c>
      <x:c r="Y461" s="1" t="str">
        <x:f>IF(AND(O461&gt;0,NOT(ISNUMBER(Q461))),"No proposed replacement standard",IF(X461&gt;0,"Demand exceeds available stock",""))</x:f>
      </x:c>
      <x:c r="Z461" s="1" t="n">
        <x:f>IF(ISNUMBER(Q461),1,0)</x:f>
        <x:v>0</x:v>
      </x:c>
    </x:row>
    <x:row r="462" ht="21" customHeight="1">
      <x:c r="A462" s="17" t="n">
        <x:f>Summary!B18</x:f>
        <x:v>46419</x:v>
      </x:c>
      <x:c r="B462" s="1" t="str">
        <x:f>'Current inventory'!A84</x:f>
        <x:v>10</x:v>
      </x:c>
      <x:c r="C462" s="1" t="str">
        <x:f>'Current inventory'!B84</x:f>
        <x:v>800WWHTBRC</x:v>
      </x:c>
      <x:c r="D462" s="7" t="n">
        <x:f>A336</x:f>
        <x:v>46388</x:v>
      </x:c>
      <x:c r="E462" s="8" t="n">
        <x:f>L336</x:f>
        <x:v>0</x:v>
      </x:c>
      <x:c r="F462" s="8" t="n">
        <x:f>M336</x:f>
        <x:v>0</x:v>
      </x:c>
      <x:c r="G462" s="8" t="n">
        <x:f>N336</x:f>
        <x:v>0</x:v>
      </x:c>
      <x:c r="H462" s="8" t="n">
        <x:f>SUMIFS('PO detail'!$U$2:$U$672,'PO detail'!$A$2:$A$672,B462,'PO detail'!$B$2:$B$672,C462,'PO detail'!$G$2:$G$672,"&gt;="&amp;D462,'PO detail'!$G$2:$G$672,"&lt;"&amp;A462)</x:f>
        <x:v>0</x:v>
      </x:c>
      <x:c r="I462" s="8" t="n">
        <x:f>SUMIFS('PO detail'!$V$2:$V$672,'PO detail'!$A$2:$A$672,B462,'PO detail'!$B$2:$B$672,C462,'PO detail'!$G$2:$G$672,"&gt;="&amp;D462,'PO detail'!$G$2:$G$672,"&lt;"&amp;A462)</x:f>
        <x:v>0</x:v>
      </x:c>
      <x:c r="J462" s="8" t="n">
        <x:f>SUMIFS('PO detail'!$W$2:$W$672,'PO detail'!$A$2:$A$672,B462,'PO detail'!$B$2:$B$672,C462,'PO detail'!$G$2:$G$672,"&gt;="&amp;D462,'PO detail'!$G$2:$G$672,"&lt;"&amp;A462)</x:f>
        <x:v>0</x:v>
      </x:c>
      <x:c r="K462" s="8" t="n">
        <x:f>'Current inventory'!E84*Summary!$D$6*(A462-D462)/30.4375</x:f>
        <x:v>0</x:v>
      </x:c>
      <x:c r="L462" s="8" t="n">
        <x:f>MAX(0,E462+H462-K462)</x:f>
        <x:v>0</x:v>
      </x:c>
      <x:c r="M462" s="8" t="n">
        <x:f>MAX(0,F462+I462-MAX(0,K462-E462-H462))</x:f>
        <x:v>0</x:v>
      </x:c>
      <x:c r="N462" s="8" t="n">
        <x:f>MAX(0,G462+J462-K462)</x:f>
        <x:v>0</x:v>
      </x:c>
      <x:c r="O462" s="8" t="n">
        <x:f>SUM(L462:N462)</x:f>
        <x:v>0</x:v>
      </x:c>
      <x:c r="P462" s="14" t="n">
        <x:f>'Current inventory'!V84</x:f>
        <x:v>0.18469999999999998</x:v>
      </x:c>
      <x:c r="Q462" s="14" t="str">
        <x:f>'Current inventory'!W84</x:f>
        <x:v>n.a.</x:v>
      </x:c>
      <x:c r="R462" s="10" t="n">
        <x:f>L462*P462</x:f>
        <x:v>0</x:v>
      </x:c>
      <x:c r="S462" s="10" t="n">
        <x:f>M462*P462</x:f>
        <x:v>0</x:v>
      </x:c>
      <x:c r="T462" s="10" t="n">
        <x:f>N462*P462</x:f>
        <x:v>0</x:v>
      </x:c>
      <x:c r="U462" s="10" t="n">
        <x:f>O462*P462</x:f>
        <x:v>0</x:v>
      </x:c>
      <x:c r="V462" s="10" t="str">
        <x:f>IF(ISNUMBER(Q462),O462*(Q462-P462),"n.a.")</x:f>
        <x:v>n.a.</x:v>
      </x:c>
      <x:c r="W462" s="10" t="n">
        <x:f>IF(ISNUMBER(Q462),U462,0)</x:f>
        <x:v>0</x:v>
      </x:c>
      <x:c r="X462" s="8" t="n">
        <x:f>MAX(0,K462-SUM(E462:J462))</x:f>
        <x:v>0</x:v>
      </x:c>
      <x:c r="Y462" s="1" t="str">
        <x:f>IF(AND(O462&gt;0,NOT(ISNUMBER(Q462))),"No proposed replacement standard",IF(X462&gt;0,"Demand exceeds available stock",""))</x:f>
      </x:c>
      <x:c r="Z462" s="1" t="n">
        <x:f>IF(ISNUMBER(Q462),1,0)</x:f>
        <x:v>0</x:v>
      </x:c>
    </x:row>
    <x:row r="463" ht="21" customHeight="1">
      <x:c r="A463" s="17" t="n">
        <x:f>Summary!B18</x:f>
        <x:v>46419</x:v>
      </x:c>
      <x:c r="B463" s="1" t="str">
        <x:f>'Current inventory'!A85</x:f>
        <x:v>30</x:v>
      </x:c>
      <x:c r="C463" s="1" t="str">
        <x:f>'Current inventory'!B85</x:f>
        <x:v>800BFGASC</x:v>
      </x:c>
      <x:c r="D463" s="7" t="n">
        <x:f>A337</x:f>
        <x:v>46388</x:v>
      </x:c>
      <x:c r="E463" s="8" t="n">
        <x:f>L337</x:f>
        <x:v>0</x:v>
      </x:c>
      <x:c r="F463" s="8" t="n">
        <x:f>M337</x:f>
        <x:v>0</x:v>
      </x:c>
      <x:c r="G463" s="8" t="n">
        <x:f>N337</x:f>
        <x:v>0</x:v>
      </x:c>
      <x:c r="H463" s="8" t="n">
        <x:f>SUMIFS('PO detail'!$U$2:$U$672,'PO detail'!$A$2:$A$672,B463,'PO detail'!$B$2:$B$672,C463,'PO detail'!$G$2:$G$672,"&gt;="&amp;D463,'PO detail'!$G$2:$G$672,"&lt;"&amp;A463)</x:f>
        <x:v>0</x:v>
      </x:c>
      <x:c r="I463" s="8" t="n">
        <x:f>SUMIFS('PO detail'!$V$2:$V$672,'PO detail'!$A$2:$A$672,B463,'PO detail'!$B$2:$B$672,C463,'PO detail'!$G$2:$G$672,"&gt;="&amp;D463,'PO detail'!$G$2:$G$672,"&lt;"&amp;A463)</x:f>
        <x:v>0</x:v>
      </x:c>
      <x:c r="J463" s="8" t="n">
        <x:f>SUMIFS('PO detail'!$W$2:$W$672,'PO detail'!$A$2:$A$672,B463,'PO detail'!$B$2:$B$672,C463,'PO detail'!$G$2:$G$672,"&gt;="&amp;D463,'PO detail'!$G$2:$G$672,"&lt;"&amp;A463)</x:f>
        <x:v>0</x:v>
      </x:c>
      <x:c r="K463" s="8" t="n">
        <x:f>'Current inventory'!E85*Summary!$D$6*(A463-D463)/30.4375</x:f>
        <x:v>0</x:v>
      </x:c>
      <x:c r="L463" s="8" t="n">
        <x:f>MAX(0,E463+H463-K463)</x:f>
        <x:v>0</x:v>
      </x:c>
      <x:c r="M463" s="8" t="n">
        <x:f>MAX(0,F463+I463-MAX(0,K463-E463-H463))</x:f>
        <x:v>0</x:v>
      </x:c>
      <x:c r="N463" s="8" t="n">
        <x:f>MAX(0,G463+J463-K463)</x:f>
        <x:v>0</x:v>
      </x:c>
      <x:c r="O463" s="8" t="n">
        <x:f>SUM(L463:N463)</x:f>
        <x:v>0</x:v>
      </x:c>
      <x:c r="P463" s="14" t="n">
        <x:f>'Current inventory'!V85</x:f>
        <x:v>0.1456</x:v>
      </x:c>
      <x:c r="Q463" s="14" t="str">
        <x:f>'Current inventory'!W85</x:f>
        <x:v>n.a.</x:v>
      </x:c>
      <x:c r="R463" s="10" t="n">
        <x:f>L463*P463</x:f>
        <x:v>0</x:v>
      </x:c>
      <x:c r="S463" s="10" t="n">
        <x:f>M463*P463</x:f>
        <x:v>0</x:v>
      </x:c>
      <x:c r="T463" s="10" t="n">
        <x:f>N463*P463</x:f>
        <x:v>0</x:v>
      </x:c>
      <x:c r="U463" s="10" t="n">
        <x:f>O463*P463</x:f>
        <x:v>0</x:v>
      </x:c>
      <x:c r="V463" s="10" t="str">
        <x:f>IF(ISNUMBER(Q463),O463*(Q463-P463),"n.a.")</x:f>
        <x:v>n.a.</x:v>
      </x:c>
      <x:c r="W463" s="10" t="n">
        <x:f>IF(ISNUMBER(Q463),U463,0)</x:f>
        <x:v>0</x:v>
      </x:c>
      <x:c r="X463" s="8" t="n">
        <x:f>MAX(0,K463-SUM(E463:J463))</x:f>
        <x:v>0</x:v>
      </x:c>
      <x:c r="Y463" s="1" t="str">
        <x:f>IF(AND(O463&gt;0,NOT(ISNUMBER(Q463))),"No proposed replacement standard",IF(X463&gt;0,"Demand exceeds available stock",""))</x:f>
      </x:c>
      <x:c r="Z463" s="1" t="n">
        <x:f>IF(ISNUMBER(Q463),1,0)</x:f>
        <x:v>0</x:v>
      </x:c>
    </x:row>
    <x:row r="464" ht="21" customHeight="1">
      <x:c r="A464" s="17" t="n">
        <x:f>Summary!B18</x:f>
        <x:v>46419</x:v>
      </x:c>
      <x:c r="B464" s="1" t="str">
        <x:f>'Current inventory'!A86</x:f>
        <x:v>30</x:v>
      </x:c>
      <x:c r="C464" s="1" t="str">
        <x:f>'Current inventory'!B86</x:f>
        <x:v>800BFGBRC</x:v>
      </x:c>
      <x:c r="D464" s="7" t="n">
        <x:f>A338</x:f>
        <x:v>46388</x:v>
      </x:c>
      <x:c r="E464" s="8" t="n">
        <x:f>L338</x:f>
        <x:v>0</x:v>
      </x:c>
      <x:c r="F464" s="8" t="n">
        <x:f>M338</x:f>
        <x:v>0</x:v>
      </x:c>
      <x:c r="G464" s="8" t="n">
        <x:f>N338</x:f>
        <x:v>0</x:v>
      </x:c>
      <x:c r="H464" s="8" t="n">
        <x:f>SUMIFS('PO detail'!$U$2:$U$672,'PO detail'!$A$2:$A$672,B464,'PO detail'!$B$2:$B$672,C464,'PO detail'!$G$2:$G$672,"&gt;="&amp;D464,'PO detail'!$G$2:$G$672,"&lt;"&amp;A464)</x:f>
        <x:v>0</x:v>
      </x:c>
      <x:c r="I464" s="8" t="n">
        <x:f>SUMIFS('PO detail'!$V$2:$V$672,'PO detail'!$A$2:$A$672,B464,'PO detail'!$B$2:$B$672,C464,'PO detail'!$G$2:$G$672,"&gt;="&amp;D464,'PO detail'!$G$2:$G$672,"&lt;"&amp;A464)</x:f>
        <x:v>0</x:v>
      </x:c>
      <x:c r="J464" s="8" t="n">
        <x:f>SUMIFS('PO detail'!$W$2:$W$672,'PO detail'!$A$2:$A$672,B464,'PO detail'!$B$2:$B$672,C464,'PO detail'!$G$2:$G$672,"&gt;="&amp;D464,'PO detail'!$G$2:$G$672,"&lt;"&amp;A464)</x:f>
        <x:v>0</x:v>
      </x:c>
      <x:c r="K464" s="8" t="n">
        <x:f>'Current inventory'!E86*Summary!$D$6*(A464-D464)/30.4375</x:f>
        <x:v>0</x:v>
      </x:c>
      <x:c r="L464" s="8" t="n">
        <x:f>MAX(0,E464+H464-K464)</x:f>
        <x:v>0</x:v>
      </x:c>
      <x:c r="M464" s="8" t="n">
        <x:f>MAX(0,F464+I464-MAX(0,K464-E464-H464))</x:f>
        <x:v>0</x:v>
      </x:c>
      <x:c r="N464" s="8" t="n">
        <x:f>MAX(0,G464+J464-K464)</x:f>
        <x:v>0</x:v>
      </x:c>
      <x:c r="O464" s="8" t="n">
        <x:f>SUM(L464:N464)</x:f>
        <x:v>0</x:v>
      </x:c>
      <x:c r="P464" s="14" t="n">
        <x:f>'Current inventory'!V86</x:f>
        <x:v>0.18469999999999998</x:v>
      </x:c>
      <x:c r="Q464" s="14" t="str">
        <x:f>'Current inventory'!W86</x:f>
        <x:v>n.a.</x:v>
      </x:c>
      <x:c r="R464" s="10" t="n">
        <x:f>L464*P464</x:f>
        <x:v>0</x:v>
      </x:c>
      <x:c r="S464" s="10" t="n">
        <x:f>M464*P464</x:f>
        <x:v>0</x:v>
      </x:c>
      <x:c r="T464" s="10" t="n">
        <x:f>N464*P464</x:f>
        <x:v>0</x:v>
      </x:c>
      <x:c r="U464" s="10" t="n">
        <x:f>O464*P464</x:f>
        <x:v>0</x:v>
      </x:c>
      <x:c r="V464" s="10" t="str">
        <x:f>IF(ISNUMBER(Q464),O464*(Q464-P464),"n.a.")</x:f>
        <x:v>n.a.</x:v>
      </x:c>
      <x:c r="W464" s="10" t="n">
        <x:f>IF(ISNUMBER(Q464),U464,0)</x:f>
        <x:v>0</x:v>
      </x:c>
      <x:c r="X464" s="8" t="n">
        <x:f>MAX(0,K464-SUM(E464:J464))</x:f>
        <x:v>0</x:v>
      </x:c>
      <x:c r="Y464" s="1" t="str">
        <x:f>IF(AND(O464&gt;0,NOT(ISNUMBER(Q464))),"No proposed replacement standard",IF(X464&gt;0,"Demand exceeds available stock",""))</x:f>
      </x:c>
      <x:c r="Z464" s="1" t="n">
        <x:f>IF(ISNUMBER(Q464),1,0)</x:f>
        <x:v>0</x:v>
      </x:c>
    </x:row>
    <x:row r="465" ht="21" customHeight="1">
      <x:c r="A465" s="17" t="n">
        <x:f>Summary!B18</x:f>
        <x:v>46419</x:v>
      </x:c>
      <x:c r="B465" s="1" t="str">
        <x:f>'Current inventory'!A87</x:f>
        <x:v>30</x:v>
      </x:c>
      <x:c r="C465" s="1" t="str">
        <x:f>'Current inventory'!B87</x:f>
        <x:v>800BFGCSC</x:v>
      </x:c>
      <x:c r="D465" s="7" t="n">
        <x:f>A339</x:f>
        <x:v>46388</x:v>
      </x:c>
      <x:c r="E465" s="8" t="n">
        <x:f>L339</x:f>
        <x:v>0</x:v>
      </x:c>
      <x:c r="F465" s="8" t="n">
        <x:f>M339</x:f>
        <x:v>0</x:v>
      </x:c>
      <x:c r="G465" s="8" t="n">
        <x:f>N339</x:f>
        <x:v>0</x:v>
      </x:c>
      <x:c r="H465" s="8" t="n">
        <x:f>SUMIFS('PO detail'!$U$2:$U$672,'PO detail'!$A$2:$A$672,B465,'PO detail'!$B$2:$B$672,C465,'PO detail'!$G$2:$G$672,"&gt;="&amp;D465,'PO detail'!$G$2:$G$672,"&lt;"&amp;A465)</x:f>
        <x:v>0</x:v>
      </x:c>
      <x:c r="I465" s="8" t="n">
        <x:f>SUMIFS('PO detail'!$V$2:$V$672,'PO detail'!$A$2:$A$672,B465,'PO detail'!$B$2:$B$672,C465,'PO detail'!$G$2:$G$672,"&gt;="&amp;D465,'PO detail'!$G$2:$G$672,"&lt;"&amp;A465)</x:f>
        <x:v>0</x:v>
      </x:c>
      <x:c r="J465" s="8" t="n">
        <x:f>SUMIFS('PO detail'!$W$2:$W$672,'PO detail'!$A$2:$A$672,B465,'PO detail'!$B$2:$B$672,C465,'PO detail'!$G$2:$G$672,"&gt;="&amp;D465,'PO detail'!$G$2:$G$672,"&lt;"&amp;A465)</x:f>
        <x:v>0</x:v>
      </x:c>
      <x:c r="K465" s="8" t="n">
        <x:f>'Current inventory'!E87*Summary!$D$6*(A465-D465)/30.4375</x:f>
        <x:v>0</x:v>
      </x:c>
      <x:c r="L465" s="8" t="n">
        <x:f>MAX(0,E465+H465-K465)</x:f>
        <x:v>0</x:v>
      </x:c>
      <x:c r="M465" s="8" t="n">
        <x:f>MAX(0,F465+I465-MAX(0,K465-E465-H465))</x:f>
        <x:v>0</x:v>
      </x:c>
      <x:c r="N465" s="8" t="n">
        <x:f>MAX(0,G465+J465-K465)</x:f>
        <x:v>0</x:v>
      </x:c>
      <x:c r="O465" s="8" t="n">
        <x:f>SUM(L465:N465)</x:f>
        <x:v>0</x:v>
      </x:c>
      <x:c r="P465" s="14" t="n">
        <x:f>'Current inventory'!V87</x:f>
        <x:v>0.21559999999999999</x:v>
      </x:c>
      <x:c r="Q465" s="14" t="str">
        <x:f>'Current inventory'!W87</x:f>
        <x:v>n.a.</x:v>
      </x:c>
      <x:c r="R465" s="10" t="n">
        <x:f>L465*P465</x:f>
        <x:v>0</x:v>
      </x:c>
      <x:c r="S465" s="10" t="n">
        <x:f>M465*P465</x:f>
        <x:v>0</x:v>
      </x:c>
      <x:c r="T465" s="10" t="n">
        <x:f>N465*P465</x:f>
        <x:v>0</x:v>
      </x:c>
      <x:c r="U465" s="10" t="n">
        <x:f>O465*P465</x:f>
        <x:v>0</x:v>
      </x:c>
      <x:c r="V465" s="10" t="str">
        <x:f>IF(ISNUMBER(Q465),O465*(Q465-P465),"n.a.")</x:f>
        <x:v>n.a.</x:v>
      </x:c>
      <x:c r="W465" s="10" t="n">
        <x:f>IF(ISNUMBER(Q465),U465,0)</x:f>
        <x:v>0</x:v>
      </x:c>
      <x:c r="X465" s="8" t="n">
        <x:f>MAX(0,K465-SUM(E465:J465))</x:f>
        <x:v>0</x:v>
      </x:c>
      <x:c r="Y465" s="1" t="str">
        <x:f>IF(AND(O465&gt;0,NOT(ISNUMBER(Q465))),"No proposed replacement standard",IF(X465&gt;0,"Demand exceeds available stock",""))</x:f>
      </x:c>
      <x:c r="Z465" s="1" t="n">
        <x:f>IF(ISNUMBER(Q465),1,0)</x:f>
        <x:v>0</x:v>
      </x:c>
    </x:row>
    <x:row r="466" ht="21" customHeight="1">
      <x:c r="A466" s="17" t="n">
        <x:f>Summary!B18</x:f>
        <x:v>46419</x:v>
      </x:c>
      <x:c r="B466" s="1" t="str">
        <x:f>'Current inventory'!A88</x:f>
        <x:v>30</x:v>
      </x:c>
      <x:c r="C466" s="1" t="str">
        <x:f>'Current inventory'!B88</x:f>
        <x:v>800BFGDSC</x:v>
      </x:c>
      <x:c r="D466" s="7" t="n">
        <x:f>A340</x:f>
        <x:v>46388</x:v>
      </x:c>
      <x:c r="E466" s="8" t="n">
        <x:f>L340</x:f>
        <x:v>0</x:v>
      </x:c>
      <x:c r="F466" s="8" t="n">
        <x:f>M340</x:f>
        <x:v>0</x:v>
      </x:c>
      <x:c r="G466" s="8" t="n">
        <x:f>N340</x:f>
        <x:v>0</x:v>
      </x:c>
      <x:c r="H466" s="8" t="n">
        <x:f>SUMIFS('PO detail'!$U$2:$U$672,'PO detail'!$A$2:$A$672,B466,'PO detail'!$B$2:$B$672,C466,'PO detail'!$G$2:$G$672,"&gt;="&amp;D466,'PO detail'!$G$2:$G$672,"&lt;"&amp;A466)</x:f>
        <x:v>0</x:v>
      </x:c>
      <x:c r="I466" s="8" t="n">
        <x:f>SUMIFS('PO detail'!$V$2:$V$672,'PO detail'!$A$2:$A$672,B466,'PO detail'!$B$2:$B$672,C466,'PO detail'!$G$2:$G$672,"&gt;="&amp;D466,'PO detail'!$G$2:$G$672,"&lt;"&amp;A466)</x:f>
        <x:v>0</x:v>
      </x:c>
      <x:c r="J466" s="8" t="n">
        <x:f>SUMIFS('PO detail'!$W$2:$W$672,'PO detail'!$A$2:$A$672,B466,'PO detail'!$B$2:$B$672,C466,'PO detail'!$G$2:$G$672,"&gt;="&amp;D466,'PO detail'!$G$2:$G$672,"&lt;"&amp;A466)</x:f>
        <x:v>0</x:v>
      </x:c>
      <x:c r="K466" s="8" t="n">
        <x:f>'Current inventory'!E88*Summary!$D$6*(A466-D466)/30.4375</x:f>
        <x:v>0</x:v>
      </x:c>
      <x:c r="L466" s="8" t="n">
        <x:f>MAX(0,E466+H466-K466)</x:f>
        <x:v>0</x:v>
      </x:c>
      <x:c r="M466" s="8" t="n">
        <x:f>MAX(0,F466+I466-MAX(0,K466-E466-H466))</x:f>
        <x:v>0</x:v>
      </x:c>
      <x:c r="N466" s="8" t="n">
        <x:f>MAX(0,G466+J466-K466)</x:f>
        <x:v>0</x:v>
      </x:c>
      <x:c r="O466" s="8" t="n">
        <x:f>SUM(L466:N466)</x:f>
        <x:v>0</x:v>
      </x:c>
      <x:c r="P466" s="14" t="n">
        <x:f>'Current inventory'!V88</x:f>
        <x:v>0.38</x:v>
      </x:c>
      <x:c r="Q466" s="14" t="str">
        <x:f>'Current inventory'!W88</x:f>
        <x:v>n.a.</x:v>
      </x:c>
      <x:c r="R466" s="10" t="n">
        <x:f>L466*P466</x:f>
        <x:v>0</x:v>
      </x:c>
      <x:c r="S466" s="10" t="n">
        <x:f>M466*P466</x:f>
        <x:v>0</x:v>
      </x:c>
      <x:c r="T466" s="10" t="n">
        <x:f>N466*P466</x:f>
        <x:v>0</x:v>
      </x:c>
      <x:c r="U466" s="10" t="n">
        <x:f>O466*P466</x:f>
        <x:v>0</x:v>
      </x:c>
      <x:c r="V466" s="10" t="str">
        <x:f>IF(ISNUMBER(Q466),O466*(Q466-P466),"n.a.")</x:f>
        <x:v>n.a.</x:v>
      </x:c>
      <x:c r="W466" s="10" t="n">
        <x:f>IF(ISNUMBER(Q466),U466,0)</x:f>
        <x:v>0</x:v>
      </x:c>
      <x:c r="X466" s="8" t="n">
        <x:f>MAX(0,K466-SUM(E466:J466))</x:f>
        <x:v>0</x:v>
      </x:c>
      <x:c r="Y466" s="1" t="str">
        <x:f>IF(AND(O466&gt;0,NOT(ISNUMBER(Q466))),"No proposed replacement standard",IF(X466&gt;0,"Demand exceeds available stock",""))</x:f>
      </x:c>
      <x:c r="Z466" s="1" t="n">
        <x:f>IF(ISNUMBER(Q466),1,0)</x:f>
        <x:v>0</x:v>
      </x:c>
    </x:row>
    <x:row r="467" ht="21" customHeight="1">
      <x:c r="A467" s="17" t="n">
        <x:f>Summary!B18</x:f>
        <x:v>46419</x:v>
      </x:c>
      <x:c r="B467" s="1" t="str">
        <x:f>'Current inventory'!A89</x:f>
        <x:v>30</x:v>
      </x:c>
      <x:c r="C467" s="1" t="str">
        <x:f>'Current inventory'!B89</x:f>
        <x:v>800BFGISC</x:v>
      </x:c>
      <x:c r="D467" s="7" t="n">
        <x:f>A341</x:f>
        <x:v>46388</x:v>
      </x:c>
      <x:c r="E467" s="8" t="n">
        <x:f>L341</x:f>
        <x:v>0</x:v>
      </x:c>
      <x:c r="F467" s="8" t="n">
        <x:f>M341</x:f>
        <x:v>0</x:v>
      </x:c>
      <x:c r="G467" s="8" t="n">
        <x:f>N341</x:f>
        <x:v>0</x:v>
      </x:c>
      <x:c r="H467" s="8" t="n">
        <x:f>SUMIFS('PO detail'!$U$2:$U$672,'PO detail'!$A$2:$A$672,B467,'PO detail'!$B$2:$B$672,C467,'PO detail'!$G$2:$G$672,"&gt;="&amp;D467,'PO detail'!$G$2:$G$672,"&lt;"&amp;A467)</x:f>
        <x:v>0</x:v>
      </x:c>
      <x:c r="I467" s="8" t="n">
        <x:f>SUMIFS('PO detail'!$V$2:$V$672,'PO detail'!$A$2:$A$672,B467,'PO detail'!$B$2:$B$672,C467,'PO detail'!$G$2:$G$672,"&gt;="&amp;D467,'PO detail'!$G$2:$G$672,"&lt;"&amp;A467)</x:f>
        <x:v>0</x:v>
      </x:c>
      <x:c r="J467" s="8" t="n">
        <x:f>SUMIFS('PO detail'!$W$2:$W$672,'PO detail'!$A$2:$A$672,B467,'PO detail'!$B$2:$B$672,C467,'PO detail'!$G$2:$G$672,"&gt;="&amp;D467,'PO detail'!$G$2:$G$672,"&lt;"&amp;A467)</x:f>
        <x:v>0</x:v>
      </x:c>
      <x:c r="K467" s="8" t="n">
        <x:f>'Current inventory'!E89*Summary!$D$6*(A467-D467)/30.4375</x:f>
        <x:v>0</x:v>
      </x:c>
      <x:c r="L467" s="8" t="n">
        <x:f>MAX(0,E467+H467-K467)</x:f>
        <x:v>0</x:v>
      </x:c>
      <x:c r="M467" s="8" t="n">
        <x:f>MAX(0,F467+I467-MAX(0,K467-E467-H467))</x:f>
        <x:v>0</x:v>
      </x:c>
      <x:c r="N467" s="8" t="n">
        <x:f>MAX(0,G467+J467-K467)</x:f>
        <x:v>0</x:v>
      </x:c>
      <x:c r="O467" s="8" t="n">
        <x:f>SUM(L467:N467)</x:f>
        <x:v>0</x:v>
      </x:c>
      <x:c r="P467" s="14" t="n">
        <x:f>'Current inventory'!V89</x:f>
        <x:v>0.1797</x:v>
      </x:c>
      <x:c r="Q467" s="14" t="str">
        <x:f>'Current inventory'!W89</x:f>
        <x:v>n.a.</x:v>
      </x:c>
      <x:c r="R467" s="10" t="n">
        <x:f>L467*P467</x:f>
        <x:v>0</x:v>
      </x:c>
      <x:c r="S467" s="10" t="n">
        <x:f>M467*P467</x:f>
        <x:v>0</x:v>
      </x:c>
      <x:c r="T467" s="10" t="n">
        <x:f>N467*P467</x:f>
        <x:v>0</x:v>
      </x:c>
      <x:c r="U467" s="10" t="n">
        <x:f>O467*P467</x:f>
        <x:v>0</x:v>
      </x:c>
      <x:c r="V467" s="10" t="str">
        <x:f>IF(ISNUMBER(Q467),O467*(Q467-P467),"n.a.")</x:f>
        <x:v>n.a.</x:v>
      </x:c>
      <x:c r="W467" s="10" t="n">
        <x:f>IF(ISNUMBER(Q467),U467,0)</x:f>
        <x:v>0</x:v>
      </x:c>
      <x:c r="X467" s="8" t="n">
        <x:f>MAX(0,K467-SUM(E467:J467))</x:f>
        <x:v>0</x:v>
      </x:c>
      <x:c r="Y467" s="1" t="str">
        <x:f>IF(AND(O467&gt;0,NOT(ISNUMBER(Q467))),"No proposed replacement standard",IF(X467&gt;0,"Demand exceeds available stock",""))</x:f>
      </x:c>
      <x:c r="Z467" s="1" t="n">
        <x:f>IF(ISNUMBER(Q467),1,0)</x:f>
        <x:v>0</x:v>
      </x:c>
    </x:row>
    <x:row r="468" ht="21" customHeight="1">
      <x:c r="A468" s="17" t="n">
        <x:f>Summary!B18</x:f>
        <x:v>46419</x:v>
      </x:c>
      <x:c r="B468" s="1" t="str">
        <x:f>'Current inventory'!A90</x:f>
        <x:v>30</x:v>
      </x:c>
      <x:c r="C468" s="1" t="str">
        <x:f>'Current inventory'!B90</x:f>
        <x:v>800BWHTASC</x:v>
      </x:c>
      <x:c r="D468" s="7" t="n">
        <x:f>A342</x:f>
        <x:v>46388</x:v>
      </x:c>
      <x:c r="E468" s="8" t="n">
        <x:f>L342</x:f>
        <x:v>0</x:v>
      </x:c>
      <x:c r="F468" s="8" t="n">
        <x:f>M342</x:f>
        <x:v>0</x:v>
      </x:c>
      <x:c r="G468" s="8" t="n">
        <x:f>N342</x:f>
        <x:v>0</x:v>
      </x:c>
      <x:c r="H468" s="8" t="n">
        <x:f>SUMIFS('PO detail'!$U$2:$U$672,'PO detail'!$A$2:$A$672,B468,'PO detail'!$B$2:$B$672,C468,'PO detail'!$G$2:$G$672,"&gt;="&amp;D468,'PO detail'!$G$2:$G$672,"&lt;"&amp;A468)</x:f>
        <x:v>0</x:v>
      </x:c>
      <x:c r="I468" s="8" t="n">
        <x:f>SUMIFS('PO detail'!$V$2:$V$672,'PO detail'!$A$2:$A$672,B468,'PO detail'!$B$2:$B$672,C468,'PO detail'!$G$2:$G$672,"&gt;="&amp;D468,'PO detail'!$G$2:$G$672,"&lt;"&amp;A468)</x:f>
        <x:v>0</x:v>
      </x:c>
      <x:c r="J468" s="8" t="n">
        <x:f>SUMIFS('PO detail'!$W$2:$W$672,'PO detail'!$A$2:$A$672,B468,'PO detail'!$B$2:$B$672,C468,'PO detail'!$G$2:$G$672,"&gt;="&amp;D468,'PO detail'!$G$2:$G$672,"&lt;"&amp;A468)</x:f>
        <x:v>0</x:v>
      </x:c>
      <x:c r="K468" s="8" t="n">
        <x:f>'Current inventory'!E90*Summary!$D$6*(A468-D468)/30.4375</x:f>
        <x:v>0</x:v>
      </x:c>
      <x:c r="L468" s="8" t="n">
        <x:f>MAX(0,E468+H468-K468)</x:f>
        <x:v>0</x:v>
      </x:c>
      <x:c r="M468" s="8" t="n">
        <x:f>MAX(0,F468+I468-MAX(0,K468-E468-H468))</x:f>
        <x:v>0</x:v>
      </x:c>
      <x:c r="N468" s="8" t="n">
        <x:f>MAX(0,G468+J468-K468)</x:f>
        <x:v>0</x:v>
      </x:c>
      <x:c r="O468" s="8" t="n">
        <x:f>SUM(L468:N468)</x:f>
        <x:v>0</x:v>
      </x:c>
      <x:c r="P468" s="14" t="n">
        <x:f>'Current inventory'!V90</x:f>
        <x:v>0.1456</x:v>
      </x:c>
      <x:c r="Q468" s="14" t="str">
        <x:f>'Current inventory'!W90</x:f>
        <x:v>n.a.</x:v>
      </x:c>
      <x:c r="R468" s="10" t="n">
        <x:f>L468*P468</x:f>
        <x:v>0</x:v>
      </x:c>
      <x:c r="S468" s="10" t="n">
        <x:f>M468*P468</x:f>
        <x:v>0</x:v>
      </x:c>
      <x:c r="T468" s="10" t="n">
        <x:f>N468*P468</x:f>
        <x:v>0</x:v>
      </x:c>
      <x:c r="U468" s="10" t="n">
        <x:f>O468*P468</x:f>
        <x:v>0</x:v>
      </x:c>
      <x:c r="V468" s="10" t="str">
        <x:f>IF(ISNUMBER(Q468),O468*(Q468-P468),"n.a.")</x:f>
        <x:v>n.a.</x:v>
      </x:c>
      <x:c r="W468" s="10" t="n">
        <x:f>IF(ISNUMBER(Q468),U468,0)</x:f>
        <x:v>0</x:v>
      </x:c>
      <x:c r="X468" s="8" t="n">
        <x:f>MAX(0,K468-SUM(E468:J468))</x:f>
        <x:v>0</x:v>
      </x:c>
      <x:c r="Y468" s="1" t="str">
        <x:f>IF(AND(O468&gt;0,NOT(ISNUMBER(Q468))),"No proposed replacement standard",IF(X468&gt;0,"Demand exceeds available stock",""))</x:f>
      </x:c>
      <x:c r="Z468" s="1" t="n">
        <x:f>IF(ISNUMBER(Q468),1,0)</x:f>
        <x:v>0</x:v>
      </x:c>
    </x:row>
    <x:row r="469" ht="21" customHeight="1">
      <x:c r="A469" s="17" t="n">
        <x:f>Summary!B18</x:f>
        <x:v>46419</x:v>
      </x:c>
      <x:c r="B469" s="1" t="str">
        <x:f>'Current inventory'!A91</x:f>
        <x:v>30</x:v>
      </x:c>
      <x:c r="C469" s="1" t="str">
        <x:f>'Current inventory'!B91</x:f>
        <x:v>800BWHTBRC</x:v>
      </x:c>
      <x:c r="D469" s="7" t="n">
        <x:f>A343</x:f>
        <x:v>46388</x:v>
      </x:c>
      <x:c r="E469" s="8" t="n">
        <x:f>L343</x:f>
        <x:v>0</x:v>
      </x:c>
      <x:c r="F469" s="8" t="n">
        <x:f>M343</x:f>
        <x:v>0</x:v>
      </x:c>
      <x:c r="G469" s="8" t="n">
        <x:f>N343</x:f>
        <x:v>0</x:v>
      </x:c>
      <x:c r="H469" s="8" t="n">
        <x:f>SUMIFS('PO detail'!$U$2:$U$672,'PO detail'!$A$2:$A$672,B469,'PO detail'!$B$2:$B$672,C469,'PO detail'!$G$2:$G$672,"&gt;="&amp;D469,'PO detail'!$G$2:$G$672,"&lt;"&amp;A469)</x:f>
        <x:v>0</x:v>
      </x:c>
      <x:c r="I469" s="8" t="n">
        <x:f>SUMIFS('PO detail'!$V$2:$V$672,'PO detail'!$A$2:$A$672,B469,'PO detail'!$B$2:$B$672,C469,'PO detail'!$G$2:$G$672,"&gt;="&amp;D469,'PO detail'!$G$2:$G$672,"&lt;"&amp;A469)</x:f>
        <x:v>0</x:v>
      </x:c>
      <x:c r="J469" s="8" t="n">
        <x:f>SUMIFS('PO detail'!$W$2:$W$672,'PO detail'!$A$2:$A$672,B469,'PO detail'!$B$2:$B$672,C469,'PO detail'!$G$2:$G$672,"&gt;="&amp;D469,'PO detail'!$G$2:$G$672,"&lt;"&amp;A469)</x:f>
        <x:v>0</x:v>
      </x:c>
      <x:c r="K469" s="8" t="n">
        <x:f>'Current inventory'!E91*Summary!$D$6*(A469-D469)/30.4375</x:f>
        <x:v>0</x:v>
      </x:c>
      <x:c r="L469" s="8" t="n">
        <x:f>MAX(0,E469+H469-K469)</x:f>
        <x:v>0</x:v>
      </x:c>
      <x:c r="M469" s="8" t="n">
        <x:f>MAX(0,F469+I469-MAX(0,K469-E469-H469))</x:f>
        <x:v>0</x:v>
      </x:c>
      <x:c r="N469" s="8" t="n">
        <x:f>MAX(0,G469+J469-K469)</x:f>
        <x:v>0</x:v>
      </x:c>
      <x:c r="O469" s="8" t="n">
        <x:f>SUM(L469:N469)</x:f>
        <x:v>0</x:v>
      </x:c>
      <x:c r="P469" s="14" t="n">
        <x:f>'Current inventory'!V91</x:f>
        <x:v>0.18469999999999998</x:v>
      </x:c>
      <x:c r="Q469" s="14" t="str">
        <x:f>'Current inventory'!W91</x:f>
        <x:v>n.a.</x:v>
      </x:c>
      <x:c r="R469" s="10" t="n">
        <x:f>L469*P469</x:f>
        <x:v>0</x:v>
      </x:c>
      <x:c r="S469" s="10" t="n">
        <x:f>M469*P469</x:f>
        <x:v>0</x:v>
      </x:c>
      <x:c r="T469" s="10" t="n">
        <x:f>N469*P469</x:f>
        <x:v>0</x:v>
      </x:c>
      <x:c r="U469" s="10" t="n">
        <x:f>O469*P469</x:f>
        <x:v>0</x:v>
      </x:c>
      <x:c r="V469" s="10" t="str">
        <x:f>IF(ISNUMBER(Q469),O469*(Q469-P469),"n.a.")</x:f>
        <x:v>n.a.</x:v>
      </x:c>
      <x:c r="W469" s="10" t="n">
        <x:f>IF(ISNUMBER(Q469),U469,0)</x:f>
        <x:v>0</x:v>
      </x:c>
      <x:c r="X469" s="8" t="n">
        <x:f>MAX(0,K469-SUM(E469:J469))</x:f>
        <x:v>0</x:v>
      </x:c>
      <x:c r="Y469" s="1" t="str">
        <x:f>IF(AND(O469&gt;0,NOT(ISNUMBER(Q469))),"No proposed replacement standard",IF(X469&gt;0,"Demand exceeds available stock",""))</x:f>
      </x:c>
      <x:c r="Z469" s="1" t="n">
        <x:f>IF(ISNUMBER(Q469),1,0)</x:f>
        <x:v>0</x:v>
      </x:c>
    </x:row>
    <x:row r="470" ht="21" customHeight="1">
      <x:c r="A470" s="17" t="n">
        <x:f>Summary!B18</x:f>
        <x:v>46419</x:v>
      </x:c>
      <x:c r="B470" s="1" t="str">
        <x:f>'Current inventory'!A92</x:f>
        <x:v>30</x:v>
      </x:c>
      <x:c r="C470" s="1" t="str">
        <x:f>'Current inventory'!B92</x:f>
        <x:v>800BWHTCSC</x:v>
      </x:c>
      <x:c r="D470" s="7" t="n">
        <x:f>A344</x:f>
        <x:v>46388</x:v>
      </x:c>
      <x:c r="E470" s="8" t="n">
        <x:f>L344</x:f>
        <x:v>0</x:v>
      </x:c>
      <x:c r="F470" s="8" t="n">
        <x:f>M344</x:f>
        <x:v>0</x:v>
      </x:c>
      <x:c r="G470" s="8" t="n">
        <x:f>N344</x:f>
        <x:v>0</x:v>
      </x:c>
      <x:c r="H470" s="8" t="n">
        <x:f>SUMIFS('PO detail'!$U$2:$U$672,'PO detail'!$A$2:$A$672,B470,'PO detail'!$B$2:$B$672,C470,'PO detail'!$G$2:$G$672,"&gt;="&amp;D470,'PO detail'!$G$2:$G$672,"&lt;"&amp;A470)</x:f>
        <x:v>0</x:v>
      </x:c>
      <x:c r="I470" s="8" t="n">
        <x:f>SUMIFS('PO detail'!$V$2:$V$672,'PO detail'!$A$2:$A$672,B470,'PO detail'!$B$2:$B$672,C470,'PO detail'!$G$2:$G$672,"&gt;="&amp;D470,'PO detail'!$G$2:$G$672,"&lt;"&amp;A470)</x:f>
        <x:v>0</x:v>
      </x:c>
      <x:c r="J470" s="8" t="n">
        <x:f>SUMIFS('PO detail'!$W$2:$W$672,'PO detail'!$A$2:$A$672,B470,'PO detail'!$B$2:$B$672,C470,'PO detail'!$G$2:$G$672,"&gt;="&amp;D470,'PO detail'!$G$2:$G$672,"&lt;"&amp;A470)</x:f>
        <x:v>0</x:v>
      </x:c>
      <x:c r="K470" s="8" t="n">
        <x:f>'Current inventory'!E92*Summary!$D$6*(A470-D470)/30.4375</x:f>
        <x:v>0</x:v>
      </x:c>
      <x:c r="L470" s="8" t="n">
        <x:f>MAX(0,E470+H470-K470)</x:f>
        <x:v>0</x:v>
      </x:c>
      <x:c r="M470" s="8" t="n">
        <x:f>MAX(0,F470+I470-MAX(0,K470-E470-H470))</x:f>
        <x:v>0</x:v>
      </x:c>
      <x:c r="N470" s="8" t="n">
        <x:f>MAX(0,G470+J470-K470)</x:f>
        <x:v>0</x:v>
      </x:c>
      <x:c r="O470" s="8" t="n">
        <x:f>SUM(L470:N470)</x:f>
        <x:v>0</x:v>
      </x:c>
      <x:c r="P470" s="14" t="n">
        <x:f>'Current inventory'!V92</x:f>
        <x:v>0.21559999999999999</x:v>
      </x:c>
      <x:c r="Q470" s="14" t="str">
        <x:f>'Current inventory'!W92</x:f>
        <x:v>n.a.</x:v>
      </x:c>
      <x:c r="R470" s="10" t="n">
        <x:f>L470*P470</x:f>
        <x:v>0</x:v>
      </x:c>
      <x:c r="S470" s="10" t="n">
        <x:f>M470*P470</x:f>
        <x:v>0</x:v>
      </x:c>
      <x:c r="T470" s="10" t="n">
        <x:f>N470*P470</x:f>
        <x:v>0</x:v>
      </x:c>
      <x:c r="U470" s="10" t="n">
        <x:f>O470*P470</x:f>
        <x:v>0</x:v>
      </x:c>
      <x:c r="V470" s="10" t="str">
        <x:f>IF(ISNUMBER(Q470),O470*(Q470-P470),"n.a.")</x:f>
        <x:v>n.a.</x:v>
      </x:c>
      <x:c r="W470" s="10" t="n">
        <x:f>IF(ISNUMBER(Q470),U470,0)</x:f>
        <x:v>0</x:v>
      </x:c>
      <x:c r="X470" s="8" t="n">
        <x:f>MAX(0,K470-SUM(E470:J470))</x:f>
        <x:v>0</x:v>
      </x:c>
      <x:c r="Y470" s="1" t="str">
        <x:f>IF(AND(O470&gt;0,NOT(ISNUMBER(Q470))),"No proposed replacement standard",IF(X470&gt;0,"Demand exceeds available stock",""))</x:f>
      </x:c>
      <x:c r="Z470" s="1" t="n">
        <x:f>IF(ISNUMBER(Q470),1,0)</x:f>
        <x:v>0</x:v>
      </x:c>
    </x:row>
    <x:row r="471" ht="21" customHeight="1">
      <x:c r="A471" s="17" t="n">
        <x:f>Summary!B18</x:f>
        <x:v>46419</x:v>
      </x:c>
      <x:c r="B471" s="1" t="str">
        <x:f>'Current inventory'!A93</x:f>
        <x:v>30</x:v>
      </x:c>
      <x:c r="C471" s="1" t="str">
        <x:f>'Current inventory'!B93</x:f>
        <x:v>800BWHTDSC</x:v>
      </x:c>
      <x:c r="D471" s="7" t="n">
        <x:f>A345</x:f>
        <x:v>46388</x:v>
      </x:c>
      <x:c r="E471" s="8" t="n">
        <x:f>L345</x:f>
        <x:v>0</x:v>
      </x:c>
      <x:c r="F471" s="8" t="n">
        <x:f>M345</x:f>
        <x:v>0</x:v>
      </x:c>
      <x:c r="G471" s="8" t="n">
        <x:f>N345</x:f>
        <x:v>0</x:v>
      </x:c>
      <x:c r="H471" s="8" t="n">
        <x:f>SUMIFS('PO detail'!$U$2:$U$672,'PO detail'!$A$2:$A$672,B471,'PO detail'!$B$2:$B$672,C471,'PO detail'!$G$2:$G$672,"&gt;="&amp;D471,'PO detail'!$G$2:$G$672,"&lt;"&amp;A471)</x:f>
        <x:v>0</x:v>
      </x:c>
      <x:c r="I471" s="8" t="n">
        <x:f>SUMIFS('PO detail'!$V$2:$V$672,'PO detail'!$A$2:$A$672,B471,'PO detail'!$B$2:$B$672,C471,'PO detail'!$G$2:$G$672,"&gt;="&amp;D471,'PO detail'!$G$2:$G$672,"&lt;"&amp;A471)</x:f>
        <x:v>0</x:v>
      </x:c>
      <x:c r="J471" s="8" t="n">
        <x:f>SUMIFS('PO detail'!$W$2:$W$672,'PO detail'!$A$2:$A$672,B471,'PO detail'!$B$2:$B$672,C471,'PO detail'!$G$2:$G$672,"&gt;="&amp;D471,'PO detail'!$G$2:$G$672,"&lt;"&amp;A471)</x:f>
        <x:v>0</x:v>
      </x:c>
      <x:c r="K471" s="8" t="n">
        <x:f>'Current inventory'!E93*Summary!$D$6*(A471-D471)/30.4375</x:f>
        <x:v>0</x:v>
      </x:c>
      <x:c r="L471" s="8" t="n">
        <x:f>MAX(0,E471+H471-K471)</x:f>
        <x:v>0</x:v>
      </x:c>
      <x:c r="M471" s="8" t="n">
        <x:f>MAX(0,F471+I471-MAX(0,K471-E471-H471))</x:f>
        <x:v>0</x:v>
      </x:c>
      <x:c r="N471" s="8" t="n">
        <x:f>MAX(0,G471+J471-K471)</x:f>
        <x:v>0</x:v>
      </x:c>
      <x:c r="O471" s="8" t="n">
        <x:f>SUM(L471:N471)</x:f>
        <x:v>0</x:v>
      </x:c>
      <x:c r="P471" s="14" t="n">
        <x:f>'Current inventory'!V93</x:f>
        <x:v>0.38</x:v>
      </x:c>
      <x:c r="Q471" s="14" t="str">
        <x:f>'Current inventory'!W93</x:f>
        <x:v>n.a.</x:v>
      </x:c>
      <x:c r="R471" s="10" t="n">
        <x:f>L471*P471</x:f>
        <x:v>0</x:v>
      </x:c>
      <x:c r="S471" s="10" t="n">
        <x:f>M471*P471</x:f>
        <x:v>0</x:v>
      </x:c>
      <x:c r="T471" s="10" t="n">
        <x:f>N471*P471</x:f>
        <x:v>0</x:v>
      </x:c>
      <x:c r="U471" s="10" t="n">
        <x:f>O471*P471</x:f>
        <x:v>0</x:v>
      </x:c>
      <x:c r="V471" s="10" t="str">
        <x:f>IF(ISNUMBER(Q471),O471*(Q471-P471),"n.a.")</x:f>
        <x:v>n.a.</x:v>
      </x:c>
      <x:c r="W471" s="10" t="n">
        <x:f>IF(ISNUMBER(Q471),U471,0)</x:f>
        <x:v>0</x:v>
      </x:c>
      <x:c r="X471" s="8" t="n">
        <x:f>MAX(0,K471-SUM(E471:J471))</x:f>
        <x:v>0</x:v>
      </x:c>
      <x:c r="Y471" s="1" t="str">
        <x:f>IF(AND(O471&gt;0,NOT(ISNUMBER(Q471))),"No proposed replacement standard",IF(X471&gt;0,"Demand exceeds available stock",""))</x:f>
      </x:c>
      <x:c r="Z471" s="1" t="n">
        <x:f>IF(ISNUMBER(Q471),1,0)</x:f>
        <x:v>0</x:v>
      </x:c>
    </x:row>
    <x:row r="472" ht="21" customHeight="1">
      <x:c r="A472" s="17" t="n">
        <x:f>Summary!B18</x:f>
        <x:v>46419</x:v>
      </x:c>
      <x:c r="B472" s="1" t="str">
        <x:f>'Current inventory'!A94</x:f>
        <x:v>30</x:v>
      </x:c>
      <x:c r="C472" s="1" t="str">
        <x:f>'Current inventory'!B94</x:f>
        <x:v>800BWHTISC</x:v>
      </x:c>
      <x:c r="D472" s="7" t="n">
        <x:f>A346</x:f>
        <x:v>46388</x:v>
      </x:c>
      <x:c r="E472" s="8" t="n">
        <x:f>L346</x:f>
        <x:v>0</x:v>
      </x:c>
      <x:c r="F472" s="8" t="n">
        <x:f>M346</x:f>
        <x:v>0</x:v>
      </x:c>
      <x:c r="G472" s="8" t="n">
        <x:f>N346</x:f>
        <x:v>0</x:v>
      </x:c>
      <x:c r="H472" s="8" t="n">
        <x:f>SUMIFS('PO detail'!$U$2:$U$672,'PO detail'!$A$2:$A$672,B472,'PO detail'!$B$2:$B$672,C472,'PO detail'!$G$2:$G$672,"&gt;="&amp;D472,'PO detail'!$G$2:$G$672,"&lt;"&amp;A472)</x:f>
        <x:v>0</x:v>
      </x:c>
      <x:c r="I472" s="8" t="n">
        <x:f>SUMIFS('PO detail'!$V$2:$V$672,'PO detail'!$A$2:$A$672,B472,'PO detail'!$B$2:$B$672,C472,'PO detail'!$G$2:$G$672,"&gt;="&amp;D472,'PO detail'!$G$2:$G$672,"&lt;"&amp;A472)</x:f>
        <x:v>0</x:v>
      </x:c>
      <x:c r="J472" s="8" t="n">
        <x:f>SUMIFS('PO detail'!$W$2:$W$672,'PO detail'!$A$2:$A$672,B472,'PO detail'!$B$2:$B$672,C472,'PO detail'!$G$2:$G$672,"&gt;="&amp;D472,'PO detail'!$G$2:$G$672,"&lt;"&amp;A472)</x:f>
        <x:v>0</x:v>
      </x:c>
      <x:c r="K472" s="8" t="n">
        <x:f>'Current inventory'!E94*Summary!$D$6*(A472-D472)/30.4375</x:f>
        <x:v>0</x:v>
      </x:c>
      <x:c r="L472" s="8" t="n">
        <x:f>MAX(0,E472+H472-K472)</x:f>
        <x:v>0</x:v>
      </x:c>
      <x:c r="M472" s="8" t="n">
        <x:f>MAX(0,F472+I472-MAX(0,K472-E472-H472))</x:f>
        <x:v>0</x:v>
      </x:c>
      <x:c r="N472" s="8" t="n">
        <x:f>MAX(0,G472+J472-K472)</x:f>
        <x:v>0</x:v>
      </x:c>
      <x:c r="O472" s="8" t="n">
        <x:f>SUM(L472:N472)</x:f>
        <x:v>0</x:v>
      </x:c>
      <x:c r="P472" s="14" t="n">
        <x:f>'Current inventory'!V94</x:f>
        <x:v>0.1797</x:v>
      </x:c>
      <x:c r="Q472" s="14" t="str">
        <x:f>'Current inventory'!W94</x:f>
        <x:v>n.a.</x:v>
      </x:c>
      <x:c r="R472" s="10" t="n">
        <x:f>L472*P472</x:f>
        <x:v>0</x:v>
      </x:c>
      <x:c r="S472" s="10" t="n">
        <x:f>M472*P472</x:f>
        <x:v>0</x:v>
      </x:c>
      <x:c r="T472" s="10" t="n">
        <x:f>N472*P472</x:f>
        <x:v>0</x:v>
      </x:c>
      <x:c r="U472" s="10" t="n">
        <x:f>O472*P472</x:f>
        <x:v>0</x:v>
      </x:c>
      <x:c r="V472" s="10" t="str">
        <x:f>IF(ISNUMBER(Q472),O472*(Q472-P472),"n.a.")</x:f>
        <x:v>n.a.</x:v>
      </x:c>
      <x:c r="W472" s="10" t="n">
        <x:f>IF(ISNUMBER(Q472),U472,0)</x:f>
        <x:v>0</x:v>
      </x:c>
      <x:c r="X472" s="8" t="n">
        <x:f>MAX(0,K472-SUM(E472:J472))</x:f>
        <x:v>0</x:v>
      </x:c>
      <x:c r="Y472" s="1" t="str">
        <x:f>IF(AND(O472&gt;0,NOT(ISNUMBER(Q472))),"No proposed replacement standard",IF(X472&gt;0,"Demand exceeds available stock",""))</x:f>
      </x:c>
      <x:c r="Z472" s="1" t="n">
        <x:f>IF(ISNUMBER(Q472),1,0)</x:f>
        <x:v>0</x:v>
      </x:c>
    </x:row>
    <x:row r="473" ht="21" customHeight="1">
      <x:c r="A473" s="17" t="n">
        <x:f>Summary!B18</x:f>
        <x:v>46419</x:v>
      </x:c>
      <x:c r="B473" s="1" t="str">
        <x:f>'Current inventory'!A95</x:f>
        <x:v>30</x:v>
      </x:c>
      <x:c r="C473" s="1" t="str">
        <x:f>'Current inventory'!B95</x:f>
        <x:v>800BREDASC</x:v>
      </x:c>
      <x:c r="D473" s="7" t="n">
        <x:f>A347</x:f>
        <x:v>46388</x:v>
      </x:c>
      <x:c r="E473" s="8" t="n">
        <x:f>L347</x:f>
        <x:v>0</x:v>
      </x:c>
      <x:c r="F473" s="8" t="n">
        <x:f>M347</x:f>
        <x:v>0</x:v>
      </x:c>
      <x:c r="G473" s="8" t="n">
        <x:f>N347</x:f>
        <x:v>0</x:v>
      </x:c>
      <x:c r="H473" s="8" t="n">
        <x:f>SUMIFS('PO detail'!$U$2:$U$672,'PO detail'!$A$2:$A$672,B473,'PO detail'!$B$2:$B$672,C473,'PO detail'!$G$2:$G$672,"&gt;="&amp;D473,'PO detail'!$G$2:$G$672,"&lt;"&amp;A473)</x:f>
        <x:v>0</x:v>
      </x:c>
      <x:c r="I473" s="8" t="n">
        <x:f>SUMIFS('PO detail'!$V$2:$V$672,'PO detail'!$A$2:$A$672,B473,'PO detail'!$B$2:$B$672,C473,'PO detail'!$G$2:$G$672,"&gt;="&amp;D473,'PO detail'!$G$2:$G$672,"&lt;"&amp;A473)</x:f>
        <x:v>0</x:v>
      </x:c>
      <x:c r="J473" s="8" t="n">
        <x:f>SUMIFS('PO detail'!$W$2:$W$672,'PO detail'!$A$2:$A$672,B473,'PO detail'!$B$2:$B$672,C473,'PO detail'!$G$2:$G$672,"&gt;="&amp;D473,'PO detail'!$G$2:$G$672,"&lt;"&amp;A473)</x:f>
        <x:v>0</x:v>
      </x:c>
      <x:c r="K473" s="8" t="n">
        <x:f>'Current inventory'!E95*Summary!$D$6*(A473-D473)/30.4375</x:f>
        <x:v>0</x:v>
      </x:c>
      <x:c r="L473" s="8" t="n">
        <x:f>MAX(0,E473+H473-K473)</x:f>
        <x:v>0</x:v>
      </x:c>
      <x:c r="M473" s="8" t="n">
        <x:f>MAX(0,F473+I473-MAX(0,K473-E473-H473))</x:f>
        <x:v>0</x:v>
      </x:c>
      <x:c r="N473" s="8" t="n">
        <x:f>MAX(0,G473+J473-K473)</x:f>
        <x:v>0</x:v>
      </x:c>
      <x:c r="O473" s="8" t="n">
        <x:f>SUM(L473:N473)</x:f>
        <x:v>0</x:v>
      </x:c>
      <x:c r="P473" s="14" t="n">
        <x:f>'Current inventory'!V95</x:f>
        <x:v>0.07919999999999999</x:v>
      </x:c>
      <x:c r="Q473" s="14" t="str">
        <x:f>'Current inventory'!W95</x:f>
        <x:v>n.a.</x:v>
      </x:c>
      <x:c r="R473" s="10" t="n">
        <x:f>L473*P473</x:f>
        <x:v>0</x:v>
      </x:c>
      <x:c r="S473" s="10" t="n">
        <x:f>M473*P473</x:f>
        <x:v>0</x:v>
      </x:c>
      <x:c r="T473" s="10" t="n">
        <x:f>N473*P473</x:f>
        <x:v>0</x:v>
      </x:c>
      <x:c r="U473" s="10" t="n">
        <x:f>O473*P473</x:f>
        <x:v>0</x:v>
      </x:c>
      <x:c r="V473" s="10" t="str">
        <x:f>IF(ISNUMBER(Q473),O473*(Q473-P473),"n.a.")</x:f>
        <x:v>n.a.</x:v>
      </x:c>
      <x:c r="W473" s="10" t="n">
        <x:f>IF(ISNUMBER(Q473),U473,0)</x:f>
        <x:v>0</x:v>
      </x:c>
      <x:c r="X473" s="8" t="n">
        <x:f>MAX(0,K473-SUM(E473:J473))</x:f>
        <x:v>0</x:v>
      </x:c>
      <x:c r="Y473" s="1" t="str">
        <x:f>IF(AND(O473&gt;0,NOT(ISNUMBER(Q473))),"No proposed replacement standard",IF(X473&gt;0,"Demand exceeds available stock",""))</x:f>
      </x:c>
      <x:c r="Z473" s="1" t="n">
        <x:f>IF(ISNUMBER(Q473),1,0)</x:f>
        <x:v>0</x:v>
      </x:c>
    </x:row>
    <x:row r="474" ht="21" customHeight="1">
      <x:c r="A474" s="17" t="n">
        <x:f>Summary!B18</x:f>
        <x:v>46419</x:v>
      </x:c>
      <x:c r="B474" s="1" t="str">
        <x:f>'Current inventory'!A96</x:f>
        <x:v>30</x:v>
      </x:c>
      <x:c r="C474" s="1" t="str">
        <x:f>'Current inventory'!B96</x:f>
        <x:v>800BREDBRC</x:v>
      </x:c>
      <x:c r="D474" s="7" t="n">
        <x:f>A348</x:f>
        <x:v>46388</x:v>
      </x:c>
      <x:c r="E474" s="8" t="n">
        <x:f>L348</x:f>
        <x:v>0</x:v>
      </x:c>
      <x:c r="F474" s="8" t="n">
        <x:f>M348</x:f>
        <x:v>0</x:v>
      </x:c>
      <x:c r="G474" s="8" t="n">
        <x:f>N348</x:f>
        <x:v>0</x:v>
      </x:c>
      <x:c r="H474" s="8" t="n">
        <x:f>SUMIFS('PO detail'!$U$2:$U$672,'PO detail'!$A$2:$A$672,B474,'PO detail'!$B$2:$B$672,C474,'PO detail'!$G$2:$G$672,"&gt;="&amp;D474,'PO detail'!$G$2:$G$672,"&lt;"&amp;A474)</x:f>
        <x:v>0</x:v>
      </x:c>
      <x:c r="I474" s="8" t="n">
        <x:f>SUMIFS('PO detail'!$V$2:$V$672,'PO detail'!$A$2:$A$672,B474,'PO detail'!$B$2:$B$672,C474,'PO detail'!$G$2:$G$672,"&gt;="&amp;D474,'PO detail'!$G$2:$G$672,"&lt;"&amp;A474)</x:f>
        <x:v>0</x:v>
      </x:c>
      <x:c r="J474" s="8" t="n">
        <x:f>SUMIFS('PO detail'!$W$2:$W$672,'PO detail'!$A$2:$A$672,B474,'PO detail'!$B$2:$B$672,C474,'PO detail'!$G$2:$G$672,"&gt;="&amp;D474,'PO detail'!$G$2:$G$672,"&lt;"&amp;A474)</x:f>
        <x:v>0</x:v>
      </x:c>
      <x:c r="K474" s="8" t="n">
        <x:f>'Current inventory'!E96*Summary!$D$6*(A474-D474)/30.4375</x:f>
        <x:v>0</x:v>
      </x:c>
      <x:c r="L474" s="8" t="n">
        <x:f>MAX(0,E474+H474-K474)</x:f>
        <x:v>0</x:v>
      </x:c>
      <x:c r="M474" s="8" t="n">
        <x:f>MAX(0,F474+I474-MAX(0,K474-E474-H474))</x:f>
        <x:v>0</x:v>
      </x:c>
      <x:c r="N474" s="8" t="n">
        <x:f>MAX(0,G474+J474-K474)</x:f>
        <x:v>0</x:v>
      </x:c>
      <x:c r="O474" s="8" t="n">
        <x:f>SUM(L474:N474)</x:f>
        <x:v>0</x:v>
      </x:c>
      <x:c r="P474" s="14" t="n">
        <x:f>'Current inventory'!V96</x:f>
        <x:v>0.0898</x:v>
      </x:c>
      <x:c r="Q474" s="14" t="str">
        <x:f>'Current inventory'!W96</x:f>
        <x:v>n.a.</x:v>
      </x:c>
      <x:c r="R474" s="10" t="n">
        <x:f>L474*P474</x:f>
        <x:v>0</x:v>
      </x:c>
      <x:c r="S474" s="10" t="n">
        <x:f>M474*P474</x:f>
        <x:v>0</x:v>
      </x:c>
      <x:c r="T474" s="10" t="n">
        <x:f>N474*P474</x:f>
        <x:v>0</x:v>
      </x:c>
      <x:c r="U474" s="10" t="n">
        <x:f>O474*P474</x:f>
        <x:v>0</x:v>
      </x:c>
      <x:c r="V474" s="10" t="str">
        <x:f>IF(ISNUMBER(Q474),O474*(Q474-P474),"n.a.")</x:f>
        <x:v>n.a.</x:v>
      </x:c>
      <x:c r="W474" s="10" t="n">
        <x:f>IF(ISNUMBER(Q474),U474,0)</x:f>
        <x:v>0</x:v>
      </x:c>
      <x:c r="X474" s="8" t="n">
        <x:f>MAX(0,K474-SUM(E474:J474))</x:f>
        <x:v>0</x:v>
      </x:c>
      <x:c r="Y474" s="1" t="str">
        <x:f>IF(AND(O474&gt;0,NOT(ISNUMBER(Q474))),"No proposed replacement standard",IF(X474&gt;0,"Demand exceeds available stock",""))</x:f>
      </x:c>
      <x:c r="Z474" s="1" t="n">
        <x:f>IF(ISNUMBER(Q474),1,0)</x:f>
        <x:v>0</x:v>
      </x:c>
    </x:row>
    <x:row r="475" ht="21" customHeight="1">
      <x:c r="A475" s="17" t="n">
        <x:f>Summary!B18</x:f>
        <x:v>46419</x:v>
      </x:c>
      <x:c r="B475" s="1" t="str">
        <x:f>'Current inventory'!A97</x:f>
        <x:v>30</x:v>
      </x:c>
      <x:c r="C475" s="1" t="str">
        <x:f>'Current inventory'!B97</x:f>
        <x:v>800WBLKASC</x:v>
      </x:c>
      <x:c r="D475" s="7" t="n">
        <x:f>A349</x:f>
        <x:v>46388</x:v>
      </x:c>
      <x:c r="E475" s="8" t="n">
        <x:f>L349</x:f>
        <x:v>0</x:v>
      </x:c>
      <x:c r="F475" s="8" t="n">
        <x:f>M349</x:f>
        <x:v>0</x:v>
      </x:c>
      <x:c r="G475" s="8" t="n">
        <x:f>N349</x:f>
        <x:v>0</x:v>
      </x:c>
      <x:c r="H475" s="8" t="n">
        <x:f>SUMIFS('PO detail'!$U$2:$U$672,'PO detail'!$A$2:$A$672,B475,'PO detail'!$B$2:$B$672,C475,'PO detail'!$G$2:$G$672,"&gt;="&amp;D475,'PO detail'!$G$2:$G$672,"&lt;"&amp;A475)</x:f>
        <x:v>0</x:v>
      </x:c>
      <x:c r="I475" s="8" t="n">
        <x:f>SUMIFS('PO detail'!$V$2:$V$672,'PO detail'!$A$2:$A$672,B475,'PO detail'!$B$2:$B$672,C475,'PO detail'!$G$2:$G$672,"&gt;="&amp;D475,'PO detail'!$G$2:$G$672,"&lt;"&amp;A475)</x:f>
        <x:v>0</x:v>
      </x:c>
      <x:c r="J475" s="8" t="n">
        <x:f>SUMIFS('PO detail'!$W$2:$W$672,'PO detail'!$A$2:$A$672,B475,'PO detail'!$B$2:$B$672,C475,'PO detail'!$G$2:$G$672,"&gt;="&amp;D475,'PO detail'!$G$2:$G$672,"&lt;"&amp;A475)</x:f>
        <x:v>0</x:v>
      </x:c>
      <x:c r="K475" s="8" t="n">
        <x:f>'Current inventory'!E97*Summary!$D$6*(A475-D475)/30.4375</x:f>
        <x:v>0</x:v>
      </x:c>
      <x:c r="L475" s="8" t="n">
        <x:f>MAX(0,E475+H475-K475)</x:f>
        <x:v>0</x:v>
      </x:c>
      <x:c r="M475" s="8" t="n">
        <x:f>MAX(0,F475+I475-MAX(0,K475-E475-H475))</x:f>
        <x:v>0</x:v>
      </x:c>
      <x:c r="N475" s="8" t="n">
        <x:f>MAX(0,G475+J475-K475)</x:f>
        <x:v>0</x:v>
      </x:c>
      <x:c r="O475" s="8" t="n">
        <x:f>SUM(L475:N475)</x:f>
        <x:v>0</x:v>
      </x:c>
      <x:c r="P475" s="14" t="n">
        <x:f>'Current inventory'!V97</x:f>
        <x:v>0.111</x:v>
      </x:c>
      <x:c r="Q475" s="14" t="str">
        <x:f>'Current inventory'!W97</x:f>
        <x:v>n.a.</x:v>
      </x:c>
      <x:c r="R475" s="10" t="n">
        <x:f>L475*P475</x:f>
        <x:v>0</x:v>
      </x:c>
      <x:c r="S475" s="10" t="n">
        <x:f>M475*P475</x:f>
        <x:v>0</x:v>
      </x:c>
      <x:c r="T475" s="10" t="n">
        <x:f>N475*P475</x:f>
        <x:v>0</x:v>
      </x:c>
      <x:c r="U475" s="10" t="n">
        <x:f>O475*P475</x:f>
        <x:v>0</x:v>
      </x:c>
      <x:c r="V475" s="10" t="str">
        <x:f>IF(ISNUMBER(Q475),O475*(Q475-P475),"n.a.")</x:f>
        <x:v>n.a.</x:v>
      </x:c>
      <x:c r="W475" s="10" t="n">
        <x:f>IF(ISNUMBER(Q475),U475,0)</x:f>
        <x:v>0</x:v>
      </x:c>
      <x:c r="X475" s="8" t="n">
        <x:f>MAX(0,K475-SUM(E475:J475))</x:f>
        <x:v>0</x:v>
      </x:c>
      <x:c r="Y475" s="1" t="str">
        <x:f>IF(AND(O475&gt;0,NOT(ISNUMBER(Q475))),"No proposed replacement standard",IF(X475&gt;0,"Demand exceeds available stock",""))</x:f>
      </x:c>
      <x:c r="Z475" s="1" t="n">
        <x:f>IF(ISNUMBER(Q475),1,0)</x:f>
        <x:v>0</x:v>
      </x:c>
    </x:row>
    <x:row r="476" ht="21" customHeight="1">
      <x:c r="A476" s="17" t="n">
        <x:f>Summary!B18</x:f>
        <x:v>46419</x:v>
      </x:c>
      <x:c r="B476" s="1" t="str">
        <x:f>'Current inventory'!A98</x:f>
        <x:v>30</x:v>
      </x:c>
      <x:c r="C476" s="1" t="str">
        <x:f>'Current inventory'!B98</x:f>
        <x:v>800WNAVASC</x:v>
      </x:c>
      <x:c r="D476" s="7" t="n">
        <x:f>A350</x:f>
        <x:v>46388</x:v>
      </x:c>
      <x:c r="E476" s="8" t="n">
        <x:f>L350</x:f>
        <x:v>0</x:v>
      </x:c>
      <x:c r="F476" s="8" t="n">
        <x:f>M350</x:f>
        <x:v>0</x:v>
      </x:c>
      <x:c r="G476" s="8" t="n">
        <x:f>N350</x:f>
        <x:v>0</x:v>
      </x:c>
      <x:c r="H476" s="8" t="n">
        <x:f>SUMIFS('PO detail'!$U$2:$U$672,'PO detail'!$A$2:$A$672,B476,'PO detail'!$B$2:$B$672,C476,'PO detail'!$G$2:$G$672,"&gt;="&amp;D476,'PO detail'!$G$2:$G$672,"&lt;"&amp;A476)</x:f>
        <x:v>0</x:v>
      </x:c>
      <x:c r="I476" s="8" t="n">
        <x:f>SUMIFS('PO detail'!$V$2:$V$672,'PO detail'!$A$2:$A$672,B476,'PO detail'!$B$2:$B$672,C476,'PO detail'!$G$2:$G$672,"&gt;="&amp;D476,'PO detail'!$G$2:$G$672,"&lt;"&amp;A476)</x:f>
        <x:v>0</x:v>
      </x:c>
      <x:c r="J476" s="8" t="n">
        <x:f>SUMIFS('PO detail'!$W$2:$W$672,'PO detail'!$A$2:$A$672,B476,'PO detail'!$B$2:$B$672,C476,'PO detail'!$G$2:$G$672,"&gt;="&amp;D476,'PO detail'!$G$2:$G$672,"&lt;"&amp;A476)</x:f>
        <x:v>0</x:v>
      </x:c>
      <x:c r="K476" s="8" t="n">
        <x:f>'Current inventory'!E98*Summary!$D$6*(A476-D476)/30.4375</x:f>
        <x:v>0</x:v>
      </x:c>
      <x:c r="L476" s="8" t="n">
        <x:f>MAX(0,E476+H476-K476)</x:f>
        <x:v>0</x:v>
      </x:c>
      <x:c r="M476" s="8" t="n">
        <x:f>MAX(0,F476+I476-MAX(0,K476-E476-H476))</x:f>
        <x:v>0</x:v>
      </x:c>
      <x:c r="N476" s="8" t="n">
        <x:f>MAX(0,G476+J476-K476)</x:f>
        <x:v>0</x:v>
      </x:c>
      <x:c r="O476" s="8" t="n">
        <x:f>SUM(L476:N476)</x:f>
        <x:v>0</x:v>
      </x:c>
      <x:c r="P476" s="14" t="n">
        <x:f>'Current inventory'!V98</x:f>
        <x:v>0.13570000000000002</x:v>
      </x:c>
      <x:c r="Q476" s="14" t="str">
        <x:f>'Current inventory'!W98</x:f>
        <x:v>n.a.</x:v>
      </x:c>
      <x:c r="R476" s="10" t="n">
        <x:f>L476*P476</x:f>
        <x:v>0</x:v>
      </x:c>
      <x:c r="S476" s="10" t="n">
        <x:f>M476*P476</x:f>
        <x:v>0</x:v>
      </x:c>
      <x:c r="T476" s="10" t="n">
        <x:f>N476*P476</x:f>
        <x:v>0</x:v>
      </x:c>
      <x:c r="U476" s="10" t="n">
        <x:f>O476*P476</x:f>
        <x:v>0</x:v>
      </x:c>
      <x:c r="V476" s="10" t="str">
        <x:f>IF(ISNUMBER(Q476),O476*(Q476-P476),"n.a.")</x:f>
        <x:v>n.a.</x:v>
      </x:c>
      <x:c r="W476" s="10" t="n">
        <x:f>IF(ISNUMBER(Q476),U476,0)</x:f>
        <x:v>0</x:v>
      </x:c>
      <x:c r="X476" s="8" t="n">
        <x:f>MAX(0,K476-SUM(E476:J476))</x:f>
        <x:v>0</x:v>
      </x:c>
      <x:c r="Y476" s="1" t="str">
        <x:f>IF(AND(O476&gt;0,NOT(ISNUMBER(Q476))),"No proposed replacement standard",IF(X476&gt;0,"Demand exceeds available stock",""))</x:f>
      </x:c>
      <x:c r="Z476" s="1" t="n">
        <x:f>IF(ISNUMBER(Q476),1,0)</x:f>
        <x:v>0</x:v>
      </x:c>
    </x:row>
    <x:row r="477" ht="21" customHeight="1">
      <x:c r="A477" s="17" t="n">
        <x:f>Summary!B18</x:f>
        <x:v>46419</x:v>
      </x:c>
      <x:c r="B477" s="1" t="str">
        <x:f>'Current inventory'!A99</x:f>
        <x:v>30</x:v>
      </x:c>
      <x:c r="C477" s="1" t="str">
        <x:f>'Current inventory'!B99</x:f>
        <x:v>800WNAVBRC</x:v>
      </x:c>
      <x:c r="D477" s="7" t="n">
        <x:f>A351</x:f>
        <x:v>46388</x:v>
      </x:c>
      <x:c r="E477" s="8" t="n">
        <x:f>L351</x:f>
        <x:v>0</x:v>
      </x:c>
      <x:c r="F477" s="8" t="n">
        <x:f>M351</x:f>
        <x:v>0</x:v>
      </x:c>
      <x:c r="G477" s="8" t="n">
        <x:f>N351</x:f>
        <x:v>0</x:v>
      </x:c>
      <x:c r="H477" s="8" t="n">
        <x:f>SUMIFS('PO detail'!$U$2:$U$672,'PO detail'!$A$2:$A$672,B477,'PO detail'!$B$2:$B$672,C477,'PO detail'!$G$2:$G$672,"&gt;="&amp;D477,'PO detail'!$G$2:$G$672,"&lt;"&amp;A477)</x:f>
        <x:v>0</x:v>
      </x:c>
      <x:c r="I477" s="8" t="n">
        <x:f>SUMIFS('PO detail'!$V$2:$V$672,'PO detail'!$A$2:$A$672,B477,'PO detail'!$B$2:$B$672,C477,'PO detail'!$G$2:$G$672,"&gt;="&amp;D477,'PO detail'!$G$2:$G$672,"&lt;"&amp;A477)</x:f>
        <x:v>0</x:v>
      </x:c>
      <x:c r="J477" s="8" t="n">
        <x:f>SUMIFS('PO detail'!$W$2:$W$672,'PO detail'!$A$2:$A$672,B477,'PO detail'!$B$2:$B$672,C477,'PO detail'!$G$2:$G$672,"&gt;="&amp;D477,'PO detail'!$G$2:$G$672,"&lt;"&amp;A477)</x:f>
        <x:v>0</x:v>
      </x:c>
      <x:c r="K477" s="8" t="n">
        <x:f>'Current inventory'!E99*Summary!$D$6*(A477-D477)/30.4375</x:f>
        <x:v>0</x:v>
      </x:c>
      <x:c r="L477" s="8" t="n">
        <x:f>MAX(0,E477+H477-K477)</x:f>
        <x:v>0</x:v>
      </x:c>
      <x:c r="M477" s="8" t="n">
        <x:f>MAX(0,F477+I477-MAX(0,K477-E477-H477))</x:f>
        <x:v>0</x:v>
      </x:c>
      <x:c r="N477" s="8" t="n">
        <x:f>MAX(0,G477+J477-K477)</x:f>
        <x:v>0</x:v>
      </x:c>
      <x:c r="O477" s="8" t="n">
        <x:f>SUM(L477:N477)</x:f>
        <x:v>0</x:v>
      </x:c>
      <x:c r="P477" s="14" t="n">
        <x:f>'Current inventory'!V99</x:f>
        <x:v>0.17350000000000002</x:v>
      </x:c>
      <x:c r="Q477" s="14" t="str">
        <x:f>'Current inventory'!W99</x:f>
        <x:v>n.a.</x:v>
      </x:c>
      <x:c r="R477" s="10" t="n">
        <x:f>L477*P477</x:f>
        <x:v>0</x:v>
      </x:c>
      <x:c r="S477" s="10" t="n">
        <x:f>M477*P477</x:f>
        <x:v>0</x:v>
      </x:c>
      <x:c r="T477" s="10" t="n">
        <x:f>N477*P477</x:f>
        <x:v>0</x:v>
      </x:c>
      <x:c r="U477" s="10" t="n">
        <x:f>O477*P477</x:f>
        <x:v>0</x:v>
      </x:c>
      <x:c r="V477" s="10" t="str">
        <x:f>IF(ISNUMBER(Q477),O477*(Q477-P477),"n.a.")</x:f>
        <x:v>n.a.</x:v>
      </x:c>
      <x:c r="W477" s="10" t="n">
        <x:f>IF(ISNUMBER(Q477),U477,0)</x:f>
        <x:v>0</x:v>
      </x:c>
      <x:c r="X477" s="8" t="n">
        <x:f>MAX(0,K477-SUM(E477:J477))</x:f>
        <x:v>0</x:v>
      </x:c>
      <x:c r="Y477" s="1" t="str">
        <x:f>IF(AND(O477&gt;0,NOT(ISNUMBER(Q477))),"No proposed replacement standard",IF(X477&gt;0,"Demand exceeds available stock",""))</x:f>
      </x:c>
      <x:c r="Z477" s="1" t="n">
        <x:f>IF(ISNUMBER(Q477),1,0)</x:f>
        <x:v>0</x:v>
      </x:c>
    </x:row>
    <x:row r="478" ht="21" customHeight="1">
      <x:c r="A478" s="17" t="n">
        <x:f>Summary!B18</x:f>
        <x:v>46419</x:v>
      </x:c>
      <x:c r="B478" s="1" t="str">
        <x:f>'Current inventory'!A100</x:f>
        <x:v>60</x:v>
      </x:c>
      <x:c r="C478" s="1" t="str">
        <x:f>'Current inventory'!B100</x:f>
        <x:v>800BFGASC</x:v>
      </x:c>
      <x:c r="D478" s="7" t="n">
        <x:f>A352</x:f>
        <x:v>46388</x:v>
      </x:c>
      <x:c r="E478" s="8" t="n">
        <x:f>L352</x:f>
        <x:v>0</x:v>
      </x:c>
      <x:c r="F478" s="8" t="n">
        <x:f>M352</x:f>
        <x:v>0</x:v>
      </x:c>
      <x:c r="G478" s="8" t="n">
        <x:f>N352</x:f>
        <x:v>0</x:v>
      </x:c>
      <x:c r="H478" s="8" t="n">
        <x:f>SUMIFS('PO detail'!$U$2:$U$672,'PO detail'!$A$2:$A$672,B478,'PO detail'!$B$2:$B$672,C478,'PO detail'!$G$2:$G$672,"&gt;="&amp;D478,'PO detail'!$G$2:$G$672,"&lt;"&amp;A478)</x:f>
        <x:v>0</x:v>
      </x:c>
      <x:c r="I478" s="8" t="n">
        <x:f>SUMIFS('PO detail'!$V$2:$V$672,'PO detail'!$A$2:$A$672,B478,'PO detail'!$B$2:$B$672,C478,'PO detail'!$G$2:$G$672,"&gt;="&amp;D478,'PO detail'!$G$2:$G$672,"&lt;"&amp;A478)</x:f>
        <x:v>0</x:v>
      </x:c>
      <x:c r="J478" s="8" t="n">
        <x:f>SUMIFS('PO detail'!$W$2:$W$672,'PO detail'!$A$2:$A$672,B478,'PO detail'!$B$2:$B$672,C478,'PO detail'!$G$2:$G$672,"&gt;="&amp;D478,'PO detail'!$G$2:$G$672,"&lt;"&amp;A478)</x:f>
        <x:v>0</x:v>
      </x:c>
      <x:c r="K478" s="8" t="n">
        <x:f>'Current inventory'!E100*Summary!$D$6*(A478-D478)/30.4375</x:f>
        <x:v>0</x:v>
      </x:c>
      <x:c r="L478" s="8" t="n">
        <x:f>MAX(0,E478+H478-K478)</x:f>
        <x:v>0</x:v>
      </x:c>
      <x:c r="M478" s="8" t="n">
        <x:f>MAX(0,F478+I478-MAX(0,K478-E478-H478))</x:f>
        <x:v>0</x:v>
      </x:c>
      <x:c r="N478" s="8" t="n">
        <x:f>MAX(0,G478+J478-K478)</x:f>
        <x:v>0</x:v>
      </x:c>
      <x:c r="O478" s="8" t="n">
        <x:f>SUM(L478:N478)</x:f>
        <x:v>0</x:v>
      </x:c>
      <x:c r="P478" s="14" t="n">
        <x:f>'Current inventory'!V100</x:f>
        <x:v>0.1456</x:v>
      </x:c>
      <x:c r="Q478" s="14" t="str">
        <x:f>'Current inventory'!W100</x:f>
        <x:v>n.a.</x:v>
      </x:c>
      <x:c r="R478" s="10" t="n">
        <x:f>L478*P478</x:f>
        <x:v>0</x:v>
      </x:c>
      <x:c r="S478" s="10" t="n">
        <x:f>M478*P478</x:f>
        <x:v>0</x:v>
      </x:c>
      <x:c r="T478" s="10" t="n">
        <x:f>N478*P478</x:f>
        <x:v>0</x:v>
      </x:c>
      <x:c r="U478" s="10" t="n">
        <x:f>O478*P478</x:f>
        <x:v>0</x:v>
      </x:c>
      <x:c r="V478" s="10" t="str">
        <x:f>IF(ISNUMBER(Q478),O478*(Q478-P478),"n.a.")</x:f>
        <x:v>n.a.</x:v>
      </x:c>
      <x:c r="W478" s="10" t="n">
        <x:f>IF(ISNUMBER(Q478),U478,0)</x:f>
        <x:v>0</x:v>
      </x:c>
      <x:c r="X478" s="8" t="n">
        <x:f>MAX(0,K478-SUM(E478:J478))</x:f>
        <x:v>0</x:v>
      </x:c>
      <x:c r="Y478" s="1" t="str">
        <x:f>IF(AND(O478&gt;0,NOT(ISNUMBER(Q478))),"No proposed replacement standard",IF(X478&gt;0,"Demand exceeds available stock",""))</x:f>
      </x:c>
      <x:c r="Z478" s="1" t="n">
        <x:f>IF(ISNUMBER(Q478),1,0)</x:f>
        <x:v>0</x:v>
      </x:c>
    </x:row>
    <x:row r="479" ht="21" customHeight="1">
      <x:c r="A479" s="17" t="n">
        <x:f>Summary!B18</x:f>
        <x:v>46419</x:v>
      </x:c>
      <x:c r="B479" s="1" t="str">
        <x:f>'Current inventory'!A101</x:f>
        <x:v>60</x:v>
      </x:c>
      <x:c r="C479" s="1" t="str">
        <x:f>'Current inventory'!B101</x:f>
        <x:v>800BFGBRC</x:v>
      </x:c>
      <x:c r="D479" s="7" t="n">
        <x:f>A353</x:f>
        <x:v>46388</x:v>
      </x:c>
      <x:c r="E479" s="8" t="n">
        <x:f>L353</x:f>
        <x:v>0</x:v>
      </x:c>
      <x:c r="F479" s="8" t="n">
        <x:f>M353</x:f>
        <x:v>0</x:v>
      </x:c>
      <x:c r="G479" s="8" t="n">
        <x:f>N353</x:f>
        <x:v>0</x:v>
      </x:c>
      <x:c r="H479" s="8" t="n">
        <x:f>SUMIFS('PO detail'!$U$2:$U$672,'PO detail'!$A$2:$A$672,B479,'PO detail'!$B$2:$B$672,C479,'PO detail'!$G$2:$G$672,"&gt;="&amp;D479,'PO detail'!$G$2:$G$672,"&lt;"&amp;A479)</x:f>
        <x:v>0</x:v>
      </x:c>
      <x:c r="I479" s="8" t="n">
        <x:f>SUMIFS('PO detail'!$V$2:$V$672,'PO detail'!$A$2:$A$672,B479,'PO detail'!$B$2:$B$672,C479,'PO detail'!$G$2:$G$672,"&gt;="&amp;D479,'PO detail'!$G$2:$G$672,"&lt;"&amp;A479)</x:f>
        <x:v>0</x:v>
      </x:c>
      <x:c r="J479" s="8" t="n">
        <x:f>SUMIFS('PO detail'!$W$2:$W$672,'PO detail'!$A$2:$A$672,B479,'PO detail'!$B$2:$B$672,C479,'PO detail'!$G$2:$G$672,"&gt;="&amp;D479,'PO detail'!$G$2:$G$672,"&lt;"&amp;A479)</x:f>
        <x:v>0</x:v>
      </x:c>
      <x:c r="K479" s="8" t="n">
        <x:f>'Current inventory'!E101*Summary!$D$6*(A479-D479)/30.4375</x:f>
        <x:v>0</x:v>
      </x:c>
      <x:c r="L479" s="8" t="n">
        <x:f>MAX(0,E479+H479-K479)</x:f>
        <x:v>0</x:v>
      </x:c>
      <x:c r="M479" s="8" t="n">
        <x:f>MAX(0,F479+I479-MAX(0,K479-E479-H479))</x:f>
        <x:v>0</x:v>
      </x:c>
      <x:c r="N479" s="8" t="n">
        <x:f>MAX(0,G479+J479-K479)</x:f>
        <x:v>0</x:v>
      </x:c>
      <x:c r="O479" s="8" t="n">
        <x:f>SUM(L479:N479)</x:f>
        <x:v>0</x:v>
      </x:c>
      <x:c r="P479" s="14" t="n">
        <x:f>'Current inventory'!V101</x:f>
        <x:v>0.18469999999999998</x:v>
      </x:c>
      <x:c r="Q479" s="14" t="str">
        <x:f>'Current inventory'!W101</x:f>
        <x:v>n.a.</x:v>
      </x:c>
      <x:c r="R479" s="10" t="n">
        <x:f>L479*P479</x:f>
        <x:v>0</x:v>
      </x:c>
      <x:c r="S479" s="10" t="n">
        <x:f>M479*P479</x:f>
        <x:v>0</x:v>
      </x:c>
      <x:c r="T479" s="10" t="n">
        <x:f>N479*P479</x:f>
        <x:v>0</x:v>
      </x:c>
      <x:c r="U479" s="10" t="n">
        <x:f>O479*P479</x:f>
        <x:v>0</x:v>
      </x:c>
      <x:c r="V479" s="10" t="str">
        <x:f>IF(ISNUMBER(Q479),O479*(Q479-P479),"n.a.")</x:f>
        <x:v>n.a.</x:v>
      </x:c>
      <x:c r="W479" s="10" t="n">
        <x:f>IF(ISNUMBER(Q479),U479,0)</x:f>
        <x:v>0</x:v>
      </x:c>
      <x:c r="X479" s="8" t="n">
        <x:f>MAX(0,K479-SUM(E479:J479))</x:f>
        <x:v>0</x:v>
      </x:c>
      <x:c r="Y479" s="1" t="str">
        <x:f>IF(AND(O479&gt;0,NOT(ISNUMBER(Q479))),"No proposed replacement standard",IF(X479&gt;0,"Demand exceeds available stock",""))</x:f>
      </x:c>
      <x:c r="Z479" s="1" t="n">
        <x:f>IF(ISNUMBER(Q479),1,0)</x:f>
        <x:v>0</x:v>
      </x:c>
    </x:row>
    <x:row r="480" ht="21" customHeight="1">
      <x:c r="A480" s="17" t="n">
        <x:f>Summary!B18</x:f>
        <x:v>46419</x:v>
      </x:c>
      <x:c r="B480" s="1" t="str">
        <x:f>'Current inventory'!A102</x:f>
        <x:v>60</x:v>
      </x:c>
      <x:c r="C480" s="1" t="str">
        <x:f>'Current inventory'!B102</x:f>
        <x:v>800BFGCSC</x:v>
      </x:c>
      <x:c r="D480" s="7" t="n">
        <x:f>A354</x:f>
        <x:v>46388</x:v>
      </x:c>
      <x:c r="E480" s="8" t="n">
        <x:f>L354</x:f>
        <x:v>0</x:v>
      </x:c>
      <x:c r="F480" s="8" t="n">
        <x:f>M354</x:f>
        <x:v>0</x:v>
      </x:c>
      <x:c r="G480" s="8" t="n">
        <x:f>N354</x:f>
        <x:v>0</x:v>
      </x:c>
      <x:c r="H480" s="8" t="n">
        <x:f>SUMIFS('PO detail'!$U$2:$U$672,'PO detail'!$A$2:$A$672,B480,'PO detail'!$B$2:$B$672,C480,'PO detail'!$G$2:$G$672,"&gt;="&amp;D480,'PO detail'!$G$2:$G$672,"&lt;"&amp;A480)</x:f>
        <x:v>0</x:v>
      </x:c>
      <x:c r="I480" s="8" t="n">
        <x:f>SUMIFS('PO detail'!$V$2:$V$672,'PO detail'!$A$2:$A$672,B480,'PO detail'!$B$2:$B$672,C480,'PO detail'!$G$2:$G$672,"&gt;="&amp;D480,'PO detail'!$G$2:$G$672,"&lt;"&amp;A480)</x:f>
        <x:v>0</x:v>
      </x:c>
      <x:c r="J480" s="8" t="n">
        <x:f>SUMIFS('PO detail'!$W$2:$W$672,'PO detail'!$A$2:$A$672,B480,'PO detail'!$B$2:$B$672,C480,'PO detail'!$G$2:$G$672,"&gt;="&amp;D480,'PO detail'!$G$2:$G$672,"&lt;"&amp;A480)</x:f>
        <x:v>0</x:v>
      </x:c>
      <x:c r="K480" s="8" t="n">
        <x:f>'Current inventory'!E102*Summary!$D$6*(A480-D480)/30.4375</x:f>
        <x:v>0</x:v>
      </x:c>
      <x:c r="L480" s="8" t="n">
        <x:f>MAX(0,E480+H480-K480)</x:f>
        <x:v>0</x:v>
      </x:c>
      <x:c r="M480" s="8" t="n">
        <x:f>MAX(0,F480+I480-MAX(0,K480-E480-H480))</x:f>
        <x:v>0</x:v>
      </x:c>
      <x:c r="N480" s="8" t="n">
        <x:f>MAX(0,G480+J480-K480)</x:f>
        <x:v>0</x:v>
      </x:c>
      <x:c r="O480" s="8" t="n">
        <x:f>SUM(L480:N480)</x:f>
        <x:v>0</x:v>
      </x:c>
      <x:c r="P480" s="14" t="n">
        <x:f>'Current inventory'!V102</x:f>
        <x:v>0.21559999999999999</x:v>
      </x:c>
      <x:c r="Q480" s="14" t="str">
        <x:f>'Current inventory'!W102</x:f>
        <x:v>n.a.</x:v>
      </x:c>
      <x:c r="R480" s="10" t="n">
        <x:f>L480*P480</x:f>
        <x:v>0</x:v>
      </x:c>
      <x:c r="S480" s="10" t="n">
        <x:f>M480*P480</x:f>
        <x:v>0</x:v>
      </x:c>
      <x:c r="T480" s="10" t="n">
        <x:f>N480*P480</x:f>
        <x:v>0</x:v>
      </x:c>
      <x:c r="U480" s="10" t="n">
        <x:f>O480*P480</x:f>
        <x:v>0</x:v>
      </x:c>
      <x:c r="V480" s="10" t="str">
        <x:f>IF(ISNUMBER(Q480),O480*(Q480-P480),"n.a.")</x:f>
        <x:v>n.a.</x:v>
      </x:c>
      <x:c r="W480" s="10" t="n">
        <x:f>IF(ISNUMBER(Q480),U480,0)</x:f>
        <x:v>0</x:v>
      </x:c>
      <x:c r="X480" s="8" t="n">
        <x:f>MAX(0,K480-SUM(E480:J480))</x:f>
        <x:v>0</x:v>
      </x:c>
      <x:c r="Y480" s="1" t="str">
        <x:f>IF(AND(O480&gt;0,NOT(ISNUMBER(Q480))),"No proposed replacement standard",IF(X480&gt;0,"Demand exceeds available stock",""))</x:f>
      </x:c>
      <x:c r="Z480" s="1" t="n">
        <x:f>IF(ISNUMBER(Q480),1,0)</x:f>
        <x:v>0</x:v>
      </x:c>
    </x:row>
    <x:row r="481" ht="21" customHeight="1">
      <x:c r="A481" s="17" t="n">
        <x:f>Summary!B18</x:f>
        <x:v>46419</x:v>
      </x:c>
      <x:c r="B481" s="1" t="str">
        <x:f>'Current inventory'!A103</x:f>
        <x:v>60</x:v>
      </x:c>
      <x:c r="C481" s="1" t="str">
        <x:f>'Current inventory'!B103</x:f>
        <x:v>800BFGDSC</x:v>
      </x:c>
      <x:c r="D481" s="7" t="n">
        <x:f>A355</x:f>
        <x:v>46388</x:v>
      </x:c>
      <x:c r="E481" s="8" t="n">
        <x:f>L355</x:f>
        <x:v>0</x:v>
      </x:c>
      <x:c r="F481" s="8" t="n">
        <x:f>M355</x:f>
        <x:v>0</x:v>
      </x:c>
      <x:c r="G481" s="8" t="n">
        <x:f>N355</x:f>
        <x:v>0</x:v>
      </x:c>
      <x:c r="H481" s="8" t="n">
        <x:f>SUMIFS('PO detail'!$U$2:$U$672,'PO detail'!$A$2:$A$672,B481,'PO detail'!$B$2:$B$672,C481,'PO detail'!$G$2:$G$672,"&gt;="&amp;D481,'PO detail'!$G$2:$G$672,"&lt;"&amp;A481)</x:f>
        <x:v>0</x:v>
      </x:c>
      <x:c r="I481" s="8" t="n">
        <x:f>SUMIFS('PO detail'!$V$2:$V$672,'PO detail'!$A$2:$A$672,B481,'PO detail'!$B$2:$B$672,C481,'PO detail'!$G$2:$G$672,"&gt;="&amp;D481,'PO detail'!$G$2:$G$672,"&lt;"&amp;A481)</x:f>
        <x:v>0</x:v>
      </x:c>
      <x:c r="J481" s="8" t="n">
        <x:f>SUMIFS('PO detail'!$W$2:$W$672,'PO detail'!$A$2:$A$672,B481,'PO detail'!$B$2:$B$672,C481,'PO detail'!$G$2:$G$672,"&gt;="&amp;D481,'PO detail'!$G$2:$G$672,"&lt;"&amp;A481)</x:f>
        <x:v>0</x:v>
      </x:c>
      <x:c r="K481" s="8" t="n">
        <x:f>'Current inventory'!E103*Summary!$D$6*(A481-D481)/30.4375</x:f>
        <x:v>0</x:v>
      </x:c>
      <x:c r="L481" s="8" t="n">
        <x:f>MAX(0,E481+H481-K481)</x:f>
        <x:v>0</x:v>
      </x:c>
      <x:c r="M481" s="8" t="n">
        <x:f>MAX(0,F481+I481-MAX(0,K481-E481-H481))</x:f>
        <x:v>0</x:v>
      </x:c>
      <x:c r="N481" s="8" t="n">
        <x:f>MAX(0,G481+J481-K481)</x:f>
        <x:v>0</x:v>
      </x:c>
      <x:c r="O481" s="8" t="n">
        <x:f>SUM(L481:N481)</x:f>
        <x:v>0</x:v>
      </x:c>
      <x:c r="P481" s="14" t="n">
        <x:f>'Current inventory'!V103</x:f>
        <x:v>0.38</x:v>
      </x:c>
      <x:c r="Q481" s="14" t="str">
        <x:f>'Current inventory'!W103</x:f>
        <x:v>n.a.</x:v>
      </x:c>
      <x:c r="R481" s="10" t="n">
        <x:f>L481*P481</x:f>
        <x:v>0</x:v>
      </x:c>
      <x:c r="S481" s="10" t="n">
        <x:f>M481*P481</x:f>
        <x:v>0</x:v>
      </x:c>
      <x:c r="T481" s="10" t="n">
        <x:f>N481*P481</x:f>
        <x:v>0</x:v>
      </x:c>
      <x:c r="U481" s="10" t="n">
        <x:f>O481*P481</x:f>
        <x:v>0</x:v>
      </x:c>
      <x:c r="V481" s="10" t="str">
        <x:f>IF(ISNUMBER(Q481),O481*(Q481-P481),"n.a.")</x:f>
        <x:v>n.a.</x:v>
      </x:c>
      <x:c r="W481" s="10" t="n">
        <x:f>IF(ISNUMBER(Q481),U481,0)</x:f>
        <x:v>0</x:v>
      </x:c>
      <x:c r="X481" s="8" t="n">
        <x:f>MAX(0,K481-SUM(E481:J481))</x:f>
        <x:v>0</x:v>
      </x:c>
      <x:c r="Y481" s="1" t="str">
        <x:f>IF(AND(O481&gt;0,NOT(ISNUMBER(Q481))),"No proposed replacement standard",IF(X481&gt;0,"Demand exceeds available stock",""))</x:f>
      </x:c>
      <x:c r="Z481" s="1" t="n">
        <x:f>IF(ISNUMBER(Q481),1,0)</x:f>
        <x:v>0</x:v>
      </x:c>
    </x:row>
    <x:row r="482" ht="21" customHeight="1">
      <x:c r="A482" s="17" t="n">
        <x:f>Summary!B18</x:f>
        <x:v>46419</x:v>
      </x:c>
      <x:c r="B482" s="1" t="str">
        <x:f>'Current inventory'!A104</x:f>
        <x:v>60</x:v>
      </x:c>
      <x:c r="C482" s="1" t="str">
        <x:f>'Current inventory'!B104</x:f>
        <x:v>800BFGISC</x:v>
      </x:c>
      <x:c r="D482" s="7" t="n">
        <x:f>A356</x:f>
        <x:v>46388</x:v>
      </x:c>
      <x:c r="E482" s="8" t="n">
        <x:f>L356</x:f>
        <x:v>0</x:v>
      </x:c>
      <x:c r="F482" s="8" t="n">
        <x:f>M356</x:f>
        <x:v>0</x:v>
      </x:c>
      <x:c r="G482" s="8" t="n">
        <x:f>N356</x:f>
        <x:v>0</x:v>
      </x:c>
      <x:c r="H482" s="8" t="n">
        <x:f>SUMIFS('PO detail'!$U$2:$U$672,'PO detail'!$A$2:$A$672,B482,'PO detail'!$B$2:$B$672,C482,'PO detail'!$G$2:$G$672,"&gt;="&amp;D482,'PO detail'!$G$2:$G$672,"&lt;"&amp;A482)</x:f>
        <x:v>0</x:v>
      </x:c>
      <x:c r="I482" s="8" t="n">
        <x:f>SUMIFS('PO detail'!$V$2:$V$672,'PO detail'!$A$2:$A$672,B482,'PO detail'!$B$2:$B$672,C482,'PO detail'!$G$2:$G$672,"&gt;="&amp;D482,'PO detail'!$G$2:$G$672,"&lt;"&amp;A482)</x:f>
        <x:v>0</x:v>
      </x:c>
      <x:c r="J482" s="8" t="n">
        <x:f>SUMIFS('PO detail'!$W$2:$W$672,'PO detail'!$A$2:$A$672,B482,'PO detail'!$B$2:$B$672,C482,'PO detail'!$G$2:$G$672,"&gt;="&amp;D482,'PO detail'!$G$2:$G$672,"&lt;"&amp;A482)</x:f>
        <x:v>0</x:v>
      </x:c>
      <x:c r="K482" s="8" t="n">
        <x:f>'Current inventory'!E104*Summary!$D$6*(A482-D482)/30.4375</x:f>
        <x:v>0</x:v>
      </x:c>
      <x:c r="L482" s="8" t="n">
        <x:f>MAX(0,E482+H482-K482)</x:f>
        <x:v>0</x:v>
      </x:c>
      <x:c r="M482" s="8" t="n">
        <x:f>MAX(0,F482+I482-MAX(0,K482-E482-H482))</x:f>
        <x:v>0</x:v>
      </x:c>
      <x:c r="N482" s="8" t="n">
        <x:f>MAX(0,G482+J482-K482)</x:f>
        <x:v>0</x:v>
      </x:c>
      <x:c r="O482" s="8" t="n">
        <x:f>SUM(L482:N482)</x:f>
        <x:v>0</x:v>
      </x:c>
      <x:c r="P482" s="14" t="n">
        <x:f>'Current inventory'!V104</x:f>
        <x:v>0.1797</x:v>
      </x:c>
      <x:c r="Q482" s="14" t="str">
        <x:f>'Current inventory'!W104</x:f>
        <x:v>n.a.</x:v>
      </x:c>
      <x:c r="R482" s="10" t="n">
        <x:f>L482*P482</x:f>
        <x:v>0</x:v>
      </x:c>
      <x:c r="S482" s="10" t="n">
        <x:f>M482*P482</x:f>
        <x:v>0</x:v>
      </x:c>
      <x:c r="T482" s="10" t="n">
        <x:f>N482*P482</x:f>
        <x:v>0</x:v>
      </x:c>
      <x:c r="U482" s="10" t="n">
        <x:f>O482*P482</x:f>
        <x:v>0</x:v>
      </x:c>
      <x:c r="V482" s="10" t="str">
        <x:f>IF(ISNUMBER(Q482),O482*(Q482-P482),"n.a.")</x:f>
        <x:v>n.a.</x:v>
      </x:c>
      <x:c r="W482" s="10" t="n">
        <x:f>IF(ISNUMBER(Q482),U482,0)</x:f>
        <x:v>0</x:v>
      </x:c>
      <x:c r="X482" s="8" t="n">
        <x:f>MAX(0,K482-SUM(E482:J482))</x:f>
        <x:v>0</x:v>
      </x:c>
      <x:c r="Y482" s="1" t="str">
        <x:f>IF(AND(O482&gt;0,NOT(ISNUMBER(Q482))),"No proposed replacement standard",IF(X482&gt;0,"Demand exceeds available stock",""))</x:f>
      </x:c>
      <x:c r="Z482" s="1" t="n">
        <x:f>IF(ISNUMBER(Q482),1,0)</x:f>
        <x:v>0</x:v>
      </x:c>
    </x:row>
    <x:row r="483" ht="21" customHeight="1">
      <x:c r="A483" s="17" t="n">
        <x:f>Summary!B18</x:f>
        <x:v>46419</x:v>
      </x:c>
      <x:c r="B483" s="1" t="str">
        <x:f>'Current inventory'!A105</x:f>
        <x:v>60</x:v>
      </x:c>
      <x:c r="C483" s="1" t="str">
        <x:f>'Current inventory'!B105</x:f>
        <x:v>800BLKF</x:v>
      </x:c>
      <x:c r="D483" s="7" t="n">
        <x:f>A357</x:f>
        <x:v>46388</x:v>
      </x:c>
      <x:c r="E483" s="8" t="n">
        <x:f>L357</x:f>
        <x:v>0</x:v>
      </x:c>
      <x:c r="F483" s="8" t="n">
        <x:f>M357</x:f>
        <x:v>0</x:v>
      </x:c>
      <x:c r="G483" s="8" t="n">
        <x:f>N357</x:f>
        <x:v>0</x:v>
      </x:c>
      <x:c r="H483" s="8" t="n">
        <x:f>SUMIFS('PO detail'!$U$2:$U$672,'PO detail'!$A$2:$A$672,B483,'PO detail'!$B$2:$B$672,C483,'PO detail'!$G$2:$G$672,"&gt;="&amp;D483,'PO detail'!$G$2:$G$672,"&lt;"&amp;A483)</x:f>
        <x:v>0</x:v>
      </x:c>
      <x:c r="I483" s="8" t="n">
        <x:f>SUMIFS('PO detail'!$V$2:$V$672,'PO detail'!$A$2:$A$672,B483,'PO detail'!$B$2:$B$672,C483,'PO detail'!$G$2:$G$672,"&gt;="&amp;D483,'PO detail'!$G$2:$G$672,"&lt;"&amp;A483)</x:f>
        <x:v>0</x:v>
      </x:c>
      <x:c r="J483" s="8" t="n">
        <x:f>SUMIFS('PO detail'!$W$2:$W$672,'PO detail'!$A$2:$A$672,B483,'PO detail'!$B$2:$B$672,C483,'PO detail'!$G$2:$G$672,"&gt;="&amp;D483,'PO detail'!$G$2:$G$672,"&lt;"&amp;A483)</x:f>
        <x:v>0</x:v>
      </x:c>
      <x:c r="K483" s="8" t="n">
        <x:f>'Current inventory'!E105*Summary!$D$6*(A483-D483)/30.4375</x:f>
        <x:v>0</x:v>
      </x:c>
      <x:c r="L483" s="8" t="n">
        <x:f>MAX(0,E483+H483-K483)</x:f>
        <x:v>0</x:v>
      </x:c>
      <x:c r="M483" s="8" t="n">
        <x:f>MAX(0,F483+I483-MAX(0,K483-E483-H483))</x:f>
        <x:v>0</x:v>
      </x:c>
      <x:c r="N483" s="8" t="n">
        <x:f>MAX(0,G483+J483-K483)</x:f>
        <x:v>0</x:v>
      </x:c>
      <x:c r="O483" s="8" t="n">
        <x:f>SUM(L483:N483)</x:f>
        <x:v>0</x:v>
      </x:c>
      <x:c r="P483" s="14" t="n">
        <x:f>'Current inventory'!V105</x:f>
        <x:v>7.03</x:v>
      </x:c>
      <x:c r="Q483" s="14" t="str">
        <x:f>'Current inventory'!W105</x:f>
        <x:v>n.a.</x:v>
      </x:c>
      <x:c r="R483" s="10" t="n">
        <x:f>L483*P483</x:f>
        <x:v>0</x:v>
      </x:c>
      <x:c r="S483" s="10" t="n">
        <x:f>M483*P483</x:f>
        <x:v>0</x:v>
      </x:c>
      <x:c r="T483" s="10" t="n">
        <x:f>N483*P483</x:f>
        <x:v>0</x:v>
      </x:c>
      <x:c r="U483" s="10" t="n">
        <x:f>O483*P483</x:f>
        <x:v>0</x:v>
      </x:c>
      <x:c r="V483" s="10" t="str">
        <x:f>IF(ISNUMBER(Q483),O483*(Q483-P483),"n.a.")</x:f>
        <x:v>n.a.</x:v>
      </x:c>
      <x:c r="W483" s="10" t="n">
        <x:f>IF(ISNUMBER(Q483),U483,0)</x:f>
        <x:v>0</x:v>
      </x:c>
      <x:c r="X483" s="8" t="n">
        <x:f>MAX(0,K483-SUM(E483:J483))</x:f>
        <x:v>0</x:v>
      </x:c>
      <x:c r="Y483" s="1" t="str">
        <x:f>IF(AND(O483&gt;0,NOT(ISNUMBER(Q483))),"No proposed replacement standard",IF(X483&gt;0,"Demand exceeds available stock",""))</x:f>
      </x:c>
      <x:c r="Z483" s="1" t="n">
        <x:f>IF(ISNUMBER(Q483),1,0)</x:f>
        <x:v>0</x:v>
      </x:c>
    </x:row>
    <x:row r="484" ht="21" customHeight="1">
      <x:c r="A484" s="17" t="n">
        <x:f>Summary!B18</x:f>
        <x:v>46419</x:v>
      </x:c>
      <x:c r="B484" s="1" t="str">
        <x:f>'Current inventory'!A106</x:f>
        <x:v>60</x:v>
      </x:c>
      <x:c r="C484" s="1" t="str">
        <x:f>'Current inventory'!B106</x:f>
        <x:v>800BWHTASC</x:v>
      </x:c>
      <x:c r="D484" s="7" t="n">
        <x:f>A358</x:f>
        <x:v>46388</x:v>
      </x:c>
      <x:c r="E484" s="8" t="n">
        <x:f>L358</x:f>
        <x:v>0</x:v>
      </x:c>
      <x:c r="F484" s="8" t="n">
        <x:f>M358</x:f>
        <x:v>0</x:v>
      </x:c>
      <x:c r="G484" s="8" t="n">
        <x:f>N358</x:f>
        <x:v>0</x:v>
      </x:c>
      <x:c r="H484" s="8" t="n">
        <x:f>SUMIFS('PO detail'!$U$2:$U$672,'PO detail'!$A$2:$A$672,B484,'PO detail'!$B$2:$B$672,C484,'PO detail'!$G$2:$G$672,"&gt;="&amp;D484,'PO detail'!$G$2:$G$672,"&lt;"&amp;A484)</x:f>
        <x:v>0</x:v>
      </x:c>
      <x:c r="I484" s="8" t="n">
        <x:f>SUMIFS('PO detail'!$V$2:$V$672,'PO detail'!$A$2:$A$672,B484,'PO detail'!$B$2:$B$672,C484,'PO detail'!$G$2:$G$672,"&gt;="&amp;D484,'PO detail'!$G$2:$G$672,"&lt;"&amp;A484)</x:f>
        <x:v>0</x:v>
      </x:c>
      <x:c r="J484" s="8" t="n">
        <x:f>SUMIFS('PO detail'!$W$2:$W$672,'PO detail'!$A$2:$A$672,B484,'PO detail'!$B$2:$B$672,C484,'PO detail'!$G$2:$G$672,"&gt;="&amp;D484,'PO detail'!$G$2:$G$672,"&lt;"&amp;A484)</x:f>
        <x:v>0</x:v>
      </x:c>
      <x:c r="K484" s="8" t="n">
        <x:f>'Current inventory'!E106*Summary!$D$6*(A484-D484)/30.4375</x:f>
        <x:v>0</x:v>
      </x:c>
      <x:c r="L484" s="8" t="n">
        <x:f>MAX(0,E484+H484-K484)</x:f>
        <x:v>0</x:v>
      </x:c>
      <x:c r="M484" s="8" t="n">
        <x:f>MAX(0,F484+I484-MAX(0,K484-E484-H484))</x:f>
        <x:v>0</x:v>
      </x:c>
      <x:c r="N484" s="8" t="n">
        <x:f>MAX(0,G484+J484-K484)</x:f>
        <x:v>0</x:v>
      </x:c>
      <x:c r="O484" s="8" t="n">
        <x:f>SUM(L484:N484)</x:f>
        <x:v>0</x:v>
      </x:c>
      <x:c r="P484" s="14" t="n">
        <x:f>'Current inventory'!V106</x:f>
        <x:v>0.1456</x:v>
      </x:c>
      <x:c r="Q484" s="14" t="str">
        <x:f>'Current inventory'!W106</x:f>
        <x:v>n.a.</x:v>
      </x:c>
      <x:c r="R484" s="10" t="n">
        <x:f>L484*P484</x:f>
        <x:v>0</x:v>
      </x:c>
      <x:c r="S484" s="10" t="n">
        <x:f>M484*P484</x:f>
        <x:v>0</x:v>
      </x:c>
      <x:c r="T484" s="10" t="n">
        <x:f>N484*P484</x:f>
        <x:v>0</x:v>
      </x:c>
      <x:c r="U484" s="10" t="n">
        <x:f>O484*P484</x:f>
        <x:v>0</x:v>
      </x:c>
      <x:c r="V484" s="10" t="str">
        <x:f>IF(ISNUMBER(Q484),O484*(Q484-P484),"n.a.")</x:f>
        <x:v>n.a.</x:v>
      </x:c>
      <x:c r="W484" s="10" t="n">
        <x:f>IF(ISNUMBER(Q484),U484,0)</x:f>
        <x:v>0</x:v>
      </x:c>
      <x:c r="X484" s="8" t="n">
        <x:f>MAX(0,K484-SUM(E484:J484))</x:f>
        <x:v>0</x:v>
      </x:c>
      <x:c r="Y484" s="1" t="str">
        <x:f>IF(AND(O484&gt;0,NOT(ISNUMBER(Q484))),"No proposed replacement standard",IF(X484&gt;0,"Demand exceeds available stock",""))</x:f>
      </x:c>
      <x:c r="Z484" s="1" t="n">
        <x:f>IF(ISNUMBER(Q484),1,0)</x:f>
        <x:v>0</x:v>
      </x:c>
    </x:row>
    <x:row r="485" ht="21" customHeight="1">
      <x:c r="A485" s="17" t="n">
        <x:f>Summary!B18</x:f>
        <x:v>46419</x:v>
      </x:c>
      <x:c r="B485" s="1" t="str">
        <x:f>'Current inventory'!A107</x:f>
        <x:v>60</x:v>
      </x:c>
      <x:c r="C485" s="1" t="str">
        <x:f>'Current inventory'!B107</x:f>
        <x:v>800BWHTBRC</x:v>
      </x:c>
      <x:c r="D485" s="7" t="n">
        <x:f>A359</x:f>
        <x:v>46388</x:v>
      </x:c>
      <x:c r="E485" s="8" t="n">
        <x:f>L359</x:f>
        <x:v>0</x:v>
      </x:c>
      <x:c r="F485" s="8" t="n">
        <x:f>M359</x:f>
        <x:v>0</x:v>
      </x:c>
      <x:c r="G485" s="8" t="n">
        <x:f>N359</x:f>
        <x:v>0</x:v>
      </x:c>
      <x:c r="H485" s="8" t="n">
        <x:f>SUMIFS('PO detail'!$U$2:$U$672,'PO detail'!$A$2:$A$672,B485,'PO detail'!$B$2:$B$672,C485,'PO detail'!$G$2:$G$672,"&gt;="&amp;D485,'PO detail'!$G$2:$G$672,"&lt;"&amp;A485)</x:f>
        <x:v>0</x:v>
      </x:c>
      <x:c r="I485" s="8" t="n">
        <x:f>SUMIFS('PO detail'!$V$2:$V$672,'PO detail'!$A$2:$A$672,B485,'PO detail'!$B$2:$B$672,C485,'PO detail'!$G$2:$G$672,"&gt;="&amp;D485,'PO detail'!$G$2:$G$672,"&lt;"&amp;A485)</x:f>
        <x:v>0</x:v>
      </x:c>
      <x:c r="J485" s="8" t="n">
        <x:f>SUMIFS('PO detail'!$W$2:$W$672,'PO detail'!$A$2:$A$672,B485,'PO detail'!$B$2:$B$672,C485,'PO detail'!$G$2:$G$672,"&gt;="&amp;D485,'PO detail'!$G$2:$G$672,"&lt;"&amp;A485)</x:f>
        <x:v>0</x:v>
      </x:c>
      <x:c r="K485" s="8" t="n">
        <x:f>'Current inventory'!E107*Summary!$D$6*(A485-D485)/30.4375</x:f>
        <x:v>0</x:v>
      </x:c>
      <x:c r="L485" s="8" t="n">
        <x:f>MAX(0,E485+H485-K485)</x:f>
        <x:v>0</x:v>
      </x:c>
      <x:c r="M485" s="8" t="n">
        <x:f>MAX(0,F485+I485-MAX(0,K485-E485-H485))</x:f>
        <x:v>0</x:v>
      </x:c>
      <x:c r="N485" s="8" t="n">
        <x:f>MAX(0,G485+J485-K485)</x:f>
        <x:v>0</x:v>
      </x:c>
      <x:c r="O485" s="8" t="n">
        <x:f>SUM(L485:N485)</x:f>
        <x:v>0</x:v>
      </x:c>
      <x:c r="P485" s="14" t="n">
        <x:f>'Current inventory'!V107</x:f>
        <x:v>0.18469999999999998</x:v>
      </x:c>
      <x:c r="Q485" s="14" t="str">
        <x:f>'Current inventory'!W107</x:f>
        <x:v>n.a.</x:v>
      </x:c>
      <x:c r="R485" s="10" t="n">
        <x:f>L485*P485</x:f>
        <x:v>0</x:v>
      </x:c>
      <x:c r="S485" s="10" t="n">
        <x:f>M485*P485</x:f>
        <x:v>0</x:v>
      </x:c>
      <x:c r="T485" s="10" t="n">
        <x:f>N485*P485</x:f>
        <x:v>0</x:v>
      </x:c>
      <x:c r="U485" s="10" t="n">
        <x:f>O485*P485</x:f>
        <x:v>0</x:v>
      </x:c>
      <x:c r="V485" s="10" t="str">
        <x:f>IF(ISNUMBER(Q485),O485*(Q485-P485),"n.a.")</x:f>
        <x:v>n.a.</x:v>
      </x:c>
      <x:c r="W485" s="10" t="n">
        <x:f>IF(ISNUMBER(Q485),U485,0)</x:f>
        <x:v>0</x:v>
      </x:c>
      <x:c r="X485" s="8" t="n">
        <x:f>MAX(0,K485-SUM(E485:J485))</x:f>
        <x:v>0</x:v>
      </x:c>
      <x:c r="Y485" s="1" t="str">
        <x:f>IF(AND(O485&gt;0,NOT(ISNUMBER(Q485))),"No proposed replacement standard",IF(X485&gt;0,"Demand exceeds available stock",""))</x:f>
      </x:c>
      <x:c r="Z485" s="1" t="n">
        <x:f>IF(ISNUMBER(Q485),1,0)</x:f>
        <x:v>0</x:v>
      </x:c>
    </x:row>
    <x:row r="486" ht="21" customHeight="1">
      <x:c r="A486" s="17" t="n">
        <x:f>Summary!B18</x:f>
        <x:v>46419</x:v>
      </x:c>
      <x:c r="B486" s="1" t="str">
        <x:f>'Current inventory'!A108</x:f>
        <x:v>60</x:v>
      </x:c>
      <x:c r="C486" s="1" t="str">
        <x:f>'Current inventory'!B108</x:f>
        <x:v>800BWHTCSC</x:v>
      </x:c>
      <x:c r="D486" s="7" t="n">
        <x:f>A360</x:f>
        <x:v>46388</x:v>
      </x:c>
      <x:c r="E486" s="8" t="n">
        <x:f>L360</x:f>
        <x:v>0</x:v>
      </x:c>
      <x:c r="F486" s="8" t="n">
        <x:f>M360</x:f>
        <x:v>0</x:v>
      </x:c>
      <x:c r="G486" s="8" t="n">
        <x:f>N360</x:f>
        <x:v>0</x:v>
      </x:c>
      <x:c r="H486" s="8" t="n">
        <x:f>SUMIFS('PO detail'!$U$2:$U$672,'PO detail'!$A$2:$A$672,B486,'PO detail'!$B$2:$B$672,C486,'PO detail'!$G$2:$G$672,"&gt;="&amp;D486,'PO detail'!$G$2:$G$672,"&lt;"&amp;A486)</x:f>
        <x:v>0</x:v>
      </x:c>
      <x:c r="I486" s="8" t="n">
        <x:f>SUMIFS('PO detail'!$V$2:$V$672,'PO detail'!$A$2:$A$672,B486,'PO detail'!$B$2:$B$672,C486,'PO detail'!$G$2:$G$672,"&gt;="&amp;D486,'PO detail'!$G$2:$G$672,"&lt;"&amp;A486)</x:f>
        <x:v>0</x:v>
      </x:c>
      <x:c r="J486" s="8" t="n">
        <x:f>SUMIFS('PO detail'!$W$2:$W$672,'PO detail'!$A$2:$A$672,B486,'PO detail'!$B$2:$B$672,C486,'PO detail'!$G$2:$G$672,"&gt;="&amp;D486,'PO detail'!$G$2:$G$672,"&lt;"&amp;A486)</x:f>
        <x:v>0</x:v>
      </x:c>
      <x:c r="K486" s="8" t="n">
        <x:f>'Current inventory'!E108*Summary!$D$6*(A486-D486)/30.4375</x:f>
        <x:v>0</x:v>
      </x:c>
      <x:c r="L486" s="8" t="n">
        <x:f>MAX(0,E486+H486-K486)</x:f>
        <x:v>0</x:v>
      </x:c>
      <x:c r="M486" s="8" t="n">
        <x:f>MAX(0,F486+I486-MAX(0,K486-E486-H486))</x:f>
        <x:v>0</x:v>
      </x:c>
      <x:c r="N486" s="8" t="n">
        <x:f>MAX(0,G486+J486-K486)</x:f>
        <x:v>0</x:v>
      </x:c>
      <x:c r="O486" s="8" t="n">
        <x:f>SUM(L486:N486)</x:f>
        <x:v>0</x:v>
      </x:c>
      <x:c r="P486" s="14" t="n">
        <x:f>'Current inventory'!V108</x:f>
        <x:v>0.21559999999999999</x:v>
      </x:c>
      <x:c r="Q486" s="14" t="str">
        <x:f>'Current inventory'!W108</x:f>
        <x:v>n.a.</x:v>
      </x:c>
      <x:c r="R486" s="10" t="n">
        <x:f>L486*P486</x:f>
        <x:v>0</x:v>
      </x:c>
      <x:c r="S486" s="10" t="n">
        <x:f>M486*P486</x:f>
        <x:v>0</x:v>
      </x:c>
      <x:c r="T486" s="10" t="n">
        <x:f>N486*P486</x:f>
        <x:v>0</x:v>
      </x:c>
      <x:c r="U486" s="10" t="n">
        <x:f>O486*P486</x:f>
        <x:v>0</x:v>
      </x:c>
      <x:c r="V486" s="10" t="str">
        <x:f>IF(ISNUMBER(Q486),O486*(Q486-P486),"n.a.")</x:f>
        <x:v>n.a.</x:v>
      </x:c>
      <x:c r="W486" s="10" t="n">
        <x:f>IF(ISNUMBER(Q486),U486,0)</x:f>
        <x:v>0</x:v>
      </x:c>
      <x:c r="X486" s="8" t="n">
        <x:f>MAX(0,K486-SUM(E486:J486))</x:f>
        <x:v>0</x:v>
      </x:c>
      <x:c r="Y486" s="1" t="str">
        <x:f>IF(AND(O486&gt;0,NOT(ISNUMBER(Q486))),"No proposed replacement standard",IF(X486&gt;0,"Demand exceeds available stock",""))</x:f>
      </x:c>
      <x:c r="Z486" s="1" t="n">
        <x:f>IF(ISNUMBER(Q486),1,0)</x:f>
        <x:v>0</x:v>
      </x:c>
    </x:row>
    <x:row r="487" ht="21" customHeight="1">
      <x:c r="A487" s="17" t="n">
        <x:f>Summary!B18</x:f>
        <x:v>46419</x:v>
      </x:c>
      <x:c r="B487" s="1" t="str">
        <x:f>'Current inventory'!A109</x:f>
        <x:v>60</x:v>
      </x:c>
      <x:c r="C487" s="1" t="str">
        <x:f>'Current inventory'!B109</x:f>
        <x:v>800BWHTDSC</x:v>
      </x:c>
      <x:c r="D487" s="7" t="n">
        <x:f>A361</x:f>
        <x:v>46388</x:v>
      </x:c>
      <x:c r="E487" s="8" t="n">
        <x:f>L361</x:f>
        <x:v>0</x:v>
      </x:c>
      <x:c r="F487" s="8" t="n">
        <x:f>M361</x:f>
        <x:v>0</x:v>
      </x:c>
      <x:c r="G487" s="8" t="n">
        <x:f>N361</x:f>
        <x:v>0</x:v>
      </x:c>
      <x:c r="H487" s="8" t="n">
        <x:f>SUMIFS('PO detail'!$U$2:$U$672,'PO detail'!$A$2:$A$672,B487,'PO detail'!$B$2:$B$672,C487,'PO detail'!$G$2:$G$672,"&gt;="&amp;D487,'PO detail'!$G$2:$G$672,"&lt;"&amp;A487)</x:f>
        <x:v>0</x:v>
      </x:c>
      <x:c r="I487" s="8" t="n">
        <x:f>SUMIFS('PO detail'!$V$2:$V$672,'PO detail'!$A$2:$A$672,B487,'PO detail'!$B$2:$B$672,C487,'PO detail'!$G$2:$G$672,"&gt;="&amp;D487,'PO detail'!$G$2:$G$672,"&lt;"&amp;A487)</x:f>
        <x:v>0</x:v>
      </x:c>
      <x:c r="J487" s="8" t="n">
        <x:f>SUMIFS('PO detail'!$W$2:$W$672,'PO detail'!$A$2:$A$672,B487,'PO detail'!$B$2:$B$672,C487,'PO detail'!$G$2:$G$672,"&gt;="&amp;D487,'PO detail'!$G$2:$G$672,"&lt;"&amp;A487)</x:f>
        <x:v>0</x:v>
      </x:c>
      <x:c r="K487" s="8" t="n">
        <x:f>'Current inventory'!E109*Summary!$D$6*(A487-D487)/30.4375</x:f>
        <x:v>0</x:v>
      </x:c>
      <x:c r="L487" s="8" t="n">
        <x:f>MAX(0,E487+H487-K487)</x:f>
        <x:v>0</x:v>
      </x:c>
      <x:c r="M487" s="8" t="n">
        <x:f>MAX(0,F487+I487-MAX(0,K487-E487-H487))</x:f>
        <x:v>0</x:v>
      </x:c>
      <x:c r="N487" s="8" t="n">
        <x:f>MAX(0,G487+J487-K487)</x:f>
        <x:v>0</x:v>
      </x:c>
      <x:c r="O487" s="8" t="n">
        <x:f>SUM(L487:N487)</x:f>
        <x:v>0</x:v>
      </x:c>
      <x:c r="P487" s="14" t="n">
        <x:f>'Current inventory'!V109</x:f>
        <x:v>0.38</x:v>
      </x:c>
      <x:c r="Q487" s="14" t="str">
        <x:f>'Current inventory'!W109</x:f>
        <x:v>n.a.</x:v>
      </x:c>
      <x:c r="R487" s="10" t="n">
        <x:f>L487*P487</x:f>
        <x:v>0</x:v>
      </x:c>
      <x:c r="S487" s="10" t="n">
        <x:f>M487*P487</x:f>
        <x:v>0</x:v>
      </x:c>
      <x:c r="T487" s="10" t="n">
        <x:f>N487*P487</x:f>
        <x:v>0</x:v>
      </x:c>
      <x:c r="U487" s="10" t="n">
        <x:f>O487*P487</x:f>
        <x:v>0</x:v>
      </x:c>
      <x:c r="V487" s="10" t="str">
        <x:f>IF(ISNUMBER(Q487),O487*(Q487-P487),"n.a.")</x:f>
        <x:v>n.a.</x:v>
      </x:c>
      <x:c r="W487" s="10" t="n">
        <x:f>IF(ISNUMBER(Q487),U487,0)</x:f>
        <x:v>0</x:v>
      </x:c>
      <x:c r="X487" s="8" t="n">
        <x:f>MAX(0,K487-SUM(E487:J487))</x:f>
        <x:v>0</x:v>
      </x:c>
      <x:c r="Y487" s="1" t="str">
        <x:f>IF(AND(O487&gt;0,NOT(ISNUMBER(Q487))),"No proposed replacement standard",IF(X487&gt;0,"Demand exceeds available stock",""))</x:f>
      </x:c>
      <x:c r="Z487" s="1" t="n">
        <x:f>IF(ISNUMBER(Q487),1,0)</x:f>
        <x:v>0</x:v>
      </x:c>
    </x:row>
    <x:row r="488" ht="21" customHeight="1">
      <x:c r="A488" s="17" t="n">
        <x:f>Summary!B18</x:f>
        <x:v>46419</x:v>
      </x:c>
      <x:c r="B488" s="1" t="str">
        <x:f>'Current inventory'!A110</x:f>
        <x:v>60</x:v>
      </x:c>
      <x:c r="C488" s="1" t="str">
        <x:f>'Current inventory'!B110</x:f>
        <x:v>800BWHTISC</x:v>
      </x:c>
      <x:c r="D488" s="7" t="n">
        <x:f>A362</x:f>
        <x:v>46388</x:v>
      </x:c>
      <x:c r="E488" s="8" t="n">
        <x:f>L362</x:f>
        <x:v>0</x:v>
      </x:c>
      <x:c r="F488" s="8" t="n">
        <x:f>M362</x:f>
        <x:v>0</x:v>
      </x:c>
      <x:c r="G488" s="8" t="n">
        <x:f>N362</x:f>
        <x:v>0</x:v>
      </x:c>
      <x:c r="H488" s="8" t="n">
        <x:f>SUMIFS('PO detail'!$U$2:$U$672,'PO detail'!$A$2:$A$672,B488,'PO detail'!$B$2:$B$672,C488,'PO detail'!$G$2:$G$672,"&gt;="&amp;D488,'PO detail'!$G$2:$G$672,"&lt;"&amp;A488)</x:f>
        <x:v>0</x:v>
      </x:c>
      <x:c r="I488" s="8" t="n">
        <x:f>SUMIFS('PO detail'!$V$2:$V$672,'PO detail'!$A$2:$A$672,B488,'PO detail'!$B$2:$B$672,C488,'PO detail'!$G$2:$G$672,"&gt;="&amp;D488,'PO detail'!$G$2:$G$672,"&lt;"&amp;A488)</x:f>
        <x:v>0</x:v>
      </x:c>
      <x:c r="J488" s="8" t="n">
        <x:f>SUMIFS('PO detail'!$W$2:$W$672,'PO detail'!$A$2:$A$672,B488,'PO detail'!$B$2:$B$672,C488,'PO detail'!$G$2:$G$672,"&gt;="&amp;D488,'PO detail'!$G$2:$G$672,"&lt;"&amp;A488)</x:f>
        <x:v>0</x:v>
      </x:c>
      <x:c r="K488" s="8" t="n">
        <x:f>'Current inventory'!E110*Summary!$D$6*(A488-D488)/30.4375</x:f>
        <x:v>0</x:v>
      </x:c>
      <x:c r="L488" s="8" t="n">
        <x:f>MAX(0,E488+H488-K488)</x:f>
        <x:v>0</x:v>
      </x:c>
      <x:c r="M488" s="8" t="n">
        <x:f>MAX(0,F488+I488-MAX(0,K488-E488-H488))</x:f>
        <x:v>0</x:v>
      </x:c>
      <x:c r="N488" s="8" t="n">
        <x:f>MAX(0,G488+J488-K488)</x:f>
        <x:v>0</x:v>
      </x:c>
      <x:c r="O488" s="8" t="n">
        <x:f>SUM(L488:N488)</x:f>
        <x:v>0</x:v>
      </x:c>
      <x:c r="P488" s="14" t="n">
        <x:f>'Current inventory'!V110</x:f>
        <x:v>0.1797</x:v>
      </x:c>
      <x:c r="Q488" s="14" t="str">
        <x:f>'Current inventory'!W110</x:f>
        <x:v>n.a.</x:v>
      </x:c>
      <x:c r="R488" s="10" t="n">
        <x:f>L488*P488</x:f>
        <x:v>0</x:v>
      </x:c>
      <x:c r="S488" s="10" t="n">
        <x:f>M488*P488</x:f>
        <x:v>0</x:v>
      </x:c>
      <x:c r="T488" s="10" t="n">
        <x:f>N488*P488</x:f>
        <x:v>0</x:v>
      </x:c>
      <x:c r="U488" s="10" t="n">
        <x:f>O488*P488</x:f>
        <x:v>0</x:v>
      </x:c>
      <x:c r="V488" s="10" t="str">
        <x:f>IF(ISNUMBER(Q488),O488*(Q488-P488),"n.a.")</x:f>
        <x:v>n.a.</x:v>
      </x:c>
      <x:c r="W488" s="10" t="n">
        <x:f>IF(ISNUMBER(Q488),U488,0)</x:f>
        <x:v>0</x:v>
      </x:c>
      <x:c r="X488" s="8" t="n">
        <x:f>MAX(0,K488-SUM(E488:J488))</x:f>
        <x:v>0</x:v>
      </x:c>
      <x:c r="Y488" s="1" t="str">
        <x:f>IF(AND(O488&gt;0,NOT(ISNUMBER(Q488))),"No proposed replacement standard",IF(X488&gt;0,"Demand exceeds available stock",""))</x:f>
      </x:c>
      <x:c r="Z488" s="1" t="n">
        <x:f>IF(ISNUMBER(Q488),1,0)</x:f>
        <x:v>0</x:v>
      </x:c>
    </x:row>
    <x:row r="489" ht="21" customHeight="1">
      <x:c r="A489" s="17" t="n">
        <x:f>Summary!B18</x:f>
        <x:v>46419</x:v>
      </x:c>
      <x:c r="B489" s="1" t="str">
        <x:f>'Current inventory'!A111</x:f>
        <x:v>60</x:v>
      </x:c>
      <x:c r="C489" s="1" t="str">
        <x:f>'Current inventory'!B111</x:f>
        <x:v>800FGE</x:v>
      </x:c>
      <x:c r="D489" s="7" t="n">
        <x:f>A363</x:f>
        <x:v>46388</x:v>
      </x:c>
      <x:c r="E489" s="8" t="n">
        <x:f>L363</x:f>
        <x:v>0</x:v>
      </x:c>
      <x:c r="F489" s="8" t="n">
        <x:f>M363</x:f>
        <x:v>0</x:v>
      </x:c>
      <x:c r="G489" s="8" t="n">
        <x:f>N363</x:f>
        <x:v>0</x:v>
      </x:c>
      <x:c r="H489" s="8" t="n">
        <x:f>SUMIFS('PO detail'!$U$2:$U$672,'PO detail'!$A$2:$A$672,B489,'PO detail'!$B$2:$B$672,C489,'PO detail'!$G$2:$G$672,"&gt;="&amp;D489,'PO detail'!$G$2:$G$672,"&lt;"&amp;A489)</x:f>
        <x:v>0</x:v>
      </x:c>
      <x:c r="I489" s="8" t="n">
        <x:f>SUMIFS('PO detail'!$V$2:$V$672,'PO detail'!$A$2:$A$672,B489,'PO detail'!$B$2:$B$672,C489,'PO detail'!$G$2:$G$672,"&gt;="&amp;D489,'PO detail'!$G$2:$G$672,"&lt;"&amp;A489)</x:f>
        <x:v>0</x:v>
      </x:c>
      <x:c r="J489" s="8" t="n">
        <x:f>SUMIFS('PO detail'!$W$2:$W$672,'PO detail'!$A$2:$A$672,B489,'PO detail'!$B$2:$B$672,C489,'PO detail'!$G$2:$G$672,"&gt;="&amp;D489,'PO detail'!$G$2:$G$672,"&lt;"&amp;A489)</x:f>
        <x:v>0</x:v>
      </x:c>
      <x:c r="K489" s="8" t="n">
        <x:f>'Current inventory'!E111*Summary!$D$6*(A489-D489)/30.4375</x:f>
        <x:v>0</x:v>
      </x:c>
      <x:c r="L489" s="8" t="n">
        <x:f>MAX(0,E489+H489-K489)</x:f>
        <x:v>0</x:v>
      </x:c>
      <x:c r="M489" s="8" t="n">
        <x:f>MAX(0,F489+I489-MAX(0,K489-E489-H489))</x:f>
        <x:v>0</x:v>
      </x:c>
      <x:c r="N489" s="8" t="n">
        <x:f>MAX(0,G489+J489-K489)</x:f>
        <x:v>0</x:v>
      </x:c>
      <x:c r="O489" s="8" t="n">
        <x:f>SUM(L489:N489)</x:f>
        <x:v>0</x:v>
      </x:c>
      <x:c r="P489" s="14" t="n">
        <x:f>'Current inventory'!V111</x:f>
        <x:v>10.78</x:v>
      </x:c>
      <x:c r="Q489" s="14" t="str">
        <x:f>'Current inventory'!W111</x:f>
        <x:v>n.a.</x:v>
      </x:c>
      <x:c r="R489" s="10" t="n">
        <x:f>L489*P489</x:f>
        <x:v>0</x:v>
      </x:c>
      <x:c r="S489" s="10" t="n">
        <x:f>M489*P489</x:f>
        <x:v>0</x:v>
      </x:c>
      <x:c r="T489" s="10" t="n">
        <x:f>N489*P489</x:f>
        <x:v>0</x:v>
      </x:c>
      <x:c r="U489" s="10" t="n">
        <x:f>O489*P489</x:f>
        <x:v>0</x:v>
      </x:c>
      <x:c r="V489" s="10" t="str">
        <x:f>IF(ISNUMBER(Q489),O489*(Q489-P489),"n.a.")</x:f>
        <x:v>n.a.</x:v>
      </x:c>
      <x:c r="W489" s="10" t="n">
        <x:f>IF(ISNUMBER(Q489),U489,0)</x:f>
        <x:v>0</x:v>
      </x:c>
      <x:c r="X489" s="8" t="n">
        <x:f>MAX(0,K489-SUM(E489:J489))</x:f>
        <x:v>0</x:v>
      </x:c>
      <x:c r="Y489" s="1" t="str">
        <x:f>IF(AND(O489&gt;0,NOT(ISNUMBER(Q489))),"No proposed replacement standard",IF(X489&gt;0,"Demand exceeds available stock",""))</x:f>
      </x:c>
      <x:c r="Z489" s="1" t="n">
        <x:f>IF(ISNUMBER(Q489),1,0)</x:f>
        <x:v>0</x:v>
      </x:c>
    </x:row>
    <x:row r="490" ht="21" customHeight="1">
      <x:c r="A490" s="17" t="n">
        <x:f>Summary!B18</x:f>
        <x:v>46419</x:v>
      </x:c>
      <x:c r="B490" s="1" t="str">
        <x:f>'Current inventory'!A112</x:f>
        <x:v>60</x:v>
      </x:c>
      <x:c r="C490" s="1" t="str">
        <x:f>'Current inventory'!B112</x:f>
        <x:v>800NAVF</x:v>
      </x:c>
      <x:c r="D490" s="7" t="n">
        <x:f>A364</x:f>
        <x:v>46388</x:v>
      </x:c>
      <x:c r="E490" s="8" t="n">
        <x:f>L364</x:f>
        <x:v>0</x:v>
      </x:c>
      <x:c r="F490" s="8" t="n">
        <x:f>M364</x:f>
        <x:v>0</x:v>
      </x:c>
      <x:c r="G490" s="8" t="n">
        <x:f>N364</x:f>
        <x:v>0</x:v>
      </x:c>
      <x:c r="H490" s="8" t="n">
        <x:f>SUMIFS('PO detail'!$U$2:$U$672,'PO detail'!$A$2:$A$672,B490,'PO detail'!$B$2:$B$672,C490,'PO detail'!$G$2:$G$672,"&gt;="&amp;D490,'PO detail'!$G$2:$G$672,"&lt;"&amp;A490)</x:f>
        <x:v>0</x:v>
      </x:c>
      <x:c r="I490" s="8" t="n">
        <x:f>SUMIFS('PO detail'!$V$2:$V$672,'PO detail'!$A$2:$A$672,B490,'PO detail'!$B$2:$B$672,C490,'PO detail'!$G$2:$G$672,"&gt;="&amp;D490,'PO detail'!$G$2:$G$672,"&lt;"&amp;A490)</x:f>
        <x:v>0</x:v>
      </x:c>
      <x:c r="J490" s="8" t="n">
        <x:f>SUMIFS('PO detail'!$W$2:$W$672,'PO detail'!$A$2:$A$672,B490,'PO detail'!$B$2:$B$672,C490,'PO detail'!$G$2:$G$672,"&gt;="&amp;D490,'PO detail'!$G$2:$G$672,"&lt;"&amp;A490)</x:f>
        <x:v>0</x:v>
      </x:c>
      <x:c r="K490" s="8" t="n">
        <x:f>'Current inventory'!E112*Summary!$D$6*(A490-D490)/30.4375</x:f>
        <x:v>0</x:v>
      </x:c>
      <x:c r="L490" s="8" t="n">
        <x:f>MAX(0,E490+H490-K490)</x:f>
        <x:v>0</x:v>
      </x:c>
      <x:c r="M490" s="8" t="n">
        <x:f>MAX(0,F490+I490-MAX(0,K490-E490-H490))</x:f>
        <x:v>0</x:v>
      </x:c>
      <x:c r="N490" s="8" t="n">
        <x:f>MAX(0,G490+J490-K490)</x:f>
        <x:v>0</x:v>
      </x:c>
      <x:c r="O490" s="8" t="n">
        <x:f>SUM(L490:N490)</x:f>
        <x:v>0</x:v>
      </x:c>
      <x:c r="P490" s="14" t="n">
        <x:f>'Current inventory'!V112</x:f>
        <x:v>7.03</x:v>
      </x:c>
      <x:c r="Q490" s="14" t="str">
        <x:f>'Current inventory'!W112</x:f>
        <x:v>n.a.</x:v>
      </x:c>
      <x:c r="R490" s="10" t="n">
        <x:f>L490*P490</x:f>
        <x:v>0</x:v>
      </x:c>
      <x:c r="S490" s="10" t="n">
        <x:f>M490*P490</x:f>
        <x:v>0</x:v>
      </x:c>
      <x:c r="T490" s="10" t="n">
        <x:f>N490*P490</x:f>
        <x:v>0</x:v>
      </x:c>
      <x:c r="U490" s="10" t="n">
        <x:f>O490*P490</x:f>
        <x:v>0</x:v>
      </x:c>
      <x:c r="V490" s="10" t="str">
        <x:f>IF(ISNUMBER(Q490),O490*(Q490-P490),"n.a.")</x:f>
        <x:v>n.a.</x:v>
      </x:c>
      <x:c r="W490" s="10" t="n">
        <x:f>IF(ISNUMBER(Q490),U490,0)</x:f>
        <x:v>0</x:v>
      </x:c>
      <x:c r="X490" s="8" t="n">
        <x:f>MAX(0,K490-SUM(E490:J490))</x:f>
        <x:v>0</x:v>
      </x:c>
      <x:c r="Y490" s="1" t="str">
        <x:f>IF(AND(O490&gt;0,NOT(ISNUMBER(Q490))),"No proposed replacement standard",IF(X490&gt;0,"Demand exceeds available stock",""))</x:f>
      </x:c>
      <x:c r="Z490" s="1" t="n">
        <x:f>IF(ISNUMBER(Q490),1,0)</x:f>
        <x:v>0</x:v>
      </x:c>
    </x:row>
    <x:row r="491" ht="21" customHeight="1">
      <x:c r="A491" s="17" t="n">
        <x:f>Summary!B18</x:f>
        <x:v>46419</x:v>
      </x:c>
      <x:c r="B491" s="1" t="str">
        <x:f>'Current inventory'!A113</x:f>
        <x:v>60</x:v>
      </x:c>
      <x:c r="C491" s="1" t="str">
        <x:f>'Current inventory'!B113</x:f>
        <x:v>800WHTE</x:v>
      </x:c>
      <x:c r="D491" s="7" t="n">
        <x:f>A365</x:f>
        <x:v>46388</x:v>
      </x:c>
      <x:c r="E491" s="8" t="n">
        <x:f>L365</x:f>
        <x:v>0</x:v>
      </x:c>
      <x:c r="F491" s="8" t="n">
        <x:f>M365</x:f>
        <x:v>0</x:v>
      </x:c>
      <x:c r="G491" s="8" t="n">
        <x:f>N365</x:f>
        <x:v>0</x:v>
      </x:c>
      <x:c r="H491" s="8" t="n">
        <x:f>SUMIFS('PO detail'!$U$2:$U$672,'PO detail'!$A$2:$A$672,B491,'PO detail'!$B$2:$B$672,C491,'PO detail'!$G$2:$G$672,"&gt;="&amp;D491,'PO detail'!$G$2:$G$672,"&lt;"&amp;A491)</x:f>
        <x:v>0</x:v>
      </x:c>
      <x:c r="I491" s="8" t="n">
        <x:f>SUMIFS('PO detail'!$V$2:$V$672,'PO detail'!$A$2:$A$672,B491,'PO detail'!$B$2:$B$672,C491,'PO detail'!$G$2:$G$672,"&gt;="&amp;D491,'PO detail'!$G$2:$G$672,"&lt;"&amp;A491)</x:f>
        <x:v>0</x:v>
      </x:c>
      <x:c r="J491" s="8" t="n">
        <x:f>SUMIFS('PO detail'!$W$2:$W$672,'PO detail'!$A$2:$A$672,B491,'PO detail'!$B$2:$B$672,C491,'PO detail'!$G$2:$G$672,"&gt;="&amp;D491,'PO detail'!$G$2:$G$672,"&lt;"&amp;A491)</x:f>
        <x:v>0</x:v>
      </x:c>
      <x:c r="K491" s="8" t="n">
        <x:f>'Current inventory'!E113*Summary!$D$6*(A491-D491)/30.4375</x:f>
        <x:v>0</x:v>
      </x:c>
      <x:c r="L491" s="8" t="n">
        <x:f>MAX(0,E491+H491-K491)</x:f>
        <x:v>0</x:v>
      </x:c>
      <x:c r="M491" s="8" t="n">
        <x:f>MAX(0,F491+I491-MAX(0,K491-E491-H491))</x:f>
        <x:v>0</x:v>
      </x:c>
      <x:c r="N491" s="8" t="n">
        <x:f>MAX(0,G491+J491-K491)</x:f>
        <x:v>0</x:v>
      </x:c>
      <x:c r="O491" s="8" t="n">
        <x:f>SUM(L491:N491)</x:f>
        <x:v>0</x:v>
      </x:c>
      <x:c r="P491" s="14" t="n">
        <x:f>'Current inventory'!V113</x:f>
        <x:v>11.44</x:v>
      </x:c>
      <x:c r="Q491" s="14" t="str">
        <x:f>'Current inventory'!W113</x:f>
        <x:v>n.a.</x:v>
      </x:c>
      <x:c r="R491" s="10" t="n">
        <x:f>L491*P491</x:f>
        <x:v>0</x:v>
      </x:c>
      <x:c r="S491" s="10" t="n">
        <x:f>M491*P491</x:f>
        <x:v>0</x:v>
      </x:c>
      <x:c r="T491" s="10" t="n">
        <x:f>N491*P491</x:f>
        <x:v>0</x:v>
      </x:c>
      <x:c r="U491" s="10" t="n">
        <x:f>O491*P491</x:f>
        <x:v>0</x:v>
      </x:c>
      <x:c r="V491" s="10" t="str">
        <x:f>IF(ISNUMBER(Q491),O491*(Q491-P491),"n.a.")</x:f>
        <x:v>n.a.</x:v>
      </x:c>
      <x:c r="W491" s="10" t="n">
        <x:f>IF(ISNUMBER(Q491),U491,0)</x:f>
        <x:v>0</x:v>
      </x:c>
      <x:c r="X491" s="8" t="n">
        <x:f>MAX(0,K491-SUM(E491:J491))</x:f>
        <x:v>0</x:v>
      </x:c>
      <x:c r="Y491" s="1" t="str">
        <x:f>IF(AND(O491&gt;0,NOT(ISNUMBER(Q491))),"No proposed replacement standard",IF(X491&gt;0,"Demand exceeds available stock",""))</x:f>
      </x:c>
      <x:c r="Z491" s="1" t="n">
        <x:f>IF(ISNUMBER(Q491),1,0)</x:f>
        <x:v>0</x:v>
      </x:c>
    </x:row>
    <x:row r="492" ht="21" customHeight="1">
      <x:c r="A492" s="17" t="n">
        <x:f>Summary!B18</x:f>
        <x:v>46419</x:v>
      </x:c>
      <x:c r="B492" s="1" t="str">
        <x:f>'Current inventory'!A114</x:f>
        <x:v>60</x:v>
      </x:c>
      <x:c r="C492" s="1" t="str">
        <x:f>'Current inventory'!B114</x:f>
        <x:v>800BLKTB</x:v>
      </x:c>
      <x:c r="D492" s="7" t="n">
        <x:f>A366</x:f>
        <x:v>46388</x:v>
      </x:c>
      <x:c r="E492" s="8" t="n">
        <x:f>L366</x:f>
        <x:v>0</x:v>
      </x:c>
      <x:c r="F492" s="8" t="n">
        <x:f>M366</x:f>
        <x:v>0</x:v>
      </x:c>
      <x:c r="G492" s="8" t="n">
        <x:f>N366</x:f>
        <x:v>0</x:v>
      </x:c>
      <x:c r="H492" s="8" t="n">
        <x:f>SUMIFS('PO detail'!$U$2:$U$672,'PO detail'!$A$2:$A$672,B492,'PO detail'!$B$2:$B$672,C492,'PO detail'!$G$2:$G$672,"&gt;="&amp;D492,'PO detail'!$G$2:$G$672,"&lt;"&amp;A492)</x:f>
        <x:v>0</x:v>
      </x:c>
      <x:c r="I492" s="8" t="n">
        <x:f>SUMIFS('PO detail'!$V$2:$V$672,'PO detail'!$A$2:$A$672,B492,'PO detail'!$B$2:$B$672,C492,'PO detail'!$G$2:$G$672,"&gt;="&amp;D492,'PO detail'!$G$2:$G$672,"&lt;"&amp;A492)</x:f>
        <x:v>0</x:v>
      </x:c>
      <x:c r="J492" s="8" t="n">
        <x:f>SUMIFS('PO detail'!$W$2:$W$672,'PO detail'!$A$2:$A$672,B492,'PO detail'!$B$2:$B$672,C492,'PO detail'!$G$2:$G$672,"&gt;="&amp;D492,'PO detail'!$G$2:$G$672,"&lt;"&amp;A492)</x:f>
        <x:v>0</x:v>
      </x:c>
      <x:c r="K492" s="8" t="n">
        <x:f>'Current inventory'!E114*Summary!$D$6*(A492-D492)/30.4375</x:f>
        <x:v>0</x:v>
      </x:c>
      <x:c r="L492" s="8" t="n">
        <x:f>MAX(0,E492+H492-K492)</x:f>
        <x:v>0</x:v>
      </x:c>
      <x:c r="M492" s="8" t="n">
        <x:f>MAX(0,F492+I492-MAX(0,K492-E492-H492))</x:f>
        <x:v>0</x:v>
      </x:c>
      <x:c r="N492" s="8" t="n">
        <x:f>MAX(0,G492+J492-K492)</x:f>
        <x:v>0</x:v>
      </x:c>
      <x:c r="O492" s="8" t="n">
        <x:f>SUM(L492:N492)</x:f>
        <x:v>0</x:v>
      </x:c>
      <x:c r="P492" s="14" t="n">
        <x:f>'Current inventory'!V114</x:f>
        <x:v>0</x:v>
      </x:c>
      <x:c r="Q492" s="14" t="str">
        <x:f>'Current inventory'!W114</x:f>
        <x:v>n.a.</x:v>
      </x:c>
      <x:c r="R492" s="10" t="n">
        <x:f>L492*P492</x:f>
        <x:v>0</x:v>
      </x:c>
      <x:c r="S492" s="10" t="n">
        <x:f>M492*P492</x:f>
        <x:v>0</x:v>
      </x:c>
      <x:c r="T492" s="10" t="n">
        <x:f>N492*P492</x:f>
        <x:v>0</x:v>
      </x:c>
      <x:c r="U492" s="10" t="n">
        <x:f>O492*P492</x:f>
        <x:v>0</x:v>
      </x:c>
      <x:c r="V492" s="10" t="str">
        <x:f>IF(ISNUMBER(Q492),O492*(Q492-P492),"n.a.")</x:f>
        <x:v>n.a.</x:v>
      </x:c>
      <x:c r="W492" s="10" t="n">
        <x:f>IF(ISNUMBER(Q492),U492,0)</x:f>
        <x:v>0</x:v>
      </x:c>
      <x:c r="X492" s="8" t="n">
        <x:f>MAX(0,K492-SUM(E492:J492))</x:f>
        <x:v>0</x:v>
      </x:c>
      <x:c r="Y492" s="1" t="str">
        <x:f>IF(AND(O492&gt;0,NOT(ISNUMBER(Q492))),"No proposed replacement standard",IF(X492&gt;0,"Demand exceeds available stock",""))</x:f>
      </x:c>
      <x:c r="Z492" s="1" t="n">
        <x:f>IF(ISNUMBER(Q492),1,0)</x:f>
        <x:v>0</x:v>
      </x:c>
    </x:row>
    <x:row r="493" ht="21" customHeight="1">
      <x:c r="A493" s="17" t="n">
        <x:f>Summary!B18</x:f>
        <x:v>46419</x:v>
      </x:c>
      <x:c r="B493" s="1" t="str">
        <x:f>'Current inventory'!A115</x:f>
        <x:v>60</x:v>
      </x:c>
      <x:c r="C493" s="1" t="str">
        <x:f>'Current inventory'!B115</x:f>
        <x:v>800BMARCSC</x:v>
      </x:c>
      <x:c r="D493" s="7" t="n">
        <x:f>A367</x:f>
        <x:v>46388</x:v>
      </x:c>
      <x:c r="E493" s="8" t="n">
        <x:f>L367</x:f>
        <x:v>0</x:v>
      </x:c>
      <x:c r="F493" s="8" t="n">
        <x:f>M367</x:f>
        <x:v>0</x:v>
      </x:c>
      <x:c r="G493" s="8" t="n">
        <x:f>N367</x:f>
        <x:v>1300</x:v>
      </x:c>
      <x:c r="H493" s="8" t="n">
        <x:f>SUMIFS('PO detail'!$U$2:$U$672,'PO detail'!$A$2:$A$672,B493,'PO detail'!$B$2:$B$672,C493,'PO detail'!$G$2:$G$672,"&gt;="&amp;D493,'PO detail'!$G$2:$G$672,"&lt;"&amp;A493)</x:f>
        <x:v>0</x:v>
      </x:c>
      <x:c r="I493" s="8" t="n">
        <x:f>SUMIFS('PO detail'!$V$2:$V$672,'PO detail'!$A$2:$A$672,B493,'PO detail'!$B$2:$B$672,C493,'PO detail'!$G$2:$G$672,"&gt;="&amp;D493,'PO detail'!$G$2:$G$672,"&lt;"&amp;A493)</x:f>
        <x:v>0</x:v>
      </x:c>
      <x:c r="J493" s="8" t="n">
        <x:f>SUMIFS('PO detail'!$W$2:$W$672,'PO detail'!$A$2:$A$672,B493,'PO detail'!$B$2:$B$672,C493,'PO detail'!$G$2:$G$672,"&gt;="&amp;D493,'PO detail'!$G$2:$G$672,"&lt;"&amp;A493)</x:f>
        <x:v>0</x:v>
      </x:c>
      <x:c r="K493" s="8" t="n">
        <x:f>'Current inventory'!E115*Summary!$D$6*(A493-D493)/30.4375</x:f>
        <x:v>0</x:v>
      </x:c>
      <x:c r="L493" s="8" t="n">
        <x:f>MAX(0,E493+H493-K493)</x:f>
        <x:v>0</x:v>
      </x:c>
      <x:c r="M493" s="8" t="n">
        <x:f>MAX(0,F493+I493-MAX(0,K493-E493-H493))</x:f>
        <x:v>0</x:v>
      </x:c>
      <x:c r="N493" s="8" t="n">
        <x:f>MAX(0,G493+J493-K493)</x:f>
        <x:v>1300</x:v>
      </x:c>
      <x:c r="O493" s="8" t="n">
        <x:f>SUM(L493:N493)</x:f>
        <x:v>1300</x:v>
      </x:c>
      <x:c r="P493" s="14" t="n">
        <x:f>'Current inventory'!V115</x:f>
        <x:v>0.23329999999999998</x:v>
      </x:c>
      <x:c r="Q493" s="14" t="str">
        <x:f>'Current inventory'!W115</x:f>
        <x:v>n.a.</x:v>
      </x:c>
      <x:c r="R493" s="10" t="n">
        <x:f>L493*P493</x:f>
        <x:v>0</x:v>
      </x:c>
      <x:c r="S493" s="10" t="n">
        <x:f>M493*P493</x:f>
        <x:v>0</x:v>
      </x:c>
      <x:c r="T493" s="10" t="n">
        <x:f>N493*P493</x:f>
        <x:v>303.28999999999996</x:v>
      </x:c>
      <x:c r="U493" s="10" t="n">
        <x:f>O493*P493</x:f>
        <x:v>303.28999999999996</x:v>
      </x:c>
      <x:c r="V493" s="10" t="str">
        <x:f>IF(ISNUMBER(Q493),O493*(Q493-P493),"n.a.")</x:f>
        <x:v>n.a.</x:v>
      </x:c>
      <x:c r="W493" s="10" t="n">
        <x:f>IF(ISNUMBER(Q493),U493,0)</x:f>
        <x:v>0</x:v>
      </x:c>
      <x:c r="X493" s="8" t="n">
        <x:f>MAX(0,K493-SUM(E493:J493))</x:f>
        <x:v>0</x:v>
      </x:c>
      <x:c r="Y493" s="1" t="str">
        <x:f>IF(AND(O493&gt;0,NOT(ISNUMBER(Q493))),"No proposed replacement standard",IF(X493&gt;0,"Demand exceeds available stock",""))</x:f>
        <x:v>No proposed replacement standard</x:v>
      </x:c>
      <x:c r="Z493" s="1" t="n">
        <x:f>IF(ISNUMBER(Q493),1,0)</x:f>
        <x:v>0</x:v>
      </x:c>
    </x:row>
    <x:row r="494" ht="21" customHeight="1">
      <x:c r="A494" s="17" t="n">
        <x:f>Summary!B18</x:f>
        <x:v>46419</x:v>
      </x:c>
      <x:c r="B494" s="1" t="str">
        <x:f>'Current inventory'!A116</x:f>
        <x:v>60</x:v>
      </x:c>
      <x:c r="C494" s="1" t="str">
        <x:f>'Current inventory'!B116</x:f>
        <x:v>800BREDASC</x:v>
      </x:c>
      <x:c r="D494" s="7" t="n">
        <x:f>A368</x:f>
        <x:v>46388</x:v>
      </x:c>
      <x:c r="E494" s="8" t="n">
        <x:f>L368</x:f>
        <x:v>0</x:v>
      </x:c>
      <x:c r="F494" s="8" t="n">
        <x:f>M368</x:f>
        <x:v>0</x:v>
      </x:c>
      <x:c r="G494" s="8" t="n">
        <x:f>N368</x:f>
        <x:v>0</x:v>
      </x:c>
      <x:c r="H494" s="8" t="n">
        <x:f>SUMIFS('PO detail'!$U$2:$U$672,'PO detail'!$A$2:$A$672,B494,'PO detail'!$B$2:$B$672,C494,'PO detail'!$G$2:$G$672,"&gt;="&amp;D494,'PO detail'!$G$2:$G$672,"&lt;"&amp;A494)</x:f>
        <x:v>0</x:v>
      </x:c>
      <x:c r="I494" s="8" t="n">
        <x:f>SUMIFS('PO detail'!$V$2:$V$672,'PO detail'!$A$2:$A$672,B494,'PO detail'!$B$2:$B$672,C494,'PO detail'!$G$2:$G$672,"&gt;="&amp;D494,'PO detail'!$G$2:$G$672,"&lt;"&amp;A494)</x:f>
        <x:v>0</x:v>
      </x:c>
      <x:c r="J494" s="8" t="n">
        <x:f>SUMIFS('PO detail'!$W$2:$W$672,'PO detail'!$A$2:$A$672,B494,'PO detail'!$B$2:$B$672,C494,'PO detail'!$G$2:$G$672,"&gt;="&amp;D494,'PO detail'!$G$2:$G$672,"&lt;"&amp;A494)</x:f>
        <x:v>0</x:v>
      </x:c>
      <x:c r="K494" s="8" t="n">
        <x:f>'Current inventory'!E116*Summary!$D$6*(A494-D494)/30.4375</x:f>
        <x:v>0</x:v>
      </x:c>
      <x:c r="L494" s="8" t="n">
        <x:f>MAX(0,E494+H494-K494)</x:f>
        <x:v>0</x:v>
      </x:c>
      <x:c r="M494" s="8" t="n">
        <x:f>MAX(0,F494+I494-MAX(0,K494-E494-H494))</x:f>
        <x:v>0</x:v>
      </x:c>
      <x:c r="N494" s="8" t="n">
        <x:f>MAX(0,G494+J494-K494)</x:f>
        <x:v>0</x:v>
      </x:c>
      <x:c r="O494" s="8" t="n">
        <x:f>SUM(L494:N494)</x:f>
        <x:v>0</x:v>
      </x:c>
      <x:c r="P494" s="14" t="n">
        <x:f>'Current inventory'!V116</x:f>
        <x:v>0.07919999999999999</x:v>
      </x:c>
      <x:c r="Q494" s="14" t="str">
        <x:f>'Current inventory'!W116</x:f>
        <x:v>n.a.</x:v>
      </x:c>
      <x:c r="R494" s="10" t="n">
        <x:f>L494*P494</x:f>
        <x:v>0</x:v>
      </x:c>
      <x:c r="S494" s="10" t="n">
        <x:f>M494*P494</x:f>
        <x:v>0</x:v>
      </x:c>
      <x:c r="T494" s="10" t="n">
        <x:f>N494*P494</x:f>
        <x:v>0</x:v>
      </x:c>
      <x:c r="U494" s="10" t="n">
        <x:f>O494*P494</x:f>
        <x:v>0</x:v>
      </x:c>
      <x:c r="V494" s="10" t="str">
        <x:f>IF(ISNUMBER(Q494),O494*(Q494-P494),"n.a.")</x:f>
        <x:v>n.a.</x:v>
      </x:c>
      <x:c r="W494" s="10" t="n">
        <x:f>IF(ISNUMBER(Q494),U494,0)</x:f>
        <x:v>0</x:v>
      </x:c>
      <x:c r="X494" s="8" t="n">
        <x:f>MAX(0,K494-SUM(E494:J494))</x:f>
        <x:v>0</x:v>
      </x:c>
      <x:c r="Y494" s="1" t="str">
        <x:f>IF(AND(O494&gt;0,NOT(ISNUMBER(Q494))),"No proposed replacement standard",IF(X494&gt;0,"Demand exceeds available stock",""))</x:f>
      </x:c>
      <x:c r="Z494" s="1" t="n">
        <x:f>IF(ISNUMBER(Q494),1,0)</x:f>
        <x:v>0</x:v>
      </x:c>
    </x:row>
    <x:row r="495" ht="21" customHeight="1">
      <x:c r="A495" s="17" t="n">
        <x:f>Summary!B18</x:f>
        <x:v>46419</x:v>
      </x:c>
      <x:c r="B495" s="1" t="str">
        <x:f>'Current inventory'!A117</x:f>
        <x:v>60</x:v>
      </x:c>
      <x:c r="C495" s="1" t="str">
        <x:f>'Current inventory'!B117</x:f>
        <x:v>800BREDBRC</x:v>
      </x:c>
      <x:c r="D495" s="7" t="n">
        <x:f>A369</x:f>
        <x:v>46388</x:v>
      </x:c>
      <x:c r="E495" s="8" t="n">
        <x:f>L369</x:f>
        <x:v>0</x:v>
      </x:c>
      <x:c r="F495" s="8" t="n">
        <x:f>M369</x:f>
        <x:v>0</x:v>
      </x:c>
      <x:c r="G495" s="8" t="n">
        <x:f>N369</x:f>
        <x:v>0</x:v>
      </x:c>
      <x:c r="H495" s="8" t="n">
        <x:f>SUMIFS('PO detail'!$U$2:$U$672,'PO detail'!$A$2:$A$672,B495,'PO detail'!$B$2:$B$672,C495,'PO detail'!$G$2:$G$672,"&gt;="&amp;D495,'PO detail'!$G$2:$G$672,"&lt;"&amp;A495)</x:f>
        <x:v>0</x:v>
      </x:c>
      <x:c r="I495" s="8" t="n">
        <x:f>SUMIFS('PO detail'!$V$2:$V$672,'PO detail'!$A$2:$A$672,B495,'PO detail'!$B$2:$B$672,C495,'PO detail'!$G$2:$G$672,"&gt;="&amp;D495,'PO detail'!$G$2:$G$672,"&lt;"&amp;A495)</x:f>
        <x:v>0</x:v>
      </x:c>
      <x:c r="J495" s="8" t="n">
        <x:f>SUMIFS('PO detail'!$W$2:$W$672,'PO detail'!$A$2:$A$672,B495,'PO detail'!$B$2:$B$672,C495,'PO detail'!$G$2:$G$672,"&gt;="&amp;D495,'PO detail'!$G$2:$G$672,"&lt;"&amp;A495)</x:f>
        <x:v>0</x:v>
      </x:c>
      <x:c r="K495" s="8" t="n">
        <x:f>'Current inventory'!E117*Summary!$D$6*(A495-D495)/30.4375</x:f>
        <x:v>0</x:v>
      </x:c>
      <x:c r="L495" s="8" t="n">
        <x:f>MAX(0,E495+H495-K495)</x:f>
        <x:v>0</x:v>
      </x:c>
      <x:c r="M495" s="8" t="n">
        <x:f>MAX(0,F495+I495-MAX(0,K495-E495-H495))</x:f>
        <x:v>0</x:v>
      </x:c>
      <x:c r="N495" s="8" t="n">
        <x:f>MAX(0,G495+J495-K495)</x:f>
        <x:v>0</x:v>
      </x:c>
      <x:c r="O495" s="8" t="n">
        <x:f>SUM(L495:N495)</x:f>
        <x:v>0</x:v>
      </x:c>
      <x:c r="P495" s="14" t="n">
        <x:f>'Current inventory'!V117</x:f>
        <x:v>0.0898</x:v>
      </x:c>
      <x:c r="Q495" s="14" t="str">
        <x:f>'Current inventory'!W117</x:f>
        <x:v>n.a.</x:v>
      </x:c>
      <x:c r="R495" s="10" t="n">
        <x:f>L495*P495</x:f>
        <x:v>0</x:v>
      </x:c>
      <x:c r="S495" s="10" t="n">
        <x:f>M495*P495</x:f>
        <x:v>0</x:v>
      </x:c>
      <x:c r="T495" s="10" t="n">
        <x:f>N495*P495</x:f>
        <x:v>0</x:v>
      </x:c>
      <x:c r="U495" s="10" t="n">
        <x:f>O495*P495</x:f>
        <x:v>0</x:v>
      </x:c>
      <x:c r="V495" s="10" t="str">
        <x:f>IF(ISNUMBER(Q495),O495*(Q495-P495),"n.a.")</x:f>
        <x:v>n.a.</x:v>
      </x:c>
      <x:c r="W495" s="10" t="n">
        <x:f>IF(ISNUMBER(Q495),U495,0)</x:f>
        <x:v>0</x:v>
      </x:c>
      <x:c r="X495" s="8" t="n">
        <x:f>MAX(0,K495-SUM(E495:J495))</x:f>
        <x:v>0</x:v>
      </x:c>
      <x:c r="Y495" s="1" t="str">
        <x:f>IF(AND(O495&gt;0,NOT(ISNUMBER(Q495))),"No proposed replacement standard",IF(X495&gt;0,"Demand exceeds available stock",""))</x:f>
      </x:c>
      <x:c r="Z495" s="1" t="n">
        <x:f>IF(ISNUMBER(Q495),1,0)</x:f>
        <x:v>0</x:v>
      </x:c>
    </x:row>
    <x:row r="496" ht="21" customHeight="1">
      <x:c r="A496" s="17" t="n">
        <x:f>Summary!B18</x:f>
        <x:v>46419</x:v>
      </x:c>
      <x:c r="B496" s="1" t="str">
        <x:f>'Current inventory'!A118</x:f>
        <x:v>60</x:v>
      </x:c>
      <x:c r="C496" s="1" t="str">
        <x:f>'Current inventory'!B118</x:f>
        <x:v>800WBLKBRC</x:v>
      </x:c>
      <x:c r="D496" s="7" t="n">
        <x:f>A370</x:f>
        <x:v>46388</x:v>
      </x:c>
      <x:c r="E496" s="8" t="n">
        <x:f>L370</x:f>
        <x:v>0</x:v>
      </x:c>
      <x:c r="F496" s="8" t="n">
        <x:f>M370</x:f>
        <x:v>0</x:v>
      </x:c>
      <x:c r="G496" s="8" t="n">
        <x:f>N370</x:f>
        <x:v>0</x:v>
      </x:c>
      <x:c r="H496" s="8" t="n">
        <x:f>SUMIFS('PO detail'!$U$2:$U$672,'PO detail'!$A$2:$A$672,B496,'PO detail'!$B$2:$B$672,C496,'PO detail'!$G$2:$G$672,"&gt;="&amp;D496,'PO detail'!$G$2:$G$672,"&lt;"&amp;A496)</x:f>
        <x:v>0</x:v>
      </x:c>
      <x:c r="I496" s="8" t="n">
        <x:f>SUMIFS('PO detail'!$V$2:$V$672,'PO detail'!$A$2:$A$672,B496,'PO detail'!$B$2:$B$672,C496,'PO detail'!$G$2:$G$672,"&gt;="&amp;D496,'PO detail'!$G$2:$G$672,"&lt;"&amp;A496)</x:f>
        <x:v>0</x:v>
      </x:c>
      <x:c r="J496" s="8" t="n">
        <x:f>SUMIFS('PO detail'!$W$2:$W$672,'PO detail'!$A$2:$A$672,B496,'PO detail'!$B$2:$B$672,C496,'PO detail'!$G$2:$G$672,"&gt;="&amp;D496,'PO detail'!$G$2:$G$672,"&lt;"&amp;A496)</x:f>
        <x:v>0</x:v>
      </x:c>
      <x:c r="K496" s="8" t="n">
        <x:f>'Current inventory'!E118*Summary!$D$6*(A496-D496)/30.4375</x:f>
        <x:v>0</x:v>
      </x:c>
      <x:c r="L496" s="8" t="n">
        <x:f>MAX(0,E496+H496-K496)</x:f>
        <x:v>0</x:v>
      </x:c>
      <x:c r="M496" s="8" t="n">
        <x:f>MAX(0,F496+I496-MAX(0,K496-E496-H496))</x:f>
        <x:v>0</x:v>
      </x:c>
      <x:c r="N496" s="8" t="n">
        <x:f>MAX(0,G496+J496-K496)</x:f>
        <x:v>0</x:v>
      </x:c>
      <x:c r="O496" s="8" t="n">
        <x:f>SUM(L496:N496)</x:f>
        <x:v>0</x:v>
      </x:c>
      <x:c r="P496" s="14" t="n">
        <x:f>'Current inventory'!V118</x:f>
        <x:v>0.14150000000000001</x:v>
      </x:c>
      <x:c r="Q496" s="14" t="str">
        <x:f>'Current inventory'!W118</x:f>
        <x:v>n.a.</x:v>
      </x:c>
      <x:c r="R496" s="10" t="n">
        <x:f>L496*P496</x:f>
        <x:v>0</x:v>
      </x:c>
      <x:c r="S496" s="10" t="n">
        <x:f>M496*P496</x:f>
        <x:v>0</x:v>
      </x:c>
      <x:c r="T496" s="10" t="n">
        <x:f>N496*P496</x:f>
        <x:v>0</x:v>
      </x:c>
      <x:c r="U496" s="10" t="n">
        <x:f>O496*P496</x:f>
        <x:v>0</x:v>
      </x:c>
      <x:c r="V496" s="10" t="str">
        <x:f>IF(ISNUMBER(Q496),O496*(Q496-P496),"n.a.")</x:f>
        <x:v>n.a.</x:v>
      </x:c>
      <x:c r="W496" s="10" t="n">
        <x:f>IF(ISNUMBER(Q496),U496,0)</x:f>
        <x:v>0</x:v>
      </x:c>
      <x:c r="X496" s="8" t="n">
        <x:f>MAX(0,K496-SUM(E496:J496))</x:f>
        <x:v>0</x:v>
      </x:c>
      <x:c r="Y496" s="1" t="str">
        <x:f>IF(AND(O496&gt;0,NOT(ISNUMBER(Q496))),"No proposed replacement standard",IF(X496&gt;0,"Demand exceeds available stock",""))</x:f>
      </x:c>
      <x:c r="Z496" s="1" t="n">
        <x:f>IF(ISNUMBER(Q496),1,0)</x:f>
        <x:v>0</x:v>
      </x:c>
    </x:row>
    <x:row r="497" ht="21" customHeight="1">
      <x:c r="A497" s="17" t="n">
        <x:f>Summary!B18</x:f>
        <x:v>46419</x:v>
      </x:c>
      <x:c r="B497" s="1" t="str">
        <x:f>'Current inventory'!A119</x:f>
        <x:v>60</x:v>
      </x:c>
      <x:c r="C497" s="1" t="str">
        <x:f>'Current inventory'!B119</x:f>
        <x:v>800WFGASC</x:v>
      </x:c>
      <x:c r="D497" s="7" t="n">
        <x:f>A371</x:f>
        <x:v>46388</x:v>
      </x:c>
      <x:c r="E497" s="8" t="n">
        <x:f>L371</x:f>
        <x:v>0</x:v>
      </x:c>
      <x:c r="F497" s="8" t="n">
        <x:f>M371</x:f>
        <x:v>0</x:v>
      </x:c>
      <x:c r="G497" s="8" t="n">
        <x:f>N371</x:f>
        <x:v>0</x:v>
      </x:c>
      <x:c r="H497" s="8" t="n">
        <x:f>SUMIFS('PO detail'!$U$2:$U$672,'PO detail'!$A$2:$A$672,B497,'PO detail'!$B$2:$B$672,C497,'PO detail'!$G$2:$G$672,"&gt;="&amp;D497,'PO detail'!$G$2:$G$672,"&lt;"&amp;A497)</x:f>
        <x:v>0</x:v>
      </x:c>
      <x:c r="I497" s="8" t="n">
        <x:f>SUMIFS('PO detail'!$V$2:$V$672,'PO detail'!$A$2:$A$672,B497,'PO detail'!$B$2:$B$672,C497,'PO detail'!$G$2:$G$672,"&gt;="&amp;D497,'PO detail'!$G$2:$G$672,"&lt;"&amp;A497)</x:f>
        <x:v>0</x:v>
      </x:c>
      <x:c r="J497" s="8" t="n">
        <x:f>SUMIFS('PO detail'!$W$2:$W$672,'PO detail'!$A$2:$A$672,B497,'PO detail'!$B$2:$B$672,C497,'PO detail'!$G$2:$G$672,"&gt;="&amp;D497,'PO detail'!$G$2:$G$672,"&lt;"&amp;A497)</x:f>
        <x:v>0</x:v>
      </x:c>
      <x:c r="K497" s="8" t="n">
        <x:f>'Current inventory'!E119*Summary!$D$6*(A497-D497)/30.4375</x:f>
        <x:v>0</x:v>
      </x:c>
      <x:c r="L497" s="8" t="n">
        <x:f>MAX(0,E497+H497-K497)</x:f>
        <x:v>0</x:v>
      </x:c>
      <x:c r="M497" s="8" t="n">
        <x:f>MAX(0,F497+I497-MAX(0,K497-E497-H497))</x:f>
        <x:v>0</x:v>
      </x:c>
      <x:c r="N497" s="8" t="n">
        <x:f>MAX(0,G497+J497-K497)</x:f>
        <x:v>0</x:v>
      </x:c>
      <x:c r="O497" s="8" t="n">
        <x:f>SUM(L497:N497)</x:f>
        <x:v>0</x:v>
      </x:c>
      <x:c r="P497" s="14" t="n">
        <x:f>'Current inventory'!V119</x:f>
        <x:v>0.1456</x:v>
      </x:c>
      <x:c r="Q497" s="14" t="str">
        <x:f>'Current inventory'!W119</x:f>
        <x:v>n.a.</x:v>
      </x:c>
      <x:c r="R497" s="10" t="n">
        <x:f>L497*P497</x:f>
        <x:v>0</x:v>
      </x:c>
      <x:c r="S497" s="10" t="n">
        <x:f>M497*P497</x:f>
        <x:v>0</x:v>
      </x:c>
      <x:c r="T497" s="10" t="n">
        <x:f>N497*P497</x:f>
        <x:v>0</x:v>
      </x:c>
      <x:c r="U497" s="10" t="n">
        <x:f>O497*P497</x:f>
        <x:v>0</x:v>
      </x:c>
      <x:c r="V497" s="10" t="str">
        <x:f>IF(ISNUMBER(Q497),O497*(Q497-P497),"n.a.")</x:f>
        <x:v>n.a.</x:v>
      </x:c>
      <x:c r="W497" s="10" t="n">
        <x:f>IF(ISNUMBER(Q497),U497,0)</x:f>
        <x:v>0</x:v>
      </x:c>
      <x:c r="X497" s="8" t="n">
        <x:f>MAX(0,K497-SUM(E497:J497))</x:f>
        <x:v>0</x:v>
      </x:c>
      <x:c r="Y497" s="1" t="str">
        <x:f>IF(AND(O497&gt;0,NOT(ISNUMBER(Q497))),"No proposed replacement standard",IF(X497&gt;0,"Demand exceeds available stock",""))</x:f>
      </x:c>
      <x:c r="Z497" s="1" t="n">
        <x:f>IF(ISNUMBER(Q497),1,0)</x:f>
        <x:v>0</x:v>
      </x:c>
    </x:row>
    <x:row r="498" ht="21" customHeight="1">
      <x:c r="A498" s="17" t="n">
        <x:f>Summary!B18</x:f>
        <x:v>46419</x:v>
      </x:c>
      <x:c r="B498" s="1" t="str">
        <x:f>'Current inventory'!A120</x:f>
        <x:v>60</x:v>
      </x:c>
      <x:c r="C498" s="1" t="str">
        <x:f>'Current inventory'!B120</x:f>
        <x:v>800WFGBRC</x:v>
      </x:c>
      <x:c r="D498" s="7" t="n">
        <x:f>A372</x:f>
        <x:v>46388</x:v>
      </x:c>
      <x:c r="E498" s="8" t="n">
        <x:f>L372</x:f>
        <x:v>0</x:v>
      </x:c>
      <x:c r="F498" s="8" t="n">
        <x:f>M372</x:f>
        <x:v>0</x:v>
      </x:c>
      <x:c r="G498" s="8" t="n">
        <x:f>N372</x:f>
        <x:v>0</x:v>
      </x:c>
      <x:c r="H498" s="8" t="n">
        <x:f>SUMIFS('PO detail'!$U$2:$U$672,'PO detail'!$A$2:$A$672,B498,'PO detail'!$B$2:$B$672,C498,'PO detail'!$G$2:$G$672,"&gt;="&amp;D498,'PO detail'!$G$2:$G$672,"&lt;"&amp;A498)</x:f>
        <x:v>0</x:v>
      </x:c>
      <x:c r="I498" s="8" t="n">
        <x:f>SUMIFS('PO detail'!$V$2:$V$672,'PO detail'!$A$2:$A$672,B498,'PO detail'!$B$2:$B$672,C498,'PO detail'!$G$2:$G$672,"&gt;="&amp;D498,'PO detail'!$G$2:$G$672,"&lt;"&amp;A498)</x:f>
        <x:v>0</x:v>
      </x:c>
      <x:c r="J498" s="8" t="n">
        <x:f>SUMIFS('PO detail'!$W$2:$W$672,'PO detail'!$A$2:$A$672,B498,'PO detail'!$B$2:$B$672,C498,'PO detail'!$G$2:$G$672,"&gt;="&amp;D498,'PO detail'!$G$2:$G$672,"&lt;"&amp;A498)</x:f>
        <x:v>0</x:v>
      </x:c>
      <x:c r="K498" s="8" t="n">
        <x:f>'Current inventory'!E120*Summary!$D$6*(A498-D498)/30.4375</x:f>
        <x:v>0</x:v>
      </x:c>
      <x:c r="L498" s="8" t="n">
        <x:f>MAX(0,E498+H498-K498)</x:f>
        <x:v>0</x:v>
      </x:c>
      <x:c r="M498" s="8" t="n">
        <x:f>MAX(0,F498+I498-MAX(0,K498-E498-H498))</x:f>
        <x:v>0</x:v>
      </x:c>
      <x:c r="N498" s="8" t="n">
        <x:f>MAX(0,G498+J498-K498)</x:f>
        <x:v>0</x:v>
      </x:c>
      <x:c r="O498" s="8" t="n">
        <x:f>SUM(L498:N498)</x:f>
        <x:v>0</x:v>
      </x:c>
      <x:c r="P498" s="14" t="n">
        <x:f>'Current inventory'!V120</x:f>
        <x:v>0.18469999999999998</x:v>
      </x:c>
      <x:c r="Q498" s="14" t="str">
        <x:f>'Current inventory'!W120</x:f>
        <x:v>n.a.</x:v>
      </x:c>
      <x:c r="R498" s="10" t="n">
        <x:f>L498*P498</x:f>
        <x:v>0</x:v>
      </x:c>
      <x:c r="S498" s="10" t="n">
        <x:f>M498*P498</x:f>
        <x:v>0</x:v>
      </x:c>
      <x:c r="T498" s="10" t="n">
        <x:f>N498*P498</x:f>
        <x:v>0</x:v>
      </x:c>
      <x:c r="U498" s="10" t="n">
        <x:f>O498*P498</x:f>
        <x:v>0</x:v>
      </x:c>
      <x:c r="V498" s="10" t="str">
        <x:f>IF(ISNUMBER(Q498),O498*(Q498-P498),"n.a.")</x:f>
        <x:v>n.a.</x:v>
      </x:c>
      <x:c r="W498" s="10" t="n">
        <x:f>IF(ISNUMBER(Q498),U498,0)</x:f>
        <x:v>0</x:v>
      </x:c>
      <x:c r="X498" s="8" t="n">
        <x:f>MAX(0,K498-SUM(E498:J498))</x:f>
        <x:v>0</x:v>
      </x:c>
      <x:c r="Y498" s="1" t="str">
        <x:f>IF(AND(O498&gt;0,NOT(ISNUMBER(Q498))),"No proposed replacement standard",IF(X498&gt;0,"Demand exceeds available stock",""))</x:f>
      </x:c>
      <x:c r="Z498" s="1" t="n">
        <x:f>IF(ISNUMBER(Q498),1,0)</x:f>
        <x:v>0</x:v>
      </x:c>
    </x:row>
    <x:row r="499" ht="21" customHeight="1">
      <x:c r="A499" s="17" t="n">
        <x:f>Summary!B18</x:f>
        <x:v>46419</x:v>
      </x:c>
      <x:c r="B499" s="1" t="str">
        <x:f>'Current inventory'!A121</x:f>
        <x:v>60</x:v>
      </x:c>
      <x:c r="C499" s="1" t="str">
        <x:f>'Current inventory'!B121</x:f>
        <x:v>800WMARASC</x:v>
      </x:c>
      <x:c r="D499" s="7" t="n">
        <x:f>A373</x:f>
        <x:v>46388</x:v>
      </x:c>
      <x:c r="E499" s="8" t="n">
        <x:f>L373</x:f>
        <x:v>0</x:v>
      </x:c>
      <x:c r="F499" s="8" t="n">
        <x:f>M373</x:f>
        <x:v>0</x:v>
      </x:c>
      <x:c r="G499" s="8" t="n">
        <x:f>N373</x:f>
        <x:v>0</x:v>
      </x:c>
      <x:c r="H499" s="8" t="n">
        <x:f>SUMIFS('PO detail'!$U$2:$U$672,'PO detail'!$A$2:$A$672,B499,'PO detail'!$B$2:$B$672,C499,'PO detail'!$G$2:$G$672,"&gt;="&amp;D499,'PO detail'!$G$2:$G$672,"&lt;"&amp;A499)</x:f>
        <x:v>0</x:v>
      </x:c>
      <x:c r="I499" s="8" t="n">
        <x:f>SUMIFS('PO detail'!$V$2:$V$672,'PO detail'!$A$2:$A$672,B499,'PO detail'!$B$2:$B$672,C499,'PO detail'!$G$2:$G$672,"&gt;="&amp;D499,'PO detail'!$G$2:$G$672,"&lt;"&amp;A499)</x:f>
        <x:v>0</x:v>
      </x:c>
      <x:c r="J499" s="8" t="n">
        <x:f>SUMIFS('PO detail'!$W$2:$W$672,'PO detail'!$A$2:$A$672,B499,'PO detail'!$B$2:$B$672,C499,'PO detail'!$G$2:$G$672,"&gt;="&amp;D499,'PO detail'!$G$2:$G$672,"&lt;"&amp;A499)</x:f>
        <x:v>0</x:v>
      </x:c>
      <x:c r="K499" s="8" t="n">
        <x:f>'Current inventory'!E121*Summary!$D$6*(A499-D499)/30.4375</x:f>
        <x:v>0</x:v>
      </x:c>
      <x:c r="L499" s="8" t="n">
        <x:f>MAX(0,E499+H499-K499)</x:f>
        <x:v>0</x:v>
      </x:c>
      <x:c r="M499" s="8" t="n">
        <x:f>MAX(0,F499+I499-MAX(0,K499-E499-H499))</x:f>
        <x:v>0</x:v>
      </x:c>
      <x:c r="N499" s="8" t="n">
        <x:f>MAX(0,G499+J499-K499)</x:f>
        <x:v>0</x:v>
      </x:c>
      <x:c r="O499" s="8" t="n">
        <x:f>SUM(L499:N499)</x:f>
        <x:v>0</x:v>
      </x:c>
      <x:c r="P499" s="14" t="n">
        <x:f>'Current inventory'!V121</x:f>
        <x:v>0.1383</x:v>
      </x:c>
      <x:c r="Q499" s="14" t="str">
        <x:f>'Current inventory'!W121</x:f>
        <x:v>n.a.</x:v>
      </x:c>
      <x:c r="R499" s="10" t="n">
        <x:f>L499*P499</x:f>
        <x:v>0</x:v>
      </x:c>
      <x:c r="S499" s="10" t="n">
        <x:f>M499*P499</x:f>
        <x:v>0</x:v>
      </x:c>
      <x:c r="T499" s="10" t="n">
        <x:f>N499*P499</x:f>
        <x:v>0</x:v>
      </x:c>
      <x:c r="U499" s="10" t="n">
        <x:f>O499*P499</x:f>
        <x:v>0</x:v>
      </x:c>
      <x:c r="V499" s="10" t="str">
        <x:f>IF(ISNUMBER(Q499),O499*(Q499-P499),"n.a.")</x:f>
        <x:v>n.a.</x:v>
      </x:c>
      <x:c r="W499" s="10" t="n">
        <x:f>IF(ISNUMBER(Q499),U499,0)</x:f>
        <x:v>0</x:v>
      </x:c>
      <x:c r="X499" s="8" t="n">
        <x:f>MAX(0,K499-SUM(E499:J499))</x:f>
        <x:v>0</x:v>
      </x:c>
      <x:c r="Y499" s="1" t="str">
        <x:f>IF(AND(O499&gt;0,NOT(ISNUMBER(Q499))),"No proposed replacement standard",IF(X499&gt;0,"Demand exceeds available stock",""))</x:f>
      </x:c>
      <x:c r="Z499" s="1" t="n">
        <x:f>IF(ISNUMBER(Q499),1,0)</x:f>
        <x:v>0</x:v>
      </x:c>
    </x:row>
    <x:row r="500" ht="21" customHeight="1">
      <x:c r="A500" s="17" t="n">
        <x:f>Summary!B18</x:f>
        <x:v>46419</x:v>
      </x:c>
      <x:c r="B500" s="1" t="str">
        <x:f>'Current inventory'!A122</x:f>
        <x:v>60</x:v>
      </x:c>
      <x:c r="C500" s="1" t="str">
        <x:f>'Current inventory'!B122</x:f>
        <x:v>800WMARBRC</x:v>
      </x:c>
      <x:c r="D500" s="7" t="n">
        <x:f>A374</x:f>
        <x:v>46388</x:v>
      </x:c>
      <x:c r="E500" s="8" t="n">
        <x:f>L374</x:f>
        <x:v>0</x:v>
      </x:c>
      <x:c r="F500" s="8" t="n">
        <x:f>M374</x:f>
        <x:v>0</x:v>
      </x:c>
      <x:c r="G500" s="8" t="n">
        <x:f>N374</x:f>
        <x:v>0</x:v>
      </x:c>
      <x:c r="H500" s="8" t="n">
        <x:f>SUMIFS('PO detail'!$U$2:$U$672,'PO detail'!$A$2:$A$672,B500,'PO detail'!$B$2:$B$672,C500,'PO detail'!$G$2:$G$672,"&gt;="&amp;D500,'PO detail'!$G$2:$G$672,"&lt;"&amp;A500)</x:f>
        <x:v>0</x:v>
      </x:c>
      <x:c r="I500" s="8" t="n">
        <x:f>SUMIFS('PO detail'!$V$2:$V$672,'PO detail'!$A$2:$A$672,B500,'PO detail'!$B$2:$B$672,C500,'PO detail'!$G$2:$G$672,"&gt;="&amp;D500,'PO detail'!$G$2:$G$672,"&lt;"&amp;A500)</x:f>
        <x:v>0</x:v>
      </x:c>
      <x:c r="J500" s="8" t="n">
        <x:f>SUMIFS('PO detail'!$W$2:$W$672,'PO detail'!$A$2:$A$672,B500,'PO detail'!$B$2:$B$672,C500,'PO detail'!$G$2:$G$672,"&gt;="&amp;D500,'PO detail'!$G$2:$G$672,"&lt;"&amp;A500)</x:f>
        <x:v>0</x:v>
      </x:c>
      <x:c r="K500" s="8" t="n">
        <x:f>'Current inventory'!E122*Summary!$D$6*(A500-D500)/30.4375</x:f>
        <x:v>0</x:v>
      </x:c>
      <x:c r="L500" s="8" t="n">
        <x:f>MAX(0,E500+H500-K500)</x:f>
        <x:v>0</x:v>
      </x:c>
      <x:c r="M500" s="8" t="n">
        <x:f>MAX(0,F500+I500-MAX(0,K500-E500-H500))</x:f>
        <x:v>0</x:v>
      </x:c>
      <x:c r="N500" s="8" t="n">
        <x:f>MAX(0,G500+J500-K500)</x:f>
        <x:v>0</x:v>
      </x:c>
      <x:c r="O500" s="8" t="n">
        <x:f>SUM(L500:N500)</x:f>
        <x:v>0</x:v>
      </x:c>
      <x:c r="P500" s="14" t="n">
        <x:f>'Current inventory'!V122</x:f>
        <x:v>0.17350000000000002</x:v>
      </x:c>
      <x:c r="Q500" s="14" t="str">
        <x:f>'Current inventory'!W122</x:f>
        <x:v>n.a.</x:v>
      </x:c>
      <x:c r="R500" s="10" t="n">
        <x:f>L500*P500</x:f>
        <x:v>0</x:v>
      </x:c>
      <x:c r="S500" s="10" t="n">
        <x:f>M500*P500</x:f>
        <x:v>0</x:v>
      </x:c>
      <x:c r="T500" s="10" t="n">
        <x:f>N500*P500</x:f>
        <x:v>0</x:v>
      </x:c>
      <x:c r="U500" s="10" t="n">
        <x:f>O500*P500</x:f>
        <x:v>0</x:v>
      </x:c>
      <x:c r="V500" s="10" t="str">
        <x:f>IF(ISNUMBER(Q500),O500*(Q500-P500),"n.a.")</x:f>
        <x:v>n.a.</x:v>
      </x:c>
      <x:c r="W500" s="10" t="n">
        <x:f>IF(ISNUMBER(Q500),U500,0)</x:f>
        <x:v>0</x:v>
      </x:c>
      <x:c r="X500" s="8" t="n">
        <x:f>MAX(0,K500-SUM(E500:J500))</x:f>
        <x:v>0</x:v>
      </x:c>
      <x:c r="Y500" s="1" t="str">
        <x:f>IF(AND(O500&gt;0,NOT(ISNUMBER(Q500))),"No proposed replacement standard",IF(X500&gt;0,"Demand exceeds available stock",""))</x:f>
      </x:c>
      <x:c r="Z500" s="1" t="n">
        <x:f>IF(ISNUMBER(Q500),1,0)</x:f>
        <x:v>0</x:v>
      </x:c>
    </x:row>
    <x:row r="501" ht="21" customHeight="1">
      <x:c r="A501" s="17" t="n">
        <x:f>Summary!B18</x:f>
        <x:v>46419</x:v>
      </x:c>
      <x:c r="B501" s="1" t="str">
        <x:f>'Current inventory'!A123</x:f>
        <x:v>60</x:v>
      </x:c>
      <x:c r="C501" s="1" t="str">
        <x:f>'Current inventory'!B123</x:f>
        <x:v>800WNAVBRC</x:v>
      </x:c>
      <x:c r="D501" s="7" t="n">
        <x:f>A375</x:f>
        <x:v>46388</x:v>
      </x:c>
      <x:c r="E501" s="8" t="n">
        <x:f>L375</x:f>
        <x:v>0</x:v>
      </x:c>
      <x:c r="F501" s="8" t="n">
        <x:f>M375</x:f>
        <x:v>0</x:v>
      </x:c>
      <x:c r="G501" s="8" t="n">
        <x:f>N375</x:f>
        <x:v>0</x:v>
      </x:c>
      <x:c r="H501" s="8" t="n">
        <x:f>SUMIFS('PO detail'!$U$2:$U$672,'PO detail'!$A$2:$A$672,B501,'PO detail'!$B$2:$B$672,C501,'PO detail'!$G$2:$G$672,"&gt;="&amp;D501,'PO detail'!$G$2:$G$672,"&lt;"&amp;A501)</x:f>
        <x:v>0</x:v>
      </x:c>
      <x:c r="I501" s="8" t="n">
        <x:f>SUMIFS('PO detail'!$V$2:$V$672,'PO detail'!$A$2:$A$672,B501,'PO detail'!$B$2:$B$672,C501,'PO detail'!$G$2:$G$672,"&gt;="&amp;D501,'PO detail'!$G$2:$G$672,"&lt;"&amp;A501)</x:f>
        <x:v>0</x:v>
      </x:c>
      <x:c r="J501" s="8" t="n">
        <x:f>SUMIFS('PO detail'!$W$2:$W$672,'PO detail'!$A$2:$A$672,B501,'PO detail'!$B$2:$B$672,C501,'PO detail'!$G$2:$G$672,"&gt;="&amp;D501,'PO detail'!$G$2:$G$672,"&lt;"&amp;A501)</x:f>
        <x:v>0</x:v>
      </x:c>
      <x:c r="K501" s="8" t="n">
        <x:f>'Current inventory'!E123*Summary!$D$6*(A501-D501)/30.4375</x:f>
        <x:v>0</x:v>
      </x:c>
      <x:c r="L501" s="8" t="n">
        <x:f>MAX(0,E501+H501-K501)</x:f>
        <x:v>0</x:v>
      </x:c>
      <x:c r="M501" s="8" t="n">
        <x:f>MAX(0,F501+I501-MAX(0,K501-E501-H501))</x:f>
        <x:v>0</x:v>
      </x:c>
      <x:c r="N501" s="8" t="n">
        <x:f>MAX(0,G501+J501-K501)</x:f>
        <x:v>0</x:v>
      </x:c>
      <x:c r="O501" s="8" t="n">
        <x:f>SUM(L501:N501)</x:f>
        <x:v>0</x:v>
      </x:c>
      <x:c r="P501" s="14" t="n">
        <x:f>'Current inventory'!V123</x:f>
        <x:v>0.17350000000000002</x:v>
      </x:c>
      <x:c r="Q501" s="14" t="str">
        <x:f>'Current inventory'!W123</x:f>
        <x:v>n.a.</x:v>
      </x:c>
      <x:c r="R501" s="10" t="n">
        <x:f>L501*P501</x:f>
        <x:v>0</x:v>
      </x:c>
      <x:c r="S501" s="10" t="n">
        <x:f>M501*P501</x:f>
        <x:v>0</x:v>
      </x:c>
      <x:c r="T501" s="10" t="n">
        <x:f>N501*P501</x:f>
        <x:v>0</x:v>
      </x:c>
      <x:c r="U501" s="10" t="n">
        <x:f>O501*P501</x:f>
        <x:v>0</x:v>
      </x:c>
      <x:c r="V501" s="10" t="str">
        <x:f>IF(ISNUMBER(Q501),O501*(Q501-P501),"n.a.")</x:f>
        <x:v>n.a.</x:v>
      </x:c>
      <x:c r="W501" s="10" t="n">
        <x:f>IF(ISNUMBER(Q501),U501,0)</x:f>
        <x:v>0</x:v>
      </x:c>
      <x:c r="X501" s="8" t="n">
        <x:f>MAX(0,K501-SUM(E501:J501))</x:f>
        <x:v>0</x:v>
      </x:c>
      <x:c r="Y501" s="1" t="str">
        <x:f>IF(AND(O501&gt;0,NOT(ISNUMBER(Q501))),"No proposed replacement standard",IF(X501&gt;0,"Demand exceeds available stock",""))</x:f>
      </x:c>
      <x:c r="Z501" s="1" t="n">
        <x:f>IF(ISNUMBER(Q501),1,0)</x:f>
        <x:v>0</x:v>
      </x:c>
    </x:row>
    <x:row r="502" ht="21" customHeight="1">
      <x:c r="A502" s="17" t="n">
        <x:f>Summary!B18</x:f>
        <x:v>46419</x:v>
      </x:c>
      <x:c r="B502" s="1" t="str">
        <x:f>'Current inventory'!A124</x:f>
        <x:v>60</x:v>
      </x:c>
      <x:c r="C502" s="1" t="str">
        <x:f>'Current inventory'!B124</x:f>
        <x:v>800WREDASC</x:v>
      </x:c>
      <x:c r="D502" s="7" t="n">
        <x:f>A376</x:f>
        <x:v>46388</x:v>
      </x:c>
      <x:c r="E502" s="8" t="n">
        <x:f>L376</x:f>
        <x:v>0</x:v>
      </x:c>
      <x:c r="F502" s="8" t="n">
        <x:f>M376</x:f>
        <x:v>0</x:v>
      </x:c>
      <x:c r="G502" s="8" t="n">
        <x:f>N376</x:f>
        <x:v>0</x:v>
      </x:c>
      <x:c r="H502" s="8" t="n">
        <x:f>SUMIFS('PO detail'!$U$2:$U$672,'PO detail'!$A$2:$A$672,B502,'PO detail'!$B$2:$B$672,C502,'PO detail'!$G$2:$G$672,"&gt;="&amp;D502,'PO detail'!$G$2:$G$672,"&lt;"&amp;A502)</x:f>
        <x:v>0</x:v>
      </x:c>
      <x:c r="I502" s="8" t="n">
        <x:f>SUMIFS('PO detail'!$V$2:$V$672,'PO detail'!$A$2:$A$672,B502,'PO detail'!$B$2:$B$672,C502,'PO detail'!$G$2:$G$672,"&gt;="&amp;D502,'PO detail'!$G$2:$G$672,"&lt;"&amp;A502)</x:f>
        <x:v>0</x:v>
      </x:c>
      <x:c r="J502" s="8" t="n">
        <x:f>SUMIFS('PO detail'!$W$2:$W$672,'PO detail'!$A$2:$A$672,B502,'PO detail'!$B$2:$B$672,C502,'PO detail'!$G$2:$G$672,"&gt;="&amp;D502,'PO detail'!$G$2:$G$672,"&lt;"&amp;A502)</x:f>
        <x:v>0</x:v>
      </x:c>
      <x:c r="K502" s="8" t="n">
        <x:f>'Current inventory'!E124*Summary!$D$6*(A502-D502)/30.4375</x:f>
        <x:v>0</x:v>
      </x:c>
      <x:c r="L502" s="8" t="n">
        <x:f>MAX(0,E502+H502-K502)</x:f>
        <x:v>0</x:v>
      </x:c>
      <x:c r="M502" s="8" t="n">
        <x:f>MAX(0,F502+I502-MAX(0,K502-E502-H502))</x:f>
        <x:v>0</x:v>
      </x:c>
      <x:c r="N502" s="8" t="n">
        <x:f>MAX(0,G502+J502-K502)</x:f>
        <x:v>0</x:v>
      </x:c>
      <x:c r="O502" s="8" t="n">
        <x:f>SUM(L502:N502)</x:f>
        <x:v>0</x:v>
      </x:c>
      <x:c r="P502" s="14" t="n">
        <x:f>'Current inventory'!V124</x:f>
        <x:v>0.07919999999999999</x:v>
      </x:c>
      <x:c r="Q502" s="14" t="str">
        <x:f>'Current inventory'!W124</x:f>
        <x:v>n.a.</x:v>
      </x:c>
      <x:c r="R502" s="10" t="n">
        <x:f>L502*P502</x:f>
        <x:v>0</x:v>
      </x:c>
      <x:c r="S502" s="10" t="n">
        <x:f>M502*P502</x:f>
        <x:v>0</x:v>
      </x:c>
      <x:c r="T502" s="10" t="n">
        <x:f>N502*P502</x:f>
        <x:v>0</x:v>
      </x:c>
      <x:c r="U502" s="10" t="n">
        <x:f>O502*P502</x:f>
        <x:v>0</x:v>
      </x:c>
      <x:c r="V502" s="10" t="str">
        <x:f>IF(ISNUMBER(Q502),O502*(Q502-P502),"n.a.")</x:f>
        <x:v>n.a.</x:v>
      </x:c>
      <x:c r="W502" s="10" t="n">
        <x:f>IF(ISNUMBER(Q502),U502,0)</x:f>
        <x:v>0</x:v>
      </x:c>
      <x:c r="X502" s="8" t="n">
        <x:f>MAX(0,K502-SUM(E502:J502))</x:f>
        <x:v>0</x:v>
      </x:c>
      <x:c r="Y502" s="1" t="str">
        <x:f>IF(AND(O502&gt;0,NOT(ISNUMBER(Q502))),"No proposed replacement standard",IF(X502&gt;0,"Demand exceeds available stock",""))</x:f>
      </x:c>
      <x:c r="Z502" s="1" t="n">
        <x:f>IF(ISNUMBER(Q502),1,0)</x:f>
        <x:v>0</x:v>
      </x:c>
    </x:row>
    <x:row r="503" ht="21" customHeight="1">
      <x:c r="A503" s="17" t="n">
        <x:f>Summary!B18</x:f>
        <x:v>46419</x:v>
      </x:c>
      <x:c r="B503" s="1" t="str">
        <x:f>'Current inventory'!A125</x:f>
        <x:v>60</x:v>
      </x:c>
      <x:c r="C503" s="1" t="str">
        <x:f>'Current inventory'!B125</x:f>
        <x:v>800WREDBRC</x:v>
      </x:c>
      <x:c r="D503" s="7" t="n">
        <x:f>A377</x:f>
        <x:v>46388</x:v>
      </x:c>
      <x:c r="E503" s="8" t="n">
        <x:f>L377</x:f>
        <x:v>0</x:v>
      </x:c>
      <x:c r="F503" s="8" t="n">
        <x:f>M377</x:f>
        <x:v>0</x:v>
      </x:c>
      <x:c r="G503" s="8" t="n">
        <x:f>N377</x:f>
        <x:v>0</x:v>
      </x:c>
      <x:c r="H503" s="8" t="n">
        <x:f>SUMIFS('PO detail'!$U$2:$U$672,'PO detail'!$A$2:$A$672,B503,'PO detail'!$B$2:$B$672,C503,'PO detail'!$G$2:$G$672,"&gt;="&amp;D503,'PO detail'!$G$2:$G$672,"&lt;"&amp;A503)</x:f>
        <x:v>0</x:v>
      </x:c>
      <x:c r="I503" s="8" t="n">
        <x:f>SUMIFS('PO detail'!$V$2:$V$672,'PO detail'!$A$2:$A$672,B503,'PO detail'!$B$2:$B$672,C503,'PO detail'!$G$2:$G$672,"&gt;="&amp;D503,'PO detail'!$G$2:$G$672,"&lt;"&amp;A503)</x:f>
        <x:v>0</x:v>
      </x:c>
      <x:c r="J503" s="8" t="n">
        <x:f>SUMIFS('PO detail'!$W$2:$W$672,'PO detail'!$A$2:$A$672,B503,'PO detail'!$B$2:$B$672,C503,'PO detail'!$G$2:$G$672,"&gt;="&amp;D503,'PO detail'!$G$2:$G$672,"&lt;"&amp;A503)</x:f>
        <x:v>0</x:v>
      </x:c>
      <x:c r="K503" s="8" t="n">
        <x:f>'Current inventory'!E125*Summary!$D$6*(A503-D503)/30.4375</x:f>
        <x:v>0</x:v>
      </x:c>
      <x:c r="L503" s="8" t="n">
        <x:f>MAX(0,E503+H503-K503)</x:f>
        <x:v>0</x:v>
      </x:c>
      <x:c r="M503" s="8" t="n">
        <x:f>MAX(0,F503+I503-MAX(0,K503-E503-H503))</x:f>
        <x:v>0</x:v>
      </x:c>
      <x:c r="N503" s="8" t="n">
        <x:f>MAX(0,G503+J503-K503)</x:f>
        <x:v>0</x:v>
      </x:c>
      <x:c r="O503" s="8" t="n">
        <x:f>SUM(L503:N503)</x:f>
        <x:v>0</x:v>
      </x:c>
      <x:c r="P503" s="14" t="n">
        <x:f>'Current inventory'!V125</x:f>
        <x:v>0.0898</x:v>
      </x:c>
      <x:c r="Q503" s="14" t="str">
        <x:f>'Current inventory'!W125</x:f>
        <x:v>n.a.</x:v>
      </x:c>
      <x:c r="R503" s="10" t="n">
        <x:f>L503*P503</x:f>
        <x:v>0</x:v>
      </x:c>
      <x:c r="S503" s="10" t="n">
        <x:f>M503*P503</x:f>
        <x:v>0</x:v>
      </x:c>
      <x:c r="T503" s="10" t="n">
        <x:f>N503*P503</x:f>
        <x:v>0</x:v>
      </x:c>
      <x:c r="U503" s="10" t="n">
        <x:f>O503*P503</x:f>
        <x:v>0</x:v>
      </x:c>
      <x:c r="V503" s="10" t="str">
        <x:f>IF(ISNUMBER(Q503),O503*(Q503-P503),"n.a.")</x:f>
        <x:v>n.a.</x:v>
      </x:c>
      <x:c r="W503" s="10" t="n">
        <x:f>IF(ISNUMBER(Q503),U503,0)</x:f>
        <x:v>0</x:v>
      </x:c>
      <x:c r="X503" s="8" t="n">
        <x:f>MAX(0,K503-SUM(E503:J503))</x:f>
        <x:v>0</x:v>
      </x:c>
      <x:c r="Y503" s="1" t="str">
        <x:f>IF(AND(O503&gt;0,NOT(ISNUMBER(Q503))),"No proposed replacement standard",IF(X503&gt;0,"Demand exceeds available stock",""))</x:f>
      </x:c>
      <x:c r="Z503" s="1" t="n">
        <x:f>IF(ISNUMBER(Q503),1,0)</x:f>
        <x:v>0</x:v>
      </x:c>
    </x:row>
    <x:row r="504" ht="21" customHeight="1">
      <x:c r="A504" s="17" t="n">
        <x:f>Summary!B18</x:f>
        <x:v>46419</x:v>
      </x:c>
      <x:c r="B504" s="1" t="str">
        <x:f>'Current inventory'!A126</x:f>
        <x:v>60</x:v>
      </x:c>
      <x:c r="C504" s="1" t="str">
        <x:f>'Current inventory'!B126</x:f>
        <x:v>800WWHTASC</x:v>
      </x:c>
      <x:c r="D504" s="7" t="n">
        <x:f>A378</x:f>
        <x:v>46388</x:v>
      </x:c>
      <x:c r="E504" s="8" t="n">
        <x:f>L378</x:f>
        <x:v>0</x:v>
      </x:c>
      <x:c r="F504" s="8" t="n">
        <x:f>M378</x:f>
        <x:v>0</x:v>
      </x:c>
      <x:c r="G504" s="8" t="n">
        <x:f>N378</x:f>
        <x:v>0</x:v>
      </x:c>
      <x:c r="H504" s="8" t="n">
        <x:f>SUMIFS('PO detail'!$U$2:$U$672,'PO detail'!$A$2:$A$672,B504,'PO detail'!$B$2:$B$672,C504,'PO detail'!$G$2:$G$672,"&gt;="&amp;D504,'PO detail'!$G$2:$G$672,"&lt;"&amp;A504)</x:f>
        <x:v>0</x:v>
      </x:c>
      <x:c r="I504" s="8" t="n">
        <x:f>SUMIFS('PO detail'!$V$2:$V$672,'PO detail'!$A$2:$A$672,B504,'PO detail'!$B$2:$B$672,C504,'PO detail'!$G$2:$G$672,"&gt;="&amp;D504,'PO detail'!$G$2:$G$672,"&lt;"&amp;A504)</x:f>
        <x:v>0</x:v>
      </x:c>
      <x:c r="J504" s="8" t="n">
        <x:f>SUMIFS('PO detail'!$W$2:$W$672,'PO detail'!$A$2:$A$672,B504,'PO detail'!$B$2:$B$672,C504,'PO detail'!$G$2:$G$672,"&gt;="&amp;D504,'PO detail'!$G$2:$G$672,"&lt;"&amp;A504)</x:f>
        <x:v>0</x:v>
      </x:c>
      <x:c r="K504" s="8" t="n">
        <x:f>'Current inventory'!E126*Summary!$D$6*(A504-D504)/30.4375</x:f>
        <x:v>0</x:v>
      </x:c>
      <x:c r="L504" s="8" t="n">
        <x:f>MAX(0,E504+H504-K504)</x:f>
        <x:v>0</x:v>
      </x:c>
      <x:c r="M504" s="8" t="n">
        <x:f>MAX(0,F504+I504-MAX(0,K504-E504-H504))</x:f>
        <x:v>0</x:v>
      </x:c>
      <x:c r="N504" s="8" t="n">
        <x:f>MAX(0,G504+J504-K504)</x:f>
        <x:v>0</x:v>
      </x:c>
      <x:c r="O504" s="8" t="n">
        <x:f>SUM(L504:N504)</x:f>
        <x:v>0</x:v>
      </x:c>
      <x:c r="P504" s="14" t="n">
        <x:f>'Current inventory'!V126</x:f>
        <x:v>0.1456</x:v>
      </x:c>
      <x:c r="Q504" s="14" t="str">
        <x:f>'Current inventory'!W126</x:f>
        <x:v>n.a.</x:v>
      </x:c>
      <x:c r="R504" s="10" t="n">
        <x:f>L504*P504</x:f>
        <x:v>0</x:v>
      </x:c>
      <x:c r="S504" s="10" t="n">
        <x:f>M504*P504</x:f>
        <x:v>0</x:v>
      </x:c>
      <x:c r="T504" s="10" t="n">
        <x:f>N504*P504</x:f>
        <x:v>0</x:v>
      </x:c>
      <x:c r="U504" s="10" t="n">
        <x:f>O504*P504</x:f>
        <x:v>0</x:v>
      </x:c>
      <x:c r="V504" s="10" t="str">
        <x:f>IF(ISNUMBER(Q504),O504*(Q504-P504),"n.a.")</x:f>
        <x:v>n.a.</x:v>
      </x:c>
      <x:c r="W504" s="10" t="n">
        <x:f>IF(ISNUMBER(Q504),U504,0)</x:f>
        <x:v>0</x:v>
      </x:c>
      <x:c r="X504" s="8" t="n">
        <x:f>MAX(0,K504-SUM(E504:J504))</x:f>
        <x:v>0</x:v>
      </x:c>
      <x:c r="Y504" s="1" t="str">
        <x:f>IF(AND(O504&gt;0,NOT(ISNUMBER(Q504))),"No proposed replacement standard",IF(X504&gt;0,"Demand exceeds available stock",""))</x:f>
      </x:c>
      <x:c r="Z504" s="1" t="n">
        <x:f>IF(ISNUMBER(Q504),1,0)</x:f>
        <x:v>0</x:v>
      </x:c>
    </x:row>
    <x:row r="505" ht="21" customHeight="1">
      <x:c r="A505" s="17" t="n">
        <x:f>Summary!B18</x:f>
        <x:v>46419</x:v>
      </x:c>
      <x:c r="B505" s="1" t="str">
        <x:f>'Current inventory'!A127</x:f>
        <x:v>60</x:v>
      </x:c>
      <x:c r="C505" s="1" t="str">
        <x:f>'Current inventory'!B127</x:f>
        <x:v>800WWHTBRC</x:v>
      </x:c>
      <x:c r="D505" s="7" t="n">
        <x:f>A379</x:f>
        <x:v>46388</x:v>
      </x:c>
      <x:c r="E505" s="8" t="n">
        <x:f>L379</x:f>
        <x:v>0</x:v>
      </x:c>
      <x:c r="F505" s="8" t="n">
        <x:f>M379</x:f>
        <x:v>0</x:v>
      </x:c>
      <x:c r="G505" s="8" t="n">
        <x:f>N379</x:f>
        <x:v>0</x:v>
      </x:c>
      <x:c r="H505" s="8" t="n">
        <x:f>SUMIFS('PO detail'!$U$2:$U$672,'PO detail'!$A$2:$A$672,B505,'PO detail'!$B$2:$B$672,C505,'PO detail'!$G$2:$G$672,"&gt;="&amp;D505,'PO detail'!$G$2:$G$672,"&lt;"&amp;A505)</x:f>
        <x:v>0</x:v>
      </x:c>
      <x:c r="I505" s="8" t="n">
        <x:f>SUMIFS('PO detail'!$V$2:$V$672,'PO detail'!$A$2:$A$672,B505,'PO detail'!$B$2:$B$672,C505,'PO detail'!$G$2:$G$672,"&gt;="&amp;D505,'PO detail'!$G$2:$G$672,"&lt;"&amp;A505)</x:f>
        <x:v>0</x:v>
      </x:c>
      <x:c r="J505" s="8" t="n">
        <x:f>SUMIFS('PO detail'!$W$2:$W$672,'PO detail'!$A$2:$A$672,B505,'PO detail'!$B$2:$B$672,C505,'PO detail'!$G$2:$G$672,"&gt;="&amp;D505,'PO detail'!$G$2:$G$672,"&lt;"&amp;A505)</x:f>
        <x:v>0</x:v>
      </x:c>
      <x:c r="K505" s="8" t="n">
        <x:f>'Current inventory'!E127*Summary!$D$6*(A505-D505)/30.4375</x:f>
        <x:v>0</x:v>
      </x:c>
      <x:c r="L505" s="8" t="n">
        <x:f>MAX(0,E505+H505-K505)</x:f>
        <x:v>0</x:v>
      </x:c>
      <x:c r="M505" s="8" t="n">
        <x:f>MAX(0,F505+I505-MAX(0,K505-E505-H505))</x:f>
        <x:v>0</x:v>
      </x:c>
      <x:c r="N505" s="8" t="n">
        <x:f>MAX(0,G505+J505-K505)</x:f>
        <x:v>0</x:v>
      </x:c>
      <x:c r="O505" s="8" t="n">
        <x:f>SUM(L505:N505)</x:f>
        <x:v>0</x:v>
      </x:c>
      <x:c r="P505" s="14" t="n">
        <x:f>'Current inventory'!V127</x:f>
        <x:v>0.18469999999999998</x:v>
      </x:c>
      <x:c r="Q505" s="14" t="str">
        <x:f>'Current inventory'!W127</x:f>
        <x:v>n.a.</x:v>
      </x:c>
      <x:c r="R505" s="10" t="n">
        <x:f>L505*P505</x:f>
        <x:v>0</x:v>
      </x:c>
      <x:c r="S505" s="10" t="n">
        <x:f>M505*P505</x:f>
        <x:v>0</x:v>
      </x:c>
      <x:c r="T505" s="10" t="n">
        <x:f>N505*P505</x:f>
        <x:v>0</x:v>
      </x:c>
      <x:c r="U505" s="10" t="n">
        <x:f>O505*P505</x:f>
        <x:v>0</x:v>
      </x:c>
      <x:c r="V505" s="10" t="str">
        <x:f>IF(ISNUMBER(Q505),O505*(Q505-P505),"n.a.")</x:f>
        <x:v>n.a.</x:v>
      </x:c>
      <x:c r="W505" s="10" t="n">
        <x:f>IF(ISNUMBER(Q505),U505,0)</x:f>
        <x:v>0</x:v>
      </x:c>
      <x:c r="X505" s="8" t="n">
        <x:f>MAX(0,K505-SUM(E505:J505))</x:f>
        <x:v>0</x:v>
      </x:c>
      <x:c r="Y505" s="1" t="str">
        <x:f>IF(AND(O505&gt;0,NOT(ISNUMBER(Q505))),"No proposed replacement standard",IF(X505&gt;0,"Demand exceeds available stock",""))</x:f>
      </x:c>
      <x:c r="Z505" s="1" t="n">
        <x:f>IF(ISNUMBER(Q505),1,0)</x:f>
        <x:v>0</x:v>
      </x:c>
    </x:row>
    <x:row r="506" ht="21" customHeight="1">
      <x:c r="A506" s="17" t="n">
        <x:f>Summary!B19</x:f>
        <x:v>46447</x:v>
      </x:c>
      <x:c r="B506" s="1" t="str">
        <x:f>'Current inventory'!A2</x:f>
        <x:v>10</x:v>
      </x:c>
      <x:c r="C506" s="1" t="str">
        <x:f>'Current inventory'!B2</x:f>
        <x:v>800BBLKASC</x:v>
      </x:c>
      <x:c r="D506" s="7" t="n">
        <x:f>A380</x:f>
        <x:v>46419</x:v>
      </x:c>
      <x:c r="E506" s="8" t="n">
        <x:f>L380</x:f>
        <x:v>0</x:v>
      </x:c>
      <x:c r="F506" s="8" t="n">
        <x:f>M380</x:f>
        <x:v>635299.850513347</x:v>
      </x:c>
      <x:c r="G506" s="8" t="n">
        <x:f>N380</x:f>
        <x:v>0</x:v>
      </x:c>
      <x:c r="H506" s="8" t="n">
        <x:f>SUMIFS('PO detail'!$U$2:$U$672,'PO detail'!$A$2:$A$672,B506,'PO detail'!$B$2:$B$672,C506,'PO detail'!$G$2:$G$672,"&gt;="&amp;D506,'PO detail'!$G$2:$G$672,"&lt;"&amp;A506)</x:f>
        <x:v>0</x:v>
      </x:c>
      <x:c r="I506" s="8" t="n">
        <x:f>SUMIFS('PO detail'!$V$2:$V$672,'PO detail'!$A$2:$A$672,B506,'PO detail'!$B$2:$B$672,C506,'PO detail'!$G$2:$G$672,"&gt;="&amp;D506,'PO detail'!$G$2:$G$672,"&lt;"&amp;A506)</x:f>
        <x:v>0</x:v>
      </x:c>
      <x:c r="J506" s="8" t="n">
        <x:f>SUMIFS('PO detail'!$W$2:$W$672,'PO detail'!$A$2:$A$672,B506,'PO detail'!$B$2:$B$672,C506,'PO detail'!$G$2:$G$672,"&gt;="&amp;D506,'PO detail'!$G$2:$G$672,"&lt;"&amp;A506)</x:f>
        <x:v>0</x:v>
      </x:c>
      <x:c r="K506" s="8" t="n">
        <x:f>'Current inventory'!E2*Summary!$D$6*(A506-D506)/30.4375</x:f>
        <x:v>142142.6450924025</x:v>
      </x:c>
      <x:c r="L506" s="8" t="n">
        <x:f>MAX(0,E506+H506-K506)</x:f>
        <x:v>0</x:v>
      </x:c>
      <x:c r="M506" s="8" t="n">
        <x:f>MAX(0,F506+I506-MAX(0,K506-E506-H506))</x:f>
        <x:v>493157.2054209445</x:v>
      </x:c>
      <x:c r="N506" s="8" t="n">
        <x:f>MAX(0,G506+J506-K506)</x:f>
        <x:v>0</x:v>
      </x:c>
      <x:c r="O506" s="8" t="n">
        <x:f>SUM(L506:N506)</x:f>
        <x:v>493157.2054209445</x:v>
      </x:c>
      <x:c r="P506" s="14" t="n">
        <x:f>'Current inventory'!V2</x:f>
        <x:v>0.1229</x:v>
      </x:c>
      <x:c r="Q506" s="14" t="n">
        <x:f>'Current inventory'!W2</x:f>
        <x:v>0.12841500000000003</x:v>
      </x:c>
      <x:c r="R506" s="10" t="n">
        <x:f>L506*P506</x:f>
        <x:v>0</x:v>
      </x:c>
      <x:c r="S506" s="10" t="n">
        <x:f>M506*P506</x:f>
        <x:v>60609.020546234075</x:v>
      </x:c>
      <x:c r="T506" s="10" t="n">
        <x:f>N506*P506</x:f>
        <x:v>0</x:v>
      </x:c>
      <x:c r="U506" s="10" t="n">
        <x:f>O506*P506</x:f>
        <x:v>60609.020546234075</x:v>
      </x:c>
      <x:c r="V506" s="10" t="n">
        <x:f>IF(ISNUMBER(Q506),O506*(Q506-P506),"n.a.")</x:f>
        <x:v>2719.7619878965256</x:v>
      </x:c>
      <x:c r="W506" s="10" t="n">
        <x:f>IF(ISNUMBER(Q506),U506,0)</x:f>
        <x:v>60609.020546234075</x:v>
      </x:c>
      <x:c r="X506" s="8" t="n">
        <x:f>MAX(0,K506-SUM(E506:J506))</x:f>
        <x:v>0</x:v>
      </x:c>
      <x:c r="Y506" s="1" t="str">
        <x:f>IF(AND(O506&gt;0,NOT(ISNUMBER(Q506))),"No proposed replacement standard",IF(X506&gt;0,"Demand exceeds available stock",""))</x:f>
      </x:c>
      <x:c r="Z506" s="1" t="n">
        <x:f>IF(ISNUMBER(Q506),1,0)</x:f>
        <x:v>1</x:v>
      </x:c>
    </x:row>
    <x:row r="507" ht="21" customHeight="1">
      <x:c r="A507" s="17" t="n">
        <x:f>Summary!B19</x:f>
        <x:v>46447</x:v>
      </x:c>
      <x:c r="B507" s="1" t="str">
        <x:f>'Current inventory'!A3</x:f>
        <x:v>60</x:v>
      </x:c>
      <x:c r="C507" s="1" t="str">
        <x:f>'Current inventory'!B3</x:f>
        <x:v>800BBLKASC</x:v>
      </x:c>
      <x:c r="D507" s="7" t="n">
        <x:f>A381</x:f>
        <x:v>46419</x:v>
      </x:c>
      <x:c r="E507" s="8" t="n">
        <x:f>L381</x:f>
        <x:v>0</x:v>
      </x:c>
      <x:c r="F507" s="8" t="n">
        <x:f>M381</x:f>
        <x:v>583404.3679671458</x:v>
      </x:c>
      <x:c r="G507" s="8" t="n">
        <x:f>N381</x:f>
        <x:v>0</x:v>
      </x:c>
      <x:c r="H507" s="8" t="n">
        <x:f>SUMIFS('PO detail'!$U$2:$U$672,'PO detail'!$A$2:$A$672,B507,'PO detail'!$B$2:$B$672,C507,'PO detail'!$G$2:$G$672,"&gt;="&amp;D507,'PO detail'!$G$2:$G$672,"&lt;"&amp;A507)</x:f>
        <x:v>0</x:v>
      </x:c>
      <x:c r="I507" s="8" t="n">
        <x:f>SUMIFS('PO detail'!$V$2:$V$672,'PO detail'!$A$2:$A$672,B507,'PO detail'!$B$2:$B$672,C507,'PO detail'!$G$2:$G$672,"&gt;="&amp;D507,'PO detail'!$G$2:$G$672,"&lt;"&amp;A507)</x:f>
        <x:v>0</x:v>
      </x:c>
      <x:c r="J507" s="8" t="n">
        <x:f>SUMIFS('PO detail'!$W$2:$W$672,'PO detail'!$A$2:$A$672,B507,'PO detail'!$B$2:$B$672,C507,'PO detail'!$G$2:$G$672,"&gt;="&amp;D507,'PO detail'!$G$2:$G$672,"&lt;"&amp;A507)</x:f>
        <x:v>0</x:v>
      </x:c>
      <x:c r="K507" s="8" t="n">
        <x:f>'Current inventory'!E3*Summary!$D$6*(A507-D507)/30.4375</x:f>
        <x:v>133035.45823408625</x:v>
      </x:c>
      <x:c r="L507" s="8" t="n">
        <x:f>MAX(0,E507+H507-K507)</x:f>
        <x:v>0</x:v>
      </x:c>
      <x:c r="M507" s="8" t="n">
        <x:f>MAX(0,F507+I507-MAX(0,K507-E507-H507))</x:f>
        <x:v>450368.90973305947</x:v>
      </x:c>
      <x:c r="N507" s="8" t="n">
        <x:f>MAX(0,G507+J507-K507)</x:f>
        <x:v>0</x:v>
      </x:c>
      <x:c r="O507" s="8" t="n">
        <x:f>SUM(L507:N507)</x:f>
        <x:v>450368.90973305947</x:v>
      </x:c>
      <x:c r="P507" s="14" t="n">
        <x:f>'Current inventory'!V3</x:f>
        <x:v>0.1229</x:v>
      </x:c>
      <x:c r="Q507" s="14" t="n">
        <x:f>'Current inventory'!W3</x:f>
        <x:v>0.12841500000000003</x:v>
      </x:c>
      <x:c r="R507" s="10" t="n">
        <x:f>L507*P507</x:f>
        <x:v>0</x:v>
      </x:c>
      <x:c r="S507" s="10" t="n">
        <x:f>M507*P507</x:f>
        <x:v>55350.339006193004</x:v>
      </x:c>
      <x:c r="T507" s="10" t="n">
        <x:f>N507*P507</x:f>
        <x:v>0</x:v>
      </x:c>
      <x:c r="U507" s="10" t="n">
        <x:f>O507*P507</x:f>
        <x:v>55350.339006193004</x:v>
      </x:c>
      <x:c r="V507" s="10" t="n">
        <x:f>IF(ISNUMBER(Q507),O507*(Q507-P507),"n.a.")</x:f>
        <x:v>2483.784537177838</x:v>
      </x:c>
      <x:c r="W507" s="10" t="n">
        <x:f>IF(ISNUMBER(Q507),U507,0)</x:f>
        <x:v>55350.339006193004</x:v>
      </x:c>
      <x:c r="X507" s="8" t="n">
        <x:f>MAX(0,K507-SUM(E507:J507))</x:f>
        <x:v>0</x:v>
      </x:c>
      <x:c r="Y507" s="1" t="str">
        <x:f>IF(AND(O507&gt;0,NOT(ISNUMBER(Q507))),"No proposed replacement standard",IF(X507&gt;0,"Demand exceeds available stock",""))</x:f>
      </x:c>
      <x:c r="Z507" s="1" t="n">
        <x:f>IF(ISNUMBER(Q507),1,0)</x:f>
        <x:v>1</x:v>
      </x:c>
    </x:row>
    <x:row r="508" ht="21" customHeight="1">
      <x:c r="A508" s="17" t="n">
        <x:f>Summary!B19</x:f>
        <x:v>46447</x:v>
      </x:c>
      <x:c r="B508" s="1" t="str">
        <x:f>'Current inventory'!A4</x:f>
        <x:v>30</x:v>
      </x:c>
      <x:c r="C508" s="1" t="str">
        <x:f>'Current inventory'!B4</x:f>
        <x:v>800BBLKASC</x:v>
      </x:c>
      <x:c r="D508" s="7" t="n">
        <x:f>A382</x:f>
        <x:v>46419</x:v>
      </x:c>
      <x:c r="E508" s="8" t="n">
        <x:f>L382</x:f>
        <x:v>0</x:v>
      </x:c>
      <x:c r="F508" s="8" t="n">
        <x:f>M382</x:f>
        <x:v>350114.5790554414</x:v>
      </x:c>
      <x:c r="G508" s="8" t="n">
        <x:f>N382</x:f>
        <x:v>0</x:v>
      </x:c>
      <x:c r="H508" s="8" t="n">
        <x:f>SUMIFS('PO detail'!$U$2:$U$672,'PO detail'!$A$2:$A$672,B508,'PO detail'!$B$2:$B$672,C508,'PO detail'!$G$2:$G$672,"&gt;="&amp;D508,'PO detail'!$G$2:$G$672,"&lt;"&amp;A508)</x:f>
        <x:v>0</x:v>
      </x:c>
      <x:c r="I508" s="8" t="n">
        <x:f>SUMIFS('PO detail'!$V$2:$V$672,'PO detail'!$A$2:$A$672,B508,'PO detail'!$B$2:$B$672,C508,'PO detail'!$G$2:$G$672,"&gt;="&amp;D508,'PO detail'!$G$2:$G$672,"&lt;"&amp;A508)</x:f>
        <x:v>0</x:v>
      </x:c>
      <x:c r="J508" s="8" t="n">
        <x:f>SUMIFS('PO detail'!$W$2:$W$672,'PO detail'!$A$2:$A$672,B508,'PO detail'!$B$2:$B$672,C508,'PO detail'!$G$2:$G$672,"&gt;="&amp;D508,'PO detail'!$G$2:$G$672,"&lt;"&amp;A508)</x:f>
        <x:v>0</x:v>
      </x:c>
      <x:c r="K508" s="8" t="n">
        <x:f>'Current inventory'!E4*Summary!$D$6*(A508-D508)/30.4375</x:f>
        <x:v>49008.62422997947</x:v>
      </x:c>
      <x:c r="L508" s="8" t="n">
        <x:f>MAX(0,E508+H508-K508)</x:f>
        <x:v>0</x:v>
      </x:c>
      <x:c r="M508" s="8" t="n">
        <x:f>MAX(0,F508+I508-MAX(0,K508-E508-H508))</x:f>
        <x:v>301105.95482546196</x:v>
      </x:c>
      <x:c r="N508" s="8" t="n">
        <x:f>MAX(0,G508+J508-K508)</x:f>
        <x:v>0</x:v>
      </x:c>
      <x:c r="O508" s="8" t="n">
        <x:f>SUM(L508:N508)</x:f>
        <x:v>301105.95482546196</x:v>
      </x:c>
      <x:c r="P508" s="14" t="n">
        <x:f>'Current inventory'!V4</x:f>
        <x:v>0.1229</x:v>
      </x:c>
      <x:c r="Q508" s="14" t="n">
        <x:f>'Current inventory'!W4</x:f>
        <x:v>0.12841500000000003</x:v>
      </x:c>
      <x:c r="R508" s="10" t="n">
        <x:f>L508*P508</x:f>
        <x:v>0</x:v>
      </x:c>
      <x:c r="S508" s="10" t="n">
        <x:f>M508*P508</x:f>
        <x:v>37005.92184804927</x:v>
      </x:c>
      <x:c r="T508" s="10" t="n">
        <x:f>N508*P508</x:f>
        <x:v>0</x:v>
      </x:c>
      <x:c r="U508" s="10" t="n">
        <x:f>O508*P508</x:f>
        <x:v>37005.92184804927</x:v>
      </x:c>
      <x:c r="V508" s="10" t="n">
        <x:f>IF(ISNUMBER(Q508),O508*(Q508-P508),"n.a.")</x:f>
        <x:v>1660.5993408624329</x:v>
      </x:c>
      <x:c r="W508" s="10" t="n">
        <x:f>IF(ISNUMBER(Q508),U508,0)</x:f>
        <x:v>37005.92184804927</x:v>
      </x:c>
      <x:c r="X508" s="8" t="n">
        <x:f>MAX(0,K508-SUM(E508:J508))</x:f>
        <x:v>0</x:v>
      </x:c>
      <x:c r="Y508" s="1" t="str">
        <x:f>IF(AND(O508&gt;0,NOT(ISNUMBER(Q508))),"No proposed replacement standard",IF(X508&gt;0,"Demand exceeds available stock",""))</x:f>
      </x:c>
      <x:c r="Z508" s="1" t="n">
        <x:f>IF(ISNUMBER(Q508),1,0)</x:f>
        <x:v>1</x:v>
      </x:c>
    </x:row>
    <x:row r="509" ht="21" customHeight="1">
      <x:c r="A509" s="17" t="n">
        <x:f>Summary!B19</x:f>
        <x:v>46447</x:v>
      </x:c>
      <x:c r="B509" s="1" t="str">
        <x:f>'Current inventory'!A5</x:f>
        <x:v>60</x:v>
      </x:c>
      <x:c r="C509" s="1" t="str">
        <x:f>'Current inventory'!B5</x:f>
        <x:v>800BNAVASC</x:v>
      </x:c>
      <x:c r="D509" s="7" t="n">
        <x:f>A383</x:f>
        <x:v>46419</x:v>
      </x:c>
      <x:c r="E509" s="8" t="n">
        <x:f>L383</x:f>
        <x:v>0</x:v>
      </x:c>
      <x:c r="F509" s="8" t="n">
        <x:f>M383</x:f>
        <x:v>169006.16016427102</x:v>
      </x:c>
      <x:c r="G509" s="8" t="n">
        <x:f>N383</x:f>
        <x:v>0</x:v>
      </x:c>
      <x:c r="H509" s="8" t="n">
        <x:f>SUMIFS('PO detail'!$U$2:$U$672,'PO detail'!$A$2:$A$672,B509,'PO detail'!$B$2:$B$672,C509,'PO detail'!$G$2:$G$672,"&gt;="&amp;D509,'PO detail'!$G$2:$G$672,"&lt;"&amp;A509)</x:f>
        <x:v>0</x:v>
      </x:c>
      <x:c r="I509" s="8" t="n">
        <x:f>SUMIFS('PO detail'!$V$2:$V$672,'PO detail'!$A$2:$A$672,B509,'PO detail'!$B$2:$B$672,C509,'PO detail'!$G$2:$G$672,"&gt;="&amp;D509,'PO detail'!$G$2:$G$672,"&lt;"&amp;A509)</x:f>
        <x:v>0</x:v>
      </x:c>
      <x:c r="J509" s="8" t="n">
        <x:f>SUMIFS('PO detail'!$W$2:$W$672,'PO detail'!$A$2:$A$672,B509,'PO detail'!$B$2:$B$672,C509,'PO detail'!$G$2:$G$672,"&gt;="&amp;D509,'PO detail'!$G$2:$G$672,"&lt;"&amp;A509)</x:f>
        <x:v>0</x:v>
      </x:c>
      <x:c r="K509" s="8" t="n">
        <x:f>'Current inventory'!E5*Summary!$D$6*(A509-D509)/30.4375</x:f>
        <x:v>18513.34702258727</x:v>
      </x:c>
      <x:c r="L509" s="8" t="n">
        <x:f>MAX(0,E509+H509-K509)</x:f>
        <x:v>0</x:v>
      </x:c>
      <x:c r="M509" s="8" t="n">
        <x:f>MAX(0,F509+I509-MAX(0,K509-E509-H509))</x:f>
        <x:v>150492.81314168376</x:v>
      </x:c>
      <x:c r="N509" s="8" t="n">
        <x:f>MAX(0,G509+J509-K509)</x:f>
        <x:v>0</x:v>
      </x:c>
      <x:c r="O509" s="8" t="n">
        <x:f>SUM(L509:N509)</x:f>
        <x:v>150492.81314168376</x:v>
      </x:c>
      <x:c r="P509" s="14" t="n">
        <x:f>'Current inventory'!V5</x:f>
        <x:v>0.1515</x:v>
      </x:c>
      <x:c r="Q509" s="14" t="n">
        <x:f>'Current inventory'!W5</x:f>
        <x:v>0.15834</x:v>
      </x:c>
      <x:c r="R509" s="10" t="n">
        <x:f>L509*P509</x:f>
        <x:v>0</x:v>
      </x:c>
      <x:c r="S509" s="10" t="n">
        <x:f>M509*P509</x:f>
        <x:v>22799.66119096509</x:v>
      </x:c>
      <x:c r="T509" s="10" t="n">
        <x:f>N509*P509</x:f>
        <x:v>0</x:v>
      </x:c>
      <x:c r="U509" s="10" t="n">
        <x:f>O509*P509</x:f>
        <x:v>22799.66119096509</x:v>
      </x:c>
      <x:c r="V509" s="10" t="n">
        <x:f>IF(ISNUMBER(Q509),O509*(Q509-P509),"n.a.")</x:f>
        <x:v>1029.3708418891188</x:v>
      </x:c>
      <x:c r="W509" s="10" t="n">
        <x:f>IF(ISNUMBER(Q509),U509,0)</x:f>
        <x:v>22799.66119096509</x:v>
      </x:c>
      <x:c r="X509" s="8" t="n">
        <x:f>MAX(0,K509-SUM(E509:J509))</x:f>
        <x:v>0</x:v>
      </x:c>
      <x:c r="Y509" s="1" t="str">
        <x:f>IF(AND(O509&gt;0,NOT(ISNUMBER(Q509))),"No proposed replacement standard",IF(X509&gt;0,"Demand exceeds available stock",""))</x:f>
      </x:c>
      <x:c r="Z509" s="1" t="n">
        <x:f>IF(ISNUMBER(Q509),1,0)</x:f>
        <x:v>1</x:v>
      </x:c>
    </x:row>
    <x:row r="510" ht="21" customHeight="1">
      <x:c r="A510" s="17" t="n">
        <x:f>Summary!B19</x:f>
        <x:v>46447</x:v>
      </x:c>
      <x:c r="B510" s="1" t="str">
        <x:f>'Current inventory'!A6</x:f>
        <x:v>10</x:v>
      </x:c>
      <x:c r="C510" s="1" t="str">
        <x:f>'Current inventory'!B6</x:f>
        <x:v>800BNAVASC</x:v>
      </x:c>
      <x:c r="D510" s="7" t="n">
        <x:f>A384</x:f>
        <x:v>46419</x:v>
      </x:c>
      <x:c r="E510" s="8" t="n">
        <x:f>L384</x:f>
        <x:v>69262.16180698152</x:v>
      </x:c>
      <x:c r="F510" s="8" t="n">
        <x:f>M384</x:f>
        <x:v>130000</x:v>
      </x:c>
      <x:c r="G510" s="8" t="n">
        <x:f>N384</x:f>
        <x:v>0</x:v>
      </x:c>
      <x:c r="H510" s="8" t="n">
        <x:f>SUMIFS('PO detail'!$U$2:$U$672,'PO detail'!$A$2:$A$672,B510,'PO detail'!$B$2:$B$672,C510,'PO detail'!$G$2:$G$672,"&gt;="&amp;D510,'PO detail'!$G$2:$G$672,"&lt;"&amp;A510)</x:f>
        <x:v>0</x:v>
      </x:c>
      <x:c r="I510" s="8" t="n">
        <x:f>SUMIFS('PO detail'!$V$2:$V$672,'PO detail'!$A$2:$A$672,B510,'PO detail'!$B$2:$B$672,C510,'PO detail'!$G$2:$G$672,"&gt;="&amp;D510,'PO detail'!$G$2:$G$672,"&lt;"&amp;A510)</x:f>
        <x:v>0</x:v>
      </x:c>
      <x:c r="J510" s="8" t="n">
        <x:f>SUMIFS('PO detail'!$W$2:$W$672,'PO detail'!$A$2:$A$672,B510,'PO detail'!$B$2:$B$672,C510,'PO detail'!$G$2:$G$672,"&gt;="&amp;D510,'PO detail'!$G$2:$G$672,"&lt;"&amp;A510)</x:f>
        <x:v>0</x:v>
      </x:c>
      <x:c r="K510" s="8" t="n">
        <x:f>'Current inventory'!E6*Summary!$D$6*(A510-D510)/30.4375</x:f>
        <x:v>12840.517125256672</x:v>
      </x:c>
      <x:c r="L510" s="8" t="n">
        <x:f>MAX(0,E510+H510-K510)</x:f>
        <x:v>56421.64468172484</x:v>
      </x:c>
      <x:c r="M510" s="8" t="n">
        <x:f>MAX(0,F510+I510-MAX(0,K510-E510-H510))</x:f>
        <x:v>130000</x:v>
      </x:c>
      <x:c r="N510" s="8" t="n">
        <x:f>MAX(0,G510+J510-K510)</x:f>
        <x:v>0</x:v>
      </x:c>
      <x:c r="O510" s="8" t="n">
        <x:f>SUM(L510:N510)</x:f>
        <x:v>186421.64468172484</x:v>
      </x:c>
      <x:c r="P510" s="14" t="n">
        <x:f>'Current inventory'!V6</x:f>
        <x:v>0.1515</x:v>
      </x:c>
      <x:c r="Q510" s="14" t="n">
        <x:f>'Current inventory'!W6</x:f>
        <x:v>0.15834</x:v>
      </x:c>
      <x:c r="R510" s="10" t="n">
        <x:f>L510*P510</x:f>
        <x:v>8547.879169281314</x:v>
      </x:c>
      <x:c r="S510" s="10" t="n">
        <x:f>M510*P510</x:f>
        <x:v>19695</x:v>
      </x:c>
      <x:c r="T510" s="10" t="n">
        <x:f>N510*P510</x:f>
        <x:v>0</x:v>
      </x:c>
      <x:c r="U510" s="10" t="n">
        <x:f>O510*P510</x:f>
        <x:v>28242.87916928131</x:v>
      </x:c>
      <x:c r="V510" s="10" t="n">
        <x:f>IF(ISNUMBER(Q510),O510*(Q510-P510),"n.a.")</x:f>
        <x:v>1275.1240496230002</x:v>
      </x:c>
      <x:c r="W510" s="10" t="n">
        <x:f>IF(ISNUMBER(Q510),U510,0)</x:f>
        <x:v>28242.87916928131</x:v>
      </x:c>
      <x:c r="X510" s="8" t="n">
        <x:f>MAX(0,K510-SUM(E510:J510))</x:f>
        <x:v>0</x:v>
      </x:c>
      <x:c r="Y510" s="1" t="str">
        <x:f>IF(AND(O510&gt;0,NOT(ISNUMBER(Q510))),"No proposed replacement standard",IF(X510&gt;0,"Demand exceeds available stock",""))</x:f>
      </x:c>
      <x:c r="Z510" s="1" t="n">
        <x:f>IF(ISNUMBER(Q510),1,0)</x:f>
        <x:v>1</x:v>
      </x:c>
    </x:row>
    <x:row r="511" ht="21" customHeight="1">
      <x:c r="A511" s="17" t="n">
        <x:f>Summary!B19</x:f>
        <x:v>46447</x:v>
      </x:c>
      <x:c r="B511" s="1" t="str">
        <x:f>'Current inventory'!A7</x:f>
        <x:v>10</x:v>
      </x:c>
      <x:c r="C511" s="1" t="str">
        <x:f>'Current inventory'!B7</x:f>
        <x:v>800BBLKISC</x:v>
      </x:c>
      <x:c r="D511" s="7" t="n">
        <x:f>A385</x:f>
        <x:v>46419</x:v>
      </x:c>
      <x:c r="E511" s="8" t="n">
        <x:f>L385</x:f>
        <x:v>49166.52977412731</x:v>
      </x:c>
      <x:c r="F511" s="8" t="n">
        <x:f>M385</x:f>
        <x:v>0</x:v>
      </x:c>
      <x:c r="G511" s="8" t="n">
        <x:f>N385</x:f>
        <x:v>0</x:v>
      </x:c>
      <x:c r="H511" s="8" t="n">
        <x:f>SUMIFS('PO detail'!$U$2:$U$672,'PO detail'!$A$2:$A$672,B511,'PO detail'!$B$2:$B$672,C511,'PO detail'!$G$2:$G$672,"&gt;="&amp;D511,'PO detail'!$G$2:$G$672,"&lt;"&amp;A511)</x:f>
        <x:v>0</x:v>
      </x:c>
      <x:c r="I511" s="8" t="n">
        <x:f>SUMIFS('PO detail'!$V$2:$V$672,'PO detail'!$A$2:$A$672,B511,'PO detail'!$B$2:$B$672,C511,'PO detail'!$G$2:$G$672,"&gt;="&amp;D511,'PO detail'!$G$2:$G$672,"&lt;"&amp;A511)</x:f>
        <x:v>0</x:v>
      </x:c>
      <x:c r="J511" s="8" t="n">
        <x:f>SUMIFS('PO detail'!$W$2:$W$672,'PO detail'!$A$2:$A$672,B511,'PO detail'!$B$2:$B$672,C511,'PO detail'!$G$2:$G$672,"&gt;="&amp;D511,'PO detail'!$G$2:$G$672,"&lt;"&amp;A511)</x:f>
        <x:v>0</x:v>
      </x:c>
      <x:c r="K511" s="8" t="n">
        <x:f>'Current inventory'!E7*Summary!$D$6*(A511-D511)/30.4375</x:f>
        <x:v>11475.975359342916</x:v>
      </x:c>
      <x:c r="L511" s="8" t="n">
        <x:f>MAX(0,E511+H511-K511)</x:f>
        <x:v>37690.55441478439</x:v>
      </x:c>
      <x:c r="M511" s="8" t="n">
        <x:f>MAX(0,F511+I511-MAX(0,K511-E511-H511))</x:f>
        <x:v>0</x:v>
      </x:c>
      <x:c r="N511" s="8" t="n">
        <x:f>MAX(0,G511+J511-K511)</x:f>
        <x:v>0</x:v>
      </x:c>
      <x:c r="O511" s="8" t="n">
        <x:f>SUM(L511:N511)</x:f>
        <x:v>37690.55441478439</x:v>
      </x:c>
      <x:c r="P511" s="14" t="n">
        <x:f>'Current inventory'!V7</x:f>
        <x:v>0.1612</x:v>
      </x:c>
      <x:c r="Q511" s="14" t="n">
        <x:f>'Current inventory'!W7</x:f>
        <x:v>0.16842</x:v>
      </x:c>
      <x:c r="R511" s="10" t="n">
        <x:f>L511*P511</x:f>
        <x:v>6075.717371663244</x:v>
      </x:c>
      <x:c r="S511" s="10" t="n">
        <x:f>M511*P511</x:f>
        <x:v>0</x:v>
      </x:c>
      <x:c r="T511" s="10" t="n">
        <x:f>N511*P511</x:f>
        <x:v>0</x:v>
      </x:c>
      <x:c r="U511" s="10" t="n">
        <x:f>O511*P511</x:f>
        <x:v>6075.717371663244</x:v>
      </x:c>
      <x:c r="V511" s="10" t="n">
        <x:f>IF(ISNUMBER(Q511),O511*(Q511-P511),"n.a.")</x:f>
        <x:v>272.1258028747424</x:v>
      </x:c>
      <x:c r="W511" s="10" t="n">
        <x:f>IF(ISNUMBER(Q511),U511,0)</x:f>
        <x:v>6075.717371663244</x:v>
      </x:c>
      <x:c r="X511" s="8" t="n">
        <x:f>MAX(0,K511-SUM(E511:J511))</x:f>
        <x:v>0</x:v>
      </x:c>
      <x:c r="Y511" s="1" t="str">
        <x:f>IF(AND(O511&gt;0,NOT(ISNUMBER(Q511))),"No proposed replacement standard",IF(X511&gt;0,"Demand exceeds available stock",""))</x:f>
      </x:c>
      <x:c r="Z511" s="1" t="n">
        <x:f>IF(ISNUMBER(Q511),1,0)</x:f>
        <x:v>1</x:v>
      </x:c>
    </x:row>
    <x:row r="512" ht="21" customHeight="1">
      <x:c r="A512" s="17" t="n">
        <x:f>Summary!B19</x:f>
        <x:v>46447</x:v>
      </x:c>
      <x:c r="B512" s="1" t="str">
        <x:f>'Current inventory'!A8</x:f>
        <x:v>60</x:v>
      </x:c>
      <x:c r="C512" s="1" t="str">
        <x:f>'Current inventory'!B8</x:f>
        <x:v>800BBLKDSC</x:v>
      </x:c>
      <x:c r="D512" s="7" t="n">
        <x:f>A386</x:f>
        <x:v>46419</x:v>
      </x:c>
      <x:c r="E512" s="8" t="n">
        <x:f>L386</x:f>
        <x:v>700.410677618067</x:v>
      </x:c>
      <x:c r="F512" s="8" t="n">
        <x:f>M386</x:f>
        <x:v>80000</x:v>
      </x:c>
      <x:c r="G512" s="8" t="n">
        <x:f>N386</x:f>
        <x:v>0</x:v>
      </x:c>
      <x:c r="H512" s="8" t="n">
        <x:f>SUMIFS('PO detail'!$U$2:$U$672,'PO detail'!$A$2:$A$672,B512,'PO detail'!$B$2:$B$672,C512,'PO detail'!$G$2:$G$672,"&gt;="&amp;D512,'PO detail'!$G$2:$G$672,"&lt;"&amp;A512)</x:f>
        <x:v>0</x:v>
      </x:c>
      <x:c r="I512" s="8" t="n">
        <x:f>SUMIFS('PO detail'!$V$2:$V$672,'PO detail'!$A$2:$A$672,B512,'PO detail'!$B$2:$B$672,C512,'PO detail'!$G$2:$G$672,"&gt;="&amp;D512,'PO detail'!$G$2:$G$672,"&lt;"&amp;A512)</x:f>
        <x:v>0</x:v>
      </x:c>
      <x:c r="J512" s="8" t="n">
        <x:f>SUMIFS('PO detail'!$W$2:$W$672,'PO detail'!$A$2:$A$672,B512,'PO detail'!$B$2:$B$672,C512,'PO detail'!$G$2:$G$672,"&gt;="&amp;D512,'PO detail'!$G$2:$G$672,"&lt;"&amp;A512)</x:f>
        <x:v>0</x:v>
      </x:c>
      <x:c r="K512" s="8" t="n">
        <x:f>'Current inventory'!E8*Summary!$D$6*(A512-D512)/30.4375</x:f>
        <x:v>10372.073921971252</x:v>
      </x:c>
      <x:c r="L512" s="8" t="n">
        <x:f>MAX(0,E512+H512-K512)</x:f>
        <x:v>0</x:v>
      </x:c>
      <x:c r="M512" s="8" t="n">
        <x:f>MAX(0,F512+I512-MAX(0,K512-E512-H512))</x:f>
        <x:v>70328.33675564681</x:v>
      </x:c>
      <x:c r="N512" s="8" t="n">
        <x:f>MAX(0,G512+J512-K512)</x:f>
        <x:v>0</x:v>
      </x:c>
      <x:c r="O512" s="8" t="n">
        <x:f>SUM(L512:N512)</x:f>
        <x:v>70328.33675564681</x:v>
      </x:c>
      <x:c r="P512" s="14" t="n">
        <x:f>'Current inventory'!V8</x:f>
        <x:v>0.3332</x:v>
      </x:c>
      <x:c r="Q512" s="14" t="n">
        <x:f>'Current inventory'!W8</x:f>
        <x:v>0.34818</x:v>
      </x:c>
      <x:c r="R512" s="10" t="n">
        <x:f>L512*P512</x:f>
        <x:v>0</x:v>
      </x:c>
      <x:c r="S512" s="10" t="n">
        <x:f>M512*P512</x:f>
        <x:v>23433.401806981517</x:v>
      </x:c>
      <x:c r="T512" s="10" t="n">
        <x:f>N512*P512</x:f>
        <x:v>0</x:v>
      </x:c>
      <x:c r="U512" s="10" t="n">
        <x:f>O512*P512</x:f>
        <x:v>23433.401806981517</x:v>
      </x:c>
      <x:c r="V512" s="10" t="n">
        <x:f>IF(ISNUMBER(Q512),O512*(Q512-P512),"n.a.")</x:f>
        <x:v>1053.5184845995889</x:v>
      </x:c>
      <x:c r="W512" s="10" t="n">
        <x:f>IF(ISNUMBER(Q512),U512,0)</x:f>
        <x:v>23433.401806981517</x:v>
      </x:c>
      <x:c r="X512" s="8" t="n">
        <x:f>MAX(0,K512-SUM(E512:J512))</x:f>
        <x:v>0</x:v>
      </x:c>
      <x:c r="Y512" s="1" t="str">
        <x:f>IF(AND(O512&gt;0,NOT(ISNUMBER(Q512))),"No proposed replacement standard",IF(X512&gt;0,"Demand exceeds available stock",""))</x:f>
      </x:c>
      <x:c r="Z512" s="1" t="n">
        <x:f>IF(ISNUMBER(Q512),1,0)</x:f>
        <x:v>1</x:v>
      </x:c>
    </x:row>
    <x:row r="513" ht="21" customHeight="1">
      <x:c r="A513" s="17" t="n">
        <x:f>Summary!B19</x:f>
        <x:v>46447</x:v>
      </x:c>
      <x:c r="B513" s="1" t="str">
        <x:f>'Current inventory'!A9</x:f>
        <x:v>10</x:v>
      </x:c>
      <x:c r="C513" s="1" t="str">
        <x:f>'Current inventory'!B9</x:f>
        <x:v>800BBLKDSC</x:v>
      </x:c>
      <x:c r="D513" s="7" t="n">
        <x:f>A387</x:f>
        <x:v>46419</x:v>
      </x:c>
      <x:c r="E513" s="8" t="n">
        <x:f>L387</x:f>
        <x:v>9267.556468172485</x:v>
      </x:c>
      <x:c r="F513" s="8" t="n">
        <x:f>M387</x:f>
        <x:v>80000</x:v>
      </x:c>
      <x:c r="G513" s="8" t="n">
        <x:f>N387</x:f>
        <x:v>0</x:v>
      </x:c>
      <x:c r="H513" s="8" t="n">
        <x:f>SUMIFS('PO detail'!$U$2:$U$672,'PO detail'!$A$2:$A$672,B513,'PO detail'!$B$2:$B$672,C513,'PO detail'!$G$2:$G$672,"&gt;="&amp;D513,'PO detail'!$G$2:$G$672,"&lt;"&amp;A513)</x:f>
        <x:v>0</x:v>
      </x:c>
      <x:c r="I513" s="8" t="n">
        <x:f>SUMIFS('PO detail'!$V$2:$V$672,'PO detail'!$A$2:$A$672,B513,'PO detail'!$B$2:$B$672,C513,'PO detail'!$G$2:$G$672,"&gt;="&amp;D513,'PO detail'!$G$2:$G$672,"&lt;"&amp;A513)</x:f>
        <x:v>0</x:v>
      </x:c>
      <x:c r="J513" s="8" t="n">
        <x:f>SUMIFS('PO detail'!$W$2:$W$672,'PO detail'!$A$2:$A$672,B513,'PO detail'!$B$2:$B$672,C513,'PO detail'!$G$2:$G$672,"&gt;="&amp;D513,'PO detail'!$G$2:$G$672,"&lt;"&amp;A513)</x:f>
        <x:v>0</x:v>
      </x:c>
      <x:c r="K513" s="8" t="n">
        <x:f>'Current inventory'!E9*Summary!$D$6*(A513-D513)/30.4375</x:f>
        <x:v>9406.160164271047</x:v>
      </x:c>
      <x:c r="L513" s="8" t="n">
        <x:f>MAX(0,E513+H513-K513)</x:f>
        <x:v>0</x:v>
      </x:c>
      <x:c r="M513" s="8" t="n">
        <x:f>MAX(0,F513+I513-MAX(0,K513-E513-H513))</x:f>
        <x:v>79861.39630390143</x:v>
      </x:c>
      <x:c r="N513" s="8" t="n">
        <x:f>MAX(0,G513+J513-K513)</x:f>
        <x:v>0</x:v>
      </x:c>
      <x:c r="O513" s="8" t="n">
        <x:f>SUM(L513:N513)</x:f>
        <x:v>79861.39630390143</x:v>
      </x:c>
      <x:c r="P513" s="14" t="n">
        <x:f>'Current inventory'!V9</x:f>
        <x:v>0.3332</x:v>
      </x:c>
      <x:c r="Q513" s="14" t="n">
        <x:f>'Current inventory'!W9</x:f>
        <x:v>0.34818</x:v>
      </x:c>
      <x:c r="R513" s="10" t="n">
        <x:f>L513*P513</x:f>
        <x:v>0</x:v>
      </x:c>
      <x:c r="S513" s="10" t="n">
        <x:f>M513*P513</x:f>
        <x:v>26609.817248459956</x:v>
      </x:c>
      <x:c r="T513" s="10" t="n">
        <x:f>N513*P513</x:f>
        <x:v>0</x:v>
      </x:c>
      <x:c r="U513" s="10" t="n">
        <x:f>O513*P513</x:f>
        <x:v>26609.817248459956</x:v>
      </x:c>
      <x:c r="V513" s="10" t="n">
        <x:f>IF(ISNUMBER(Q513),O513*(Q513-P513),"n.a.")</x:f>
        <x:v>1196.323716632443</x:v>
      </x:c>
      <x:c r="W513" s="10" t="n">
        <x:f>IF(ISNUMBER(Q513),U513,0)</x:f>
        <x:v>26609.817248459956</x:v>
      </x:c>
      <x:c r="X513" s="8" t="n">
        <x:f>MAX(0,K513-SUM(E513:J513))</x:f>
        <x:v>0</x:v>
      </x:c>
      <x:c r="Y513" s="1" t="str">
        <x:f>IF(AND(O513&gt;0,NOT(ISNUMBER(Q513))),"No proposed replacement standard",IF(X513&gt;0,"Demand exceeds available stock",""))</x:f>
      </x:c>
      <x:c r="Z513" s="1" t="n">
        <x:f>IF(ISNUMBER(Q513),1,0)</x:f>
        <x:v>1</x:v>
      </x:c>
    </x:row>
    <x:row r="514" ht="21" customHeight="1">
      <x:c r="A514" s="17" t="n">
        <x:f>Summary!B19</x:f>
        <x:v>46447</x:v>
      </x:c>
      <x:c r="B514" s="1" t="str">
        <x:f>'Current inventory'!A10</x:f>
        <x:v>60</x:v>
      </x:c>
      <x:c r="C514" s="1" t="str">
        <x:f>'Current inventory'!B10</x:f>
        <x:v>800BBLKISC</x:v>
      </x:c>
      <x:c r="D514" s="7" t="n">
        <x:f>A388</x:f>
        <x:v>46419</x:v>
      </x:c>
      <x:c r="E514" s="8" t="n">
        <x:f>L388</x:f>
        <x:v>70975.50882956877</x:v>
      </x:c>
      <x:c r="F514" s="8" t="n">
        <x:f>M388</x:f>
        <x:v>0</x:v>
      </x:c>
      <x:c r="G514" s="8" t="n">
        <x:f>N388</x:f>
        <x:v>0</x:v>
      </x:c>
      <x:c r="H514" s="8" t="n">
        <x:f>SUMIFS('PO detail'!$U$2:$U$672,'PO detail'!$A$2:$A$672,B514,'PO detail'!$B$2:$B$672,C514,'PO detail'!$G$2:$G$672,"&gt;="&amp;D514,'PO detail'!$G$2:$G$672,"&lt;"&amp;A514)</x:f>
        <x:v>0</x:v>
      </x:c>
      <x:c r="I514" s="8" t="n">
        <x:f>SUMIFS('PO detail'!$V$2:$V$672,'PO detail'!$A$2:$A$672,B514,'PO detail'!$B$2:$B$672,C514,'PO detail'!$G$2:$G$672,"&gt;="&amp;D514,'PO detail'!$G$2:$G$672,"&lt;"&amp;A514)</x:f>
        <x:v>0</x:v>
      </x:c>
      <x:c r="J514" s="8" t="n">
        <x:f>SUMIFS('PO detail'!$W$2:$W$672,'PO detail'!$A$2:$A$672,B514,'PO detail'!$B$2:$B$672,C514,'PO detail'!$G$2:$G$672,"&gt;="&amp;D514,'PO detail'!$G$2:$G$672,"&lt;"&amp;A514)</x:f>
        <x:v>0</x:v>
      </x:c>
      <x:c r="K514" s="8" t="n">
        <x:f>'Current inventory'!E10*Summary!$D$6*(A514-D514)/30.4375</x:f>
        <x:v>8332.919589322382</x:v>
      </x:c>
      <x:c r="L514" s="8" t="n">
        <x:f>MAX(0,E514+H514-K514)</x:f>
        <x:v>62642.589240246394</x:v>
      </x:c>
      <x:c r="M514" s="8" t="n">
        <x:f>MAX(0,F514+I514-MAX(0,K514-E514-H514))</x:f>
        <x:v>0</x:v>
      </x:c>
      <x:c r="N514" s="8" t="n">
        <x:f>MAX(0,G514+J514-K514)</x:f>
        <x:v>0</x:v>
      </x:c>
      <x:c r="O514" s="8" t="n">
        <x:f>SUM(L514:N514)</x:f>
        <x:v>62642.589240246394</x:v>
      </x:c>
      <x:c r="P514" s="14" t="n">
        <x:f>'Current inventory'!V10</x:f>
        <x:v>0.1612</x:v>
      </x:c>
      <x:c r="Q514" s="14" t="n">
        <x:f>'Current inventory'!W10</x:f>
        <x:v>0.16842</x:v>
      </x:c>
      <x:c r="R514" s="10" t="n">
        <x:f>L514*P514</x:f>
        <x:v>10097.98538552772</x:v>
      </x:c>
      <x:c r="S514" s="10" t="n">
        <x:f>M514*P514</x:f>
        <x:v>0</x:v>
      </x:c>
      <x:c r="T514" s="10" t="n">
        <x:f>N514*P514</x:f>
        <x:v>0</x:v>
      </x:c>
      <x:c r="U514" s="10" t="n">
        <x:f>O514*P514</x:f>
        <x:v>10097.98538552772</x:v>
      </x:c>
      <x:c r="V514" s="10" t="n">
        <x:f>IF(ISNUMBER(Q514),O514*(Q514-P514),"n.a.")</x:f>
        <x:v>452.2794943145775</x:v>
      </x:c>
      <x:c r="W514" s="10" t="n">
        <x:f>IF(ISNUMBER(Q514),U514,0)</x:f>
        <x:v>10097.98538552772</x:v>
      </x:c>
      <x:c r="X514" s="8" t="n">
        <x:f>MAX(0,K514-SUM(E514:J514))</x:f>
        <x:v>0</x:v>
      </x:c>
      <x:c r="Y514" s="1" t="str">
        <x:f>IF(AND(O514&gt;0,NOT(ISNUMBER(Q514))),"No proposed replacement standard",IF(X514&gt;0,"Demand exceeds available stock",""))</x:f>
      </x:c>
      <x:c r="Z514" s="1" t="n">
        <x:f>IF(ISNUMBER(Q514),1,0)</x:f>
        <x:v>1</x:v>
      </x:c>
    </x:row>
    <x:row r="515" ht="21" customHeight="1">
      <x:c r="A515" s="17" t="n">
        <x:f>Summary!B19</x:f>
        <x:v>46447</x:v>
      </x:c>
      <x:c r="B515" s="1" t="str">
        <x:f>'Current inventory'!A11</x:f>
        <x:v>30</x:v>
      </x:c>
      <x:c r="C515" s="1" t="str">
        <x:f>'Current inventory'!B11</x:f>
        <x:v>800BNAVASC</x:v>
      </x:c>
      <x:c r="D515" s="7" t="n">
        <x:f>A389</x:f>
        <x:v>46419</x:v>
      </x:c>
      <x:c r="E515" s="8" t="n">
        <x:f>L389</x:f>
        <x:v>0</x:v>
      </x:c>
      <x:c r="F515" s="8" t="n">
        <x:f>M389</x:f>
        <x:v>47488.556878850104</x:v>
      </x:c>
      <x:c r="G515" s="8" t="n">
        <x:f>N389</x:f>
        <x:v>0</x:v>
      </x:c>
      <x:c r="H515" s="8" t="n">
        <x:f>SUMIFS('PO detail'!$U$2:$U$672,'PO detail'!$A$2:$A$672,B515,'PO detail'!$B$2:$B$672,C515,'PO detail'!$G$2:$G$672,"&gt;="&amp;D515,'PO detail'!$G$2:$G$672,"&lt;"&amp;A515)</x:f>
        <x:v>0</x:v>
      </x:c>
      <x:c r="I515" s="8" t="n">
        <x:f>SUMIFS('PO detail'!$V$2:$V$672,'PO detail'!$A$2:$A$672,B515,'PO detail'!$B$2:$B$672,C515,'PO detail'!$G$2:$G$672,"&gt;="&amp;D515,'PO detail'!$G$2:$G$672,"&lt;"&amp;A515)</x:f>
        <x:v>0</x:v>
      </x:c>
      <x:c r="J515" s="8" t="n">
        <x:f>SUMIFS('PO detail'!$W$2:$W$672,'PO detail'!$A$2:$A$672,B515,'PO detail'!$B$2:$B$672,C515,'PO detail'!$G$2:$G$672,"&gt;="&amp;D515,'PO detail'!$G$2:$G$672,"&lt;"&amp;A515)</x:f>
        <x:v>0</x:v>
      </x:c>
      <x:c r="K515" s="8" t="n">
        <x:f>'Current inventory'!E11*Summary!$D$6*(A515-D515)/30.4375</x:f>
        <x:v>8110.612238193019</x:v>
      </x:c>
      <x:c r="L515" s="8" t="n">
        <x:f>MAX(0,E515+H515-K515)</x:f>
        <x:v>0</x:v>
      </x:c>
      <x:c r="M515" s="8" t="n">
        <x:f>MAX(0,F515+I515-MAX(0,K515-E515-H515))</x:f>
        <x:v>39377.944640657086</x:v>
      </x:c>
      <x:c r="N515" s="8" t="n">
        <x:f>MAX(0,G515+J515-K515)</x:f>
        <x:v>0</x:v>
      </x:c>
      <x:c r="O515" s="8" t="n">
        <x:f>SUM(L515:N515)</x:f>
        <x:v>39377.944640657086</x:v>
      </x:c>
      <x:c r="P515" s="14" t="n">
        <x:f>'Current inventory'!V11</x:f>
        <x:v>0.1515</x:v>
      </x:c>
      <x:c r="Q515" s="14" t="n">
        <x:f>'Current inventory'!W11</x:f>
        <x:v>0.15834</x:v>
      </x:c>
      <x:c r="R515" s="10" t="n">
        <x:f>L515*P515</x:f>
        <x:v>0</x:v>
      </x:c>
      <x:c r="S515" s="10" t="n">
        <x:f>M515*P515</x:f>
        <x:v>5965.758613059548</x:v>
      </x:c>
      <x:c r="T515" s="10" t="n">
        <x:f>N515*P515</x:f>
        <x:v>0</x:v>
      </x:c>
      <x:c r="U515" s="10" t="n">
        <x:f>O515*P515</x:f>
        <x:v>5965.758613059548</x:v>
      </x:c>
      <x:c r="V515" s="10" t="n">
        <x:f>IF(ISNUMBER(Q515),O515*(Q515-P515),"n.a.")</x:f>
        <x:v>269.34514134209496</x:v>
      </x:c>
      <x:c r="W515" s="10" t="n">
        <x:f>IF(ISNUMBER(Q515),U515,0)</x:f>
        <x:v>5965.758613059548</x:v>
      </x:c>
      <x:c r="X515" s="8" t="n">
        <x:f>MAX(0,K515-SUM(E515:J515))</x:f>
        <x:v>0</x:v>
      </x:c>
      <x:c r="Y515" s="1" t="str">
        <x:f>IF(AND(O515&gt;0,NOT(ISNUMBER(Q515))),"No proposed replacement standard",IF(X515&gt;0,"Demand exceeds available stock",""))</x:f>
      </x:c>
      <x:c r="Z515" s="1" t="n">
        <x:f>IF(ISNUMBER(Q515),1,0)</x:f>
        <x:v>1</x:v>
      </x:c>
    </x:row>
    <x:row r="516" ht="21" customHeight="1">
      <x:c r="A516" s="17" t="n">
        <x:f>Summary!B19</x:f>
        <x:v>46447</x:v>
      </x:c>
      <x:c r="B516" s="1" t="str">
        <x:f>'Current inventory'!A12</x:f>
        <x:v>30</x:v>
      </x:c>
      <x:c r="C516" s="1" t="str">
        <x:f>'Current inventory'!B12</x:f>
        <x:v>800BBLKDSC</x:v>
      </x:c>
      <x:c r="D516" s="7" t="n">
        <x:f>A390</x:f>
        <x:v>46419</x:v>
      </x:c>
      <x:c r="E516" s="8" t="n">
        <x:f>L390</x:f>
        <x:v>0</x:v>
      </x:c>
      <x:c r="F516" s="8" t="n">
        <x:f>M390</x:f>
        <x:v>67116.22176591377</x:v>
      </x:c>
      <x:c r="G516" s="8" t="n">
        <x:f>N390</x:f>
        <x:v>0</x:v>
      </x:c>
      <x:c r="H516" s="8" t="n">
        <x:f>SUMIFS('PO detail'!$U$2:$U$672,'PO detail'!$A$2:$A$672,B516,'PO detail'!$B$2:$B$672,C516,'PO detail'!$G$2:$G$672,"&gt;="&amp;D516,'PO detail'!$G$2:$G$672,"&lt;"&amp;A516)</x:f>
        <x:v>0</x:v>
      </x:c>
      <x:c r="I516" s="8" t="n">
        <x:f>SUMIFS('PO detail'!$V$2:$V$672,'PO detail'!$A$2:$A$672,B516,'PO detail'!$B$2:$B$672,C516,'PO detail'!$G$2:$G$672,"&gt;="&amp;D516,'PO detail'!$G$2:$G$672,"&lt;"&amp;A516)</x:f>
        <x:v>0</x:v>
      </x:c>
      <x:c r="J516" s="8" t="n">
        <x:f>SUMIFS('PO detail'!$W$2:$W$672,'PO detail'!$A$2:$A$672,B516,'PO detail'!$B$2:$B$672,C516,'PO detail'!$G$2:$G$672,"&gt;="&amp;D516,'PO detail'!$G$2:$G$672,"&lt;"&amp;A516)</x:f>
        <x:v>0</x:v>
      </x:c>
      <x:c r="K516" s="8" t="n">
        <x:f>'Current inventory'!E12*Summary!$D$6*(A516-D516)/30.4375</x:f>
        <x:v>5818.480492813142</x:v>
      </x:c>
      <x:c r="L516" s="8" t="n">
        <x:f>MAX(0,E516+H516-K516)</x:f>
        <x:v>0</x:v>
      </x:c>
      <x:c r="M516" s="8" t="n">
        <x:f>MAX(0,F516+I516-MAX(0,K516-E516-H516))</x:f>
        <x:v>61297.741273100626</x:v>
      </x:c>
      <x:c r="N516" s="8" t="n">
        <x:f>MAX(0,G516+J516-K516)</x:f>
        <x:v>0</x:v>
      </x:c>
      <x:c r="O516" s="8" t="n">
        <x:f>SUM(L516:N516)</x:f>
        <x:v>61297.741273100626</x:v>
      </x:c>
      <x:c r="P516" s="14" t="n">
        <x:f>'Current inventory'!V12</x:f>
        <x:v>0.3332</x:v>
      </x:c>
      <x:c r="Q516" s="14" t="n">
        <x:f>'Current inventory'!W12</x:f>
        <x:v>0.34818</x:v>
      </x:c>
      <x:c r="R516" s="10" t="n">
        <x:f>L516*P516</x:f>
        <x:v>0</x:v>
      </x:c>
      <x:c r="S516" s="10" t="n">
        <x:f>M516*P516</x:f>
        <x:v>20424.40739219713</x:v>
      </x:c>
      <x:c r="T516" s="10" t="n">
        <x:f>N516*P516</x:f>
        <x:v>0</x:v>
      </x:c>
      <x:c r="U516" s="10" t="n">
        <x:f>O516*P516</x:f>
        <x:v>20424.40739219713</x:v>
      </x:c>
      <x:c r="V516" s="10" t="n">
        <x:f>IF(ISNUMBER(Q516),O516*(Q516-P516),"n.a.")</x:f>
        <x:v>918.240164271047</x:v>
      </x:c>
      <x:c r="W516" s="10" t="n">
        <x:f>IF(ISNUMBER(Q516),U516,0)</x:f>
        <x:v>20424.40739219713</x:v>
      </x:c>
      <x:c r="X516" s="8" t="n">
        <x:f>MAX(0,K516-SUM(E516:J516))</x:f>
        <x:v>0</x:v>
      </x:c>
      <x:c r="Y516" s="1" t="str">
        <x:f>IF(AND(O516&gt;0,NOT(ISNUMBER(Q516))),"No proposed replacement standard",IF(X516&gt;0,"Demand exceeds available stock",""))</x:f>
      </x:c>
      <x:c r="Z516" s="1" t="n">
        <x:f>IF(ISNUMBER(Q516),1,0)</x:f>
        <x:v>1</x:v>
      </x:c>
    </x:row>
    <x:row r="517" ht="21" customHeight="1">
      <x:c r="A517" s="17" t="n">
        <x:f>Summary!B19</x:f>
        <x:v>46447</x:v>
      </x:c>
      <x:c r="B517" s="1" t="str">
        <x:f>'Current inventory'!A13</x:f>
        <x:v>60</x:v>
      </x:c>
      <x:c r="C517" s="1" t="str">
        <x:f>'Current inventory'!B13</x:f>
        <x:v>800BBLKCSC</x:v>
      </x:c>
      <x:c r="D517" s="7" t="n">
        <x:f>A391</x:f>
        <x:v>46419</x:v>
      </x:c>
      <x:c r="E517" s="8" t="n">
        <x:f>L391</x:f>
        <x:v>0</x:v>
      </x:c>
      <x:c r="F517" s="8" t="n">
        <x:f>M391</x:f>
        <x:v>0</x:v>
      </x:c>
      <x:c r="G517" s="8" t="n">
        <x:f>N391</x:f>
        <x:v>0</x:v>
      </x:c>
      <x:c r="H517" s="8" t="n">
        <x:f>SUMIFS('PO detail'!$U$2:$U$672,'PO detail'!$A$2:$A$672,B517,'PO detail'!$B$2:$B$672,C517,'PO detail'!$G$2:$G$672,"&gt;="&amp;D517,'PO detail'!$G$2:$G$672,"&lt;"&amp;A517)</x:f>
        <x:v>0</x:v>
      </x:c>
      <x:c r="I517" s="8" t="n">
        <x:f>SUMIFS('PO detail'!$V$2:$V$672,'PO detail'!$A$2:$A$672,B517,'PO detail'!$B$2:$B$672,C517,'PO detail'!$G$2:$G$672,"&gt;="&amp;D517,'PO detail'!$G$2:$G$672,"&lt;"&amp;A517)</x:f>
        <x:v>0</x:v>
      </x:c>
      <x:c r="J517" s="8" t="n">
        <x:f>SUMIFS('PO detail'!$W$2:$W$672,'PO detail'!$A$2:$A$672,B517,'PO detail'!$B$2:$B$672,C517,'PO detail'!$G$2:$G$672,"&gt;="&amp;D517,'PO detail'!$G$2:$G$672,"&lt;"&amp;A517)</x:f>
        <x:v>0</x:v>
      </x:c>
      <x:c r="K517" s="8" t="n">
        <x:f>'Current inventory'!E13*Summary!$D$6*(A517-D517)/30.4375</x:f>
        <x:v>3886.652977412731</x:v>
      </x:c>
      <x:c r="L517" s="8" t="n">
        <x:f>MAX(0,E517+H517-K517)</x:f>
        <x:v>0</x:v>
      </x:c>
      <x:c r="M517" s="8" t="n">
        <x:f>MAX(0,F517+I517-MAX(0,K517-E517-H517))</x:f>
        <x:v>0</x:v>
      </x:c>
      <x:c r="N517" s="8" t="n">
        <x:f>MAX(0,G517+J517-K517)</x:f>
        <x:v>0</x:v>
      </x:c>
      <x:c r="O517" s="8" t="n">
        <x:f>SUM(L517:N517)</x:f>
        <x:v>0</x:v>
      </x:c>
      <x:c r="P517" s="14" t="n">
        <x:f>'Current inventory'!V13</x:f>
        <x:v>0.1957</x:v>
      </x:c>
      <x:c r="Q517" s="14" t="str">
        <x:f>'Current inventory'!W13</x:f>
        <x:v>n.a.</x:v>
      </x:c>
      <x:c r="R517" s="10" t="n">
        <x:f>L517*P517</x:f>
        <x:v>0</x:v>
      </x:c>
      <x:c r="S517" s="10" t="n">
        <x:f>M517*P517</x:f>
        <x:v>0</x:v>
      </x:c>
      <x:c r="T517" s="10" t="n">
        <x:f>N517*P517</x:f>
        <x:v>0</x:v>
      </x:c>
      <x:c r="U517" s="10" t="n">
        <x:f>O517*P517</x:f>
        <x:v>0</x:v>
      </x:c>
      <x:c r="V517" s="10" t="str">
        <x:f>IF(ISNUMBER(Q517),O517*(Q517-P517),"n.a.")</x:f>
        <x:v>n.a.</x:v>
      </x:c>
      <x:c r="W517" s="10" t="n">
        <x:f>IF(ISNUMBER(Q517),U517,0)</x:f>
        <x:v>0</x:v>
      </x:c>
      <x:c r="X517" s="8" t="n">
        <x:f>MAX(0,K517-SUM(E517:J517))</x:f>
        <x:v>3886.652977412731</x:v>
      </x:c>
      <x:c r="Y517" s="1" t="str">
        <x:f>IF(AND(O517&gt;0,NOT(ISNUMBER(Q517))),"No proposed replacement standard",IF(X517&gt;0,"Demand exceeds available stock",""))</x:f>
        <x:v>Demand exceeds available stock</x:v>
      </x:c>
      <x:c r="Z517" s="1" t="n">
        <x:f>IF(ISNUMBER(Q517),1,0)</x:f>
        <x:v>0</x:v>
      </x:c>
    </x:row>
    <x:row r="518" ht="21" customHeight="1">
      <x:c r="A518" s="17" t="n">
        <x:f>Summary!B19</x:f>
        <x:v>46447</x:v>
      </x:c>
      <x:c r="B518" s="1" t="str">
        <x:f>'Current inventory'!A14</x:f>
        <x:v>10</x:v>
      </x:c>
      <x:c r="C518" s="1" t="str">
        <x:f>'Current inventory'!B14</x:f>
        <x:v>800BBLKCSC</x:v>
      </x:c>
      <x:c r="D518" s="7" t="n">
        <x:f>A392</x:f>
        <x:v>46419</x:v>
      </x:c>
      <x:c r="E518" s="8" t="n">
        <x:f>L392</x:f>
        <x:v>0</x:v>
      </x:c>
      <x:c r="F518" s="8" t="n">
        <x:f>M392</x:f>
        <x:v>0</x:v>
      </x:c>
      <x:c r="G518" s="8" t="n">
        <x:f>N392</x:f>
        <x:v>0</x:v>
      </x:c>
      <x:c r="H518" s="8" t="n">
        <x:f>SUMIFS('PO detail'!$U$2:$U$672,'PO detail'!$A$2:$A$672,B518,'PO detail'!$B$2:$B$672,C518,'PO detail'!$G$2:$G$672,"&gt;="&amp;D518,'PO detail'!$G$2:$G$672,"&lt;"&amp;A518)</x:f>
        <x:v>0</x:v>
      </x:c>
      <x:c r="I518" s="8" t="n">
        <x:f>SUMIFS('PO detail'!$V$2:$V$672,'PO detail'!$A$2:$A$672,B518,'PO detail'!$B$2:$B$672,C518,'PO detail'!$G$2:$G$672,"&gt;="&amp;D518,'PO detail'!$G$2:$G$672,"&lt;"&amp;A518)</x:f>
        <x:v>0</x:v>
      </x:c>
      <x:c r="J518" s="8" t="n">
        <x:f>SUMIFS('PO detail'!$W$2:$W$672,'PO detail'!$A$2:$A$672,B518,'PO detail'!$B$2:$B$672,C518,'PO detail'!$G$2:$G$672,"&gt;="&amp;D518,'PO detail'!$G$2:$G$672,"&lt;"&amp;A518)</x:f>
        <x:v>0</x:v>
      </x:c>
      <x:c r="K518" s="8" t="n">
        <x:f>'Current inventory'!E14*Summary!$D$6*(A518-D518)/30.4375</x:f>
        <x:v>3503.36</x:v>
      </x:c>
      <x:c r="L518" s="8" t="n">
        <x:f>MAX(0,E518+H518-K518)</x:f>
        <x:v>0</x:v>
      </x:c>
      <x:c r="M518" s="8" t="n">
        <x:f>MAX(0,F518+I518-MAX(0,K518-E518-H518))</x:f>
        <x:v>0</x:v>
      </x:c>
      <x:c r="N518" s="8" t="n">
        <x:f>MAX(0,G518+J518-K518)</x:f>
        <x:v>0</x:v>
      </x:c>
      <x:c r="O518" s="8" t="n">
        <x:f>SUM(L518:N518)</x:f>
        <x:v>0</x:v>
      </x:c>
      <x:c r="P518" s="14" t="n">
        <x:f>'Current inventory'!V14</x:f>
        <x:v>0.1957</x:v>
      </x:c>
      <x:c r="Q518" s="14" t="str">
        <x:f>'Current inventory'!W14</x:f>
        <x:v>n.a.</x:v>
      </x:c>
      <x:c r="R518" s="10" t="n">
        <x:f>L518*P518</x:f>
        <x:v>0</x:v>
      </x:c>
      <x:c r="S518" s="10" t="n">
        <x:f>M518*P518</x:f>
        <x:v>0</x:v>
      </x:c>
      <x:c r="T518" s="10" t="n">
        <x:f>N518*P518</x:f>
        <x:v>0</x:v>
      </x:c>
      <x:c r="U518" s="10" t="n">
        <x:f>O518*P518</x:f>
        <x:v>0</x:v>
      </x:c>
      <x:c r="V518" s="10" t="str">
        <x:f>IF(ISNUMBER(Q518),O518*(Q518-P518),"n.a.")</x:f>
        <x:v>n.a.</x:v>
      </x:c>
      <x:c r="W518" s="10" t="n">
        <x:f>IF(ISNUMBER(Q518),U518,0)</x:f>
        <x:v>0</x:v>
      </x:c>
      <x:c r="X518" s="8" t="n">
        <x:f>MAX(0,K518-SUM(E518:J518))</x:f>
        <x:v>3503.36</x:v>
      </x:c>
      <x:c r="Y518" s="1" t="str">
        <x:f>IF(AND(O518&gt;0,NOT(ISNUMBER(Q518))),"No proposed replacement standard",IF(X518&gt;0,"Demand exceeds available stock",""))</x:f>
        <x:v>Demand exceeds available stock</x:v>
      </x:c>
      <x:c r="Z518" s="1" t="n">
        <x:f>IF(ISNUMBER(Q518),1,0)</x:f>
        <x:v>0</x:v>
      </x:c>
    </x:row>
    <x:row r="519" ht="21" customHeight="1">
      <x:c r="A519" s="17" t="n">
        <x:f>Summary!B19</x:f>
        <x:v>46447</x:v>
      </x:c>
      <x:c r="B519" s="1" t="str">
        <x:f>'Current inventory'!A15</x:f>
        <x:v>10</x:v>
      </x:c>
      <x:c r="C519" s="1" t="str">
        <x:f>'Current inventory'!B15</x:f>
        <x:v>800BNAVBRC</x:v>
      </x:c>
      <x:c r="D519" s="7" t="n">
        <x:f>A393</x:f>
        <x:v>46419</x:v>
      </x:c>
      <x:c r="E519" s="8" t="n">
        <x:f>L393</x:f>
        <x:v>0</x:v>
      </x:c>
      <x:c r="F519" s="8" t="n">
        <x:f>M393</x:f>
        <x:v>0</x:v>
      </x:c>
      <x:c r="G519" s="8" t="n">
        <x:f>N393</x:f>
        <x:v>0</x:v>
      </x:c>
      <x:c r="H519" s="8" t="n">
        <x:f>SUMIFS('PO detail'!$U$2:$U$672,'PO detail'!$A$2:$A$672,B519,'PO detail'!$B$2:$B$672,C519,'PO detail'!$G$2:$G$672,"&gt;="&amp;D519,'PO detail'!$G$2:$G$672,"&lt;"&amp;A519)</x:f>
        <x:v>0</x:v>
      </x:c>
      <x:c r="I519" s="8" t="n">
        <x:f>SUMIFS('PO detail'!$V$2:$V$672,'PO detail'!$A$2:$A$672,B519,'PO detail'!$B$2:$B$672,C519,'PO detail'!$G$2:$G$672,"&gt;="&amp;D519,'PO detail'!$G$2:$G$672,"&lt;"&amp;A519)</x:f>
        <x:v>0</x:v>
      </x:c>
      <x:c r="J519" s="8" t="n">
        <x:f>SUMIFS('PO detail'!$W$2:$W$672,'PO detail'!$A$2:$A$672,B519,'PO detail'!$B$2:$B$672,C519,'PO detail'!$G$2:$G$672,"&gt;="&amp;D519,'PO detail'!$G$2:$G$672,"&lt;"&amp;A519)</x:f>
        <x:v>0</x:v>
      </x:c>
      <x:c r="K519" s="8" t="n">
        <x:f>'Current inventory'!E15*Summary!$D$6*(A519-D519)/30.4375</x:f>
        <x:v>3311.7043121149895</x:v>
      </x:c>
      <x:c r="L519" s="8" t="n">
        <x:f>MAX(0,E519+H519-K519)</x:f>
        <x:v>0</x:v>
      </x:c>
      <x:c r="M519" s="8" t="n">
        <x:f>MAX(0,F519+I519-MAX(0,K519-E519-H519))</x:f>
        <x:v>0</x:v>
      </x:c>
      <x:c r="N519" s="8" t="n">
        <x:f>MAX(0,G519+J519-K519)</x:f>
        <x:v>0</x:v>
      </x:c>
      <x:c r="O519" s="8" t="n">
        <x:f>SUM(L519:N519)</x:f>
        <x:v>0</x:v>
      </x:c>
      <x:c r="P519" s="14" t="n">
        <x:f>'Current inventory'!V15</x:f>
        <x:v>0.17370000000000002</x:v>
      </x:c>
      <x:c r="Q519" s="14" t="str">
        <x:f>'Current inventory'!W15</x:f>
        <x:v>n.a.</x:v>
      </x:c>
      <x:c r="R519" s="10" t="n">
        <x:f>L519*P519</x:f>
        <x:v>0</x:v>
      </x:c>
      <x:c r="S519" s="10" t="n">
        <x:f>M519*P519</x:f>
        <x:v>0</x:v>
      </x:c>
      <x:c r="T519" s="10" t="n">
        <x:f>N519*P519</x:f>
        <x:v>0</x:v>
      </x:c>
      <x:c r="U519" s="10" t="n">
        <x:f>O519*P519</x:f>
        <x:v>0</x:v>
      </x:c>
      <x:c r="V519" s="10" t="str">
        <x:f>IF(ISNUMBER(Q519),O519*(Q519-P519),"n.a.")</x:f>
        <x:v>n.a.</x:v>
      </x:c>
      <x:c r="W519" s="10" t="n">
        <x:f>IF(ISNUMBER(Q519),U519,0)</x:f>
        <x:v>0</x:v>
      </x:c>
      <x:c r="X519" s="8" t="n">
        <x:f>MAX(0,K519-SUM(E519:J519))</x:f>
        <x:v>3311.7043121149895</x:v>
      </x:c>
      <x:c r="Y519" s="1" t="str">
        <x:f>IF(AND(O519&gt;0,NOT(ISNUMBER(Q519))),"No proposed replacement standard",IF(X519&gt;0,"Demand exceeds available stock",""))</x:f>
        <x:v>Demand exceeds available stock</x:v>
      </x:c>
      <x:c r="Z519" s="1" t="n">
        <x:f>IF(ISNUMBER(Q519),1,0)</x:f>
        <x:v>0</x:v>
      </x:c>
    </x:row>
    <x:row r="520" ht="21" customHeight="1">
      <x:c r="A520" s="17" t="n">
        <x:f>Summary!B19</x:f>
        <x:v>46447</x:v>
      </x:c>
      <x:c r="B520" s="1" t="str">
        <x:f>'Current inventory'!A16</x:f>
        <x:v>10</x:v>
      </x:c>
      <x:c r="C520" s="1" t="str">
        <x:f>'Current inventory'!B16</x:f>
        <x:v>800BMARASC</x:v>
      </x:c>
      <x:c r="D520" s="7" t="n">
        <x:f>A394</x:f>
        <x:v>46419</x:v>
      </x:c>
      <x:c r="E520" s="8" t="n">
        <x:f>L394</x:f>
        <x:v>18787.268993839833</x:v>
      </x:c>
      <x:c r="F520" s="8" t="n">
        <x:f>M394</x:f>
        <x:v>20000</x:v>
      </x:c>
      <x:c r="G520" s="8" t="n">
        <x:f>N394</x:f>
        <x:v>0</x:v>
      </x:c>
      <x:c r="H520" s="8" t="n">
        <x:f>SUMIFS('PO detail'!$U$2:$U$672,'PO detail'!$A$2:$A$672,B520,'PO detail'!$B$2:$B$672,C520,'PO detail'!$G$2:$G$672,"&gt;="&amp;D520,'PO detail'!$G$2:$G$672,"&lt;"&amp;A520)</x:f>
        <x:v>0</x:v>
      </x:c>
      <x:c r="I520" s="8" t="n">
        <x:f>SUMIFS('PO detail'!$V$2:$V$672,'PO detail'!$A$2:$A$672,B520,'PO detail'!$B$2:$B$672,C520,'PO detail'!$G$2:$G$672,"&gt;="&amp;D520,'PO detail'!$G$2:$G$672,"&lt;"&amp;A520)</x:f>
        <x:v>0</x:v>
      </x:c>
      <x:c r="J520" s="8" t="n">
        <x:f>SUMIFS('PO detail'!$W$2:$W$672,'PO detail'!$A$2:$A$672,B520,'PO detail'!$B$2:$B$672,C520,'PO detail'!$G$2:$G$672,"&gt;="&amp;D520,'PO detail'!$G$2:$G$672,"&lt;"&amp;A520)</x:f>
        <x:v>0</x:v>
      </x:c>
      <x:c r="K520" s="8" t="n">
        <x:f>'Current inventory'!E16*Summary!$D$6*(A520-D520)/30.4375</x:f>
        <x:v>3265.7084188911704</x:v>
      </x:c>
      <x:c r="L520" s="8" t="n">
        <x:f>MAX(0,E520+H520-K520)</x:f>
        <x:v>15521.560574948662</x:v>
      </x:c>
      <x:c r="M520" s="8" t="n">
        <x:f>MAX(0,F520+I520-MAX(0,K520-E520-H520))</x:f>
        <x:v>20000</x:v>
      </x:c>
      <x:c r="N520" s="8" t="n">
        <x:f>MAX(0,G520+J520-K520)</x:f>
        <x:v>0</x:v>
      </x:c>
      <x:c r="O520" s="8" t="n">
        <x:f>SUM(L520:N520)</x:f>
        <x:v>35521.560574948664</x:v>
      </x:c>
      <x:c r="P520" s="14" t="n">
        <x:f>'Current inventory'!V16</x:f>
        <x:v>0.1598</x:v>
      </x:c>
      <x:c r="Q520" s="14" t="n">
        <x:f>'Current inventory'!W16</x:f>
        <x:v>0.16695000000000002</x:v>
      </x:c>
      <x:c r="R520" s="10" t="n">
        <x:f>L520*P520</x:f>
        <x:v>2480.345379876796</x:v>
      </x:c>
      <x:c r="S520" s="10" t="n">
        <x:f>M520*P520</x:f>
        <x:v>3196</x:v>
      </x:c>
      <x:c r="T520" s="10" t="n">
        <x:f>N520*P520</x:f>
        <x:v>0</x:v>
      </x:c>
      <x:c r="U520" s="10" t="n">
        <x:f>O520*P520</x:f>
        <x:v>5676.345379876797</x:v>
      </x:c>
      <x:c r="V520" s="10" t="n">
        <x:f>IF(ISNUMBER(Q520),O520*(Q520-P520),"n.a.")</x:f>
        <x:v>253.97915811088356</x:v>
      </x:c>
      <x:c r="W520" s="10" t="n">
        <x:f>IF(ISNUMBER(Q520),U520,0)</x:f>
        <x:v>5676.345379876797</x:v>
      </x:c>
      <x:c r="X520" s="8" t="n">
        <x:f>MAX(0,K520-SUM(E520:J520))</x:f>
        <x:v>0</x:v>
      </x:c>
      <x:c r="Y520" s="1" t="str">
        <x:f>IF(AND(O520&gt;0,NOT(ISNUMBER(Q520))),"No proposed replacement standard",IF(X520&gt;0,"Demand exceeds available stock",""))</x:f>
      </x:c>
      <x:c r="Z520" s="1" t="n">
        <x:f>IF(ISNUMBER(Q520),1,0)</x:f>
        <x:v>1</x:v>
      </x:c>
    </x:row>
    <x:row r="521" ht="21" customHeight="1">
      <x:c r="A521" s="17" t="n">
        <x:f>Summary!B19</x:f>
        <x:v>46447</x:v>
      </x:c>
      <x:c r="B521" s="1" t="str">
        <x:f>'Current inventory'!A17</x:f>
        <x:v>60</x:v>
      </x:c>
      <x:c r="C521" s="1" t="str">
        <x:f>'Current inventory'!B17</x:f>
        <x:v>800BNAVISC</x:v>
      </x:c>
      <x:c r="D521" s="7" t="n">
        <x:f>A395</x:f>
        <x:v>46419</x:v>
      </x:c>
      <x:c r="E521" s="8" t="n">
        <x:f>L395</x:f>
        <x:v>0</x:v>
      </x:c>
      <x:c r="F521" s="8" t="n">
        <x:f>M395</x:f>
        <x:v>0</x:v>
      </x:c>
      <x:c r="G521" s="8" t="n">
        <x:f>N395</x:f>
        <x:v>0</x:v>
      </x:c>
      <x:c r="H521" s="8" t="n">
        <x:f>SUMIFS('PO detail'!$U$2:$U$672,'PO detail'!$A$2:$A$672,B521,'PO detail'!$B$2:$B$672,C521,'PO detail'!$G$2:$G$672,"&gt;="&amp;D521,'PO detail'!$G$2:$G$672,"&lt;"&amp;A521)</x:f>
        <x:v>0</x:v>
      </x:c>
      <x:c r="I521" s="8" t="n">
        <x:f>SUMIFS('PO detail'!$V$2:$V$672,'PO detail'!$A$2:$A$672,B521,'PO detail'!$B$2:$B$672,C521,'PO detail'!$G$2:$G$672,"&gt;="&amp;D521,'PO detail'!$G$2:$G$672,"&lt;"&amp;A521)</x:f>
        <x:v>0</x:v>
      </x:c>
      <x:c r="J521" s="8" t="n">
        <x:f>SUMIFS('PO detail'!$W$2:$W$672,'PO detail'!$A$2:$A$672,B521,'PO detail'!$B$2:$B$672,C521,'PO detail'!$G$2:$G$672,"&gt;="&amp;D521,'PO detail'!$G$2:$G$672,"&lt;"&amp;A521)</x:f>
        <x:v>0</x:v>
      </x:c>
      <x:c r="K521" s="8" t="n">
        <x:f>'Current inventory'!E17*Summary!$D$6*(A521-D521)/30.4375</x:f>
        <x:v>2867.0804106776186</x:v>
      </x:c>
      <x:c r="L521" s="8" t="n">
        <x:f>MAX(0,E521+H521-K521)</x:f>
        <x:v>0</x:v>
      </x:c>
      <x:c r="M521" s="8" t="n">
        <x:f>MAX(0,F521+I521-MAX(0,K521-E521-H521))</x:f>
        <x:v>0</x:v>
      </x:c>
      <x:c r="N521" s="8" t="n">
        <x:f>MAX(0,G521+J521-K521)</x:f>
        <x:v>0</x:v>
      </x:c>
      <x:c r="O521" s="8" t="n">
        <x:f>SUM(L521:N521)</x:f>
        <x:v>0</x:v>
      </x:c>
      <x:c r="P521" s="14" t="n">
        <x:f>'Current inventory'!V17</x:f>
        <x:v>0.16870000000000002</x:v>
      </x:c>
      <x:c r="Q521" s="14" t="str">
        <x:f>'Current inventory'!W17</x:f>
        <x:v>n.a.</x:v>
      </x:c>
      <x:c r="R521" s="10" t="n">
        <x:f>L521*P521</x:f>
        <x:v>0</x:v>
      </x:c>
      <x:c r="S521" s="10" t="n">
        <x:f>M521*P521</x:f>
        <x:v>0</x:v>
      </x:c>
      <x:c r="T521" s="10" t="n">
        <x:f>N521*P521</x:f>
        <x:v>0</x:v>
      </x:c>
      <x:c r="U521" s="10" t="n">
        <x:f>O521*P521</x:f>
        <x:v>0</x:v>
      </x:c>
      <x:c r="V521" s="10" t="str">
        <x:f>IF(ISNUMBER(Q521),O521*(Q521-P521),"n.a.")</x:f>
        <x:v>n.a.</x:v>
      </x:c>
      <x:c r="W521" s="10" t="n">
        <x:f>IF(ISNUMBER(Q521),U521,0)</x:f>
        <x:v>0</x:v>
      </x:c>
      <x:c r="X521" s="8" t="n">
        <x:f>MAX(0,K521-SUM(E521:J521))</x:f>
        <x:v>2867.0804106776186</x:v>
      </x:c>
      <x:c r="Y521" s="1" t="str">
        <x:f>IF(AND(O521&gt;0,NOT(ISNUMBER(Q521))),"No proposed replacement standard",IF(X521&gt;0,"Demand exceeds available stock",""))</x:f>
        <x:v>Demand exceeds available stock</x:v>
      </x:c>
      <x:c r="Z521" s="1" t="n">
        <x:f>IF(ISNUMBER(Q521),1,0)</x:f>
        <x:v>0</x:v>
      </x:c>
    </x:row>
    <x:row r="522" ht="21" customHeight="1">
      <x:c r="A522" s="17" t="n">
        <x:f>Summary!B19</x:f>
        <x:v>46447</x:v>
      </x:c>
      <x:c r="B522" s="1" t="str">
        <x:f>'Current inventory'!A18</x:f>
        <x:v>10</x:v>
      </x:c>
      <x:c r="C522" s="1" t="str">
        <x:f>'Current inventory'!B18</x:f>
        <x:v>800BNAVISC</x:v>
      </x:c>
      <x:c r="D522" s="7" t="n">
        <x:f>A396</x:f>
        <x:v>46419</x:v>
      </x:c>
      <x:c r="E522" s="8" t="n">
        <x:f>L396</x:f>
        <x:v>0</x:v>
      </x:c>
      <x:c r="F522" s="8" t="n">
        <x:f>M396</x:f>
        <x:v>0</x:v>
      </x:c>
      <x:c r="G522" s="8" t="n">
        <x:f>N396</x:f>
        <x:v>0</x:v>
      </x:c>
      <x:c r="H522" s="8" t="n">
        <x:f>SUMIFS('PO detail'!$U$2:$U$672,'PO detail'!$A$2:$A$672,B522,'PO detail'!$B$2:$B$672,C522,'PO detail'!$G$2:$G$672,"&gt;="&amp;D522,'PO detail'!$G$2:$G$672,"&lt;"&amp;A522)</x:f>
        <x:v>0</x:v>
      </x:c>
      <x:c r="I522" s="8" t="n">
        <x:f>SUMIFS('PO detail'!$V$2:$V$672,'PO detail'!$A$2:$A$672,B522,'PO detail'!$B$2:$B$672,C522,'PO detail'!$G$2:$G$672,"&gt;="&amp;D522,'PO detail'!$G$2:$G$672,"&lt;"&amp;A522)</x:f>
        <x:v>0</x:v>
      </x:c>
      <x:c r="J522" s="8" t="n">
        <x:f>SUMIFS('PO detail'!$W$2:$W$672,'PO detail'!$A$2:$A$672,B522,'PO detail'!$B$2:$B$672,C522,'PO detail'!$G$2:$G$672,"&gt;="&amp;D522,'PO detail'!$G$2:$G$672,"&lt;"&amp;A522)</x:f>
        <x:v>0</x:v>
      </x:c>
      <x:c r="K522" s="8" t="n">
        <x:f>'Current inventory'!E18*Summary!$D$6*(A522-D522)/30.4375</x:f>
        <x:v>2821.084517453799</x:v>
      </x:c>
      <x:c r="L522" s="8" t="n">
        <x:f>MAX(0,E522+H522-K522)</x:f>
        <x:v>0</x:v>
      </x:c>
      <x:c r="M522" s="8" t="n">
        <x:f>MAX(0,F522+I522-MAX(0,K522-E522-H522))</x:f>
        <x:v>0</x:v>
      </x:c>
      <x:c r="N522" s="8" t="n">
        <x:f>MAX(0,G522+J522-K522)</x:f>
        <x:v>0</x:v>
      </x:c>
      <x:c r="O522" s="8" t="n">
        <x:f>SUM(L522:N522)</x:f>
        <x:v>0</x:v>
      </x:c>
      <x:c r="P522" s="14" t="n">
        <x:f>'Current inventory'!V18</x:f>
        <x:v>0.16870000000000002</x:v>
      </x:c>
      <x:c r="Q522" s="14" t="str">
        <x:f>'Current inventory'!W18</x:f>
        <x:v>n.a.</x:v>
      </x:c>
      <x:c r="R522" s="10" t="n">
        <x:f>L522*P522</x:f>
        <x:v>0</x:v>
      </x:c>
      <x:c r="S522" s="10" t="n">
        <x:f>M522*P522</x:f>
        <x:v>0</x:v>
      </x:c>
      <x:c r="T522" s="10" t="n">
        <x:f>N522*P522</x:f>
        <x:v>0</x:v>
      </x:c>
      <x:c r="U522" s="10" t="n">
        <x:f>O522*P522</x:f>
        <x:v>0</x:v>
      </x:c>
      <x:c r="V522" s="10" t="str">
        <x:f>IF(ISNUMBER(Q522),O522*(Q522-P522),"n.a.")</x:f>
        <x:v>n.a.</x:v>
      </x:c>
      <x:c r="W522" s="10" t="n">
        <x:f>IF(ISNUMBER(Q522),U522,0)</x:f>
        <x:v>0</x:v>
      </x:c>
      <x:c r="X522" s="8" t="n">
        <x:f>MAX(0,K522-SUM(E522:J522))</x:f>
        <x:v>2821.084517453799</x:v>
      </x:c>
      <x:c r="Y522" s="1" t="str">
        <x:f>IF(AND(O522&gt;0,NOT(ISNUMBER(Q522))),"No proposed replacement standard",IF(X522&gt;0,"Demand exceeds available stock",""))</x:f>
        <x:v>Demand exceeds available stock</x:v>
      </x:c>
      <x:c r="Z522" s="1" t="n">
        <x:f>IF(ISNUMBER(Q522),1,0)</x:f>
        <x:v>0</x:v>
      </x:c>
    </x:row>
    <x:row r="523" ht="21" customHeight="1">
      <x:c r="A523" s="17" t="n">
        <x:f>Summary!B19</x:f>
        <x:v>46447</x:v>
      </x:c>
      <x:c r="B523" s="1" t="str">
        <x:f>'Current inventory'!A19</x:f>
        <x:v>60</x:v>
      </x:c>
      <x:c r="C523" s="1" t="str">
        <x:f>'Current inventory'!B19</x:f>
        <x:v>800BMARASC</x:v>
      </x:c>
      <x:c r="D523" s="7" t="n">
        <x:f>A397</x:f>
        <x:v>46419</x:v>
      </x:c>
      <x:c r="E523" s="8" t="n">
        <x:f>L397</x:f>
        <x:v>0</x:v>
      </x:c>
      <x:c r="F523" s="8" t="n">
        <x:f>M397</x:f>
        <x:v>54900.56016427105</x:v>
      </x:c>
      <x:c r="G523" s="8" t="n">
        <x:f>N397</x:f>
        <x:v>0</x:v>
      </x:c>
      <x:c r="H523" s="8" t="n">
        <x:f>SUMIFS('PO detail'!$U$2:$U$672,'PO detail'!$A$2:$A$672,B523,'PO detail'!$B$2:$B$672,C523,'PO detail'!$G$2:$G$672,"&gt;="&amp;D523,'PO detail'!$G$2:$G$672,"&lt;"&amp;A523)</x:f>
        <x:v>0</x:v>
      </x:c>
      <x:c r="I523" s="8" t="n">
        <x:f>SUMIFS('PO detail'!$V$2:$V$672,'PO detail'!$A$2:$A$672,B523,'PO detail'!$B$2:$B$672,C523,'PO detail'!$G$2:$G$672,"&gt;="&amp;D523,'PO detail'!$G$2:$G$672,"&lt;"&amp;A523)</x:f>
        <x:v>0</x:v>
      </x:c>
      <x:c r="J523" s="8" t="n">
        <x:f>SUMIFS('PO detail'!$W$2:$W$672,'PO detail'!$A$2:$A$672,B523,'PO detail'!$B$2:$B$672,C523,'PO detail'!$G$2:$G$672,"&gt;="&amp;D523,'PO detail'!$G$2:$G$672,"&lt;"&amp;A523)</x:f>
        <x:v>0</x:v>
      </x:c>
      <x:c r="K523" s="8" t="n">
        <x:f>'Current inventory'!E19*Summary!$D$6*(A523-D523)/30.4375</x:f>
        <x:v>2629.4288295687884</x:v>
      </x:c>
      <x:c r="L523" s="8" t="n">
        <x:f>MAX(0,E523+H523-K523)</x:f>
        <x:v>0</x:v>
      </x:c>
      <x:c r="M523" s="8" t="n">
        <x:f>MAX(0,F523+I523-MAX(0,K523-E523-H523))</x:f>
        <x:v>52271.131334702266</x:v>
      </x:c>
      <x:c r="N523" s="8" t="n">
        <x:f>MAX(0,G523+J523-K523)</x:f>
        <x:v>0</x:v>
      </x:c>
      <x:c r="O523" s="8" t="n">
        <x:f>SUM(L523:N523)</x:f>
        <x:v>52271.131334702266</x:v>
      </x:c>
      <x:c r="P523" s="14" t="n">
        <x:f>'Current inventory'!V19</x:f>
        <x:v>0.1598</x:v>
      </x:c>
      <x:c r="Q523" s="14" t="n">
        <x:f>'Current inventory'!W19</x:f>
        <x:v>0.16695000000000002</x:v>
      </x:c>
      <x:c r="R523" s="10" t="n">
        <x:f>L523*P523</x:f>
        <x:v>0</x:v>
      </x:c>
      <x:c r="S523" s="10" t="n">
        <x:f>M523*P523</x:f>
        <x:v>8352.926787285422</x:v>
      </x:c>
      <x:c r="T523" s="10" t="n">
        <x:f>N523*P523</x:f>
        <x:v>0</x:v>
      </x:c>
      <x:c r="U523" s="10" t="n">
        <x:f>O523*P523</x:f>
        <x:v>8352.926787285422</x:v>
      </x:c>
      <x:c r="V523" s="10" t="n">
        <x:f>IF(ISNUMBER(Q523),O523*(Q523-P523),"n.a.")</x:f>
        <x:v>373.7385890431221</x:v>
      </x:c>
      <x:c r="W523" s="10" t="n">
        <x:f>IF(ISNUMBER(Q523),U523,0)</x:f>
        <x:v>8352.926787285422</x:v>
      </x:c>
      <x:c r="X523" s="8" t="n">
        <x:f>MAX(0,K523-SUM(E523:J523))</x:f>
        <x:v>0</x:v>
      </x:c>
      <x:c r="Y523" s="1" t="str">
        <x:f>IF(AND(O523&gt;0,NOT(ISNUMBER(Q523))),"No proposed replacement standard",IF(X523&gt;0,"Demand exceeds available stock",""))</x:f>
      </x:c>
      <x:c r="Z523" s="1" t="n">
        <x:f>IF(ISNUMBER(Q523),1,0)</x:f>
        <x:v>1</x:v>
      </x:c>
    </x:row>
    <x:row r="524" ht="21" customHeight="1">
      <x:c r="A524" s="17" t="n">
        <x:f>Summary!B19</x:f>
        <x:v>46447</x:v>
      </x:c>
      <x:c r="B524" s="1" t="str">
        <x:f>'Current inventory'!A20</x:f>
        <x:v>30</x:v>
      </x:c>
      <x:c r="C524" s="1" t="str">
        <x:f>'Current inventory'!B20</x:f>
        <x:v>800BBLKISC</x:v>
      </x:c>
      <x:c r="D524" s="7" t="n">
        <x:f>A398</x:f>
        <x:v>46419</x:v>
      </x:c>
      <x:c r="E524" s="8" t="n">
        <x:f>L398</x:f>
        <x:v>31482.13552361397</x:v>
      </x:c>
      <x:c r="F524" s="8" t="n">
        <x:f>M398</x:f>
        <x:v>0</x:v>
      </x:c>
      <x:c r="G524" s="8" t="n">
        <x:f>N398</x:f>
        <x:v>0</x:v>
      </x:c>
      <x:c r="H524" s="8" t="n">
        <x:f>SUMIFS('PO detail'!$U$2:$U$672,'PO detail'!$A$2:$A$672,B524,'PO detail'!$B$2:$B$672,C524,'PO detail'!$G$2:$G$672,"&gt;="&amp;D524,'PO detail'!$G$2:$G$672,"&lt;"&amp;A524)</x:f>
        <x:v>0</x:v>
      </x:c>
      <x:c r="I524" s="8" t="n">
        <x:f>SUMIFS('PO detail'!$V$2:$V$672,'PO detail'!$A$2:$A$672,B524,'PO detail'!$B$2:$B$672,C524,'PO detail'!$G$2:$G$672,"&gt;="&amp;D524,'PO detail'!$G$2:$G$672,"&lt;"&amp;A524)</x:f>
        <x:v>0</x:v>
      </x:c>
      <x:c r="J524" s="8" t="n">
        <x:f>SUMIFS('PO detail'!$W$2:$W$672,'PO detail'!$A$2:$A$672,B524,'PO detail'!$B$2:$B$672,C524,'PO detail'!$G$2:$G$672,"&gt;="&amp;D524,'PO detail'!$G$2:$G$672,"&lt;"&amp;A524)</x:f>
        <x:v>0</x:v>
      </x:c>
      <x:c r="K524" s="8" t="n">
        <x:f>'Current inventory'!E20*Summary!$D$6*(A524-D524)/30.4375</x:f>
        <x:v>2414.7843942505133</x:v>
      </x:c>
      <x:c r="L524" s="8" t="n">
        <x:f>MAX(0,E524+H524-K524)</x:f>
        <x:v>29067.35112936346</x:v>
      </x:c>
      <x:c r="M524" s="8" t="n">
        <x:f>MAX(0,F524+I524-MAX(0,K524-E524-H524))</x:f>
        <x:v>0</x:v>
      </x:c>
      <x:c r="N524" s="8" t="n">
        <x:f>MAX(0,G524+J524-K524)</x:f>
        <x:v>0</x:v>
      </x:c>
      <x:c r="O524" s="8" t="n">
        <x:f>SUM(L524:N524)</x:f>
        <x:v>29067.35112936346</x:v>
      </x:c>
      <x:c r="P524" s="14" t="n">
        <x:f>'Current inventory'!V20</x:f>
        <x:v>0.1612</x:v>
      </x:c>
      <x:c r="Q524" s="14" t="n">
        <x:f>'Current inventory'!W20</x:f>
        <x:v>0.16842</x:v>
      </x:c>
      <x:c r="R524" s="10" t="n">
        <x:f>L524*P524</x:f>
        <x:v>4685.65700205339</x:v>
      </x:c>
      <x:c r="S524" s="10" t="n">
        <x:f>M524*P524</x:f>
        <x:v>0</x:v>
      </x:c>
      <x:c r="T524" s="10" t="n">
        <x:f>N524*P524</x:f>
        <x:v>0</x:v>
      </x:c>
      <x:c r="U524" s="10" t="n">
        <x:f>O524*P524</x:f>
        <x:v>4685.65700205339</x:v>
      </x:c>
      <x:c r="V524" s="10" t="n">
        <x:f>IF(ISNUMBER(Q524),O524*(Q524-P524),"n.a.")</x:f>
        <x:v>209.8662751540035</x:v>
      </x:c>
      <x:c r="W524" s="10" t="n">
        <x:f>IF(ISNUMBER(Q524),U524,0)</x:f>
        <x:v>4685.65700205339</x:v>
      </x:c>
      <x:c r="X524" s="8" t="n">
        <x:f>MAX(0,K524-SUM(E524:J524))</x:f>
        <x:v>0</x:v>
      </x:c>
      <x:c r="Y524" s="1" t="str">
        <x:f>IF(AND(O524&gt;0,NOT(ISNUMBER(Q524))),"No proposed replacement standard",IF(X524&gt;0,"Demand exceeds available stock",""))</x:f>
      </x:c>
      <x:c r="Z524" s="1" t="n">
        <x:f>IF(ISNUMBER(Q524),1,0)</x:f>
        <x:v>1</x:v>
      </x:c>
    </x:row>
    <x:row r="525" ht="21" customHeight="1">
      <x:c r="A525" s="17" t="n">
        <x:f>Summary!B19</x:f>
        <x:v>46447</x:v>
      </x:c>
      <x:c r="B525" s="1" t="str">
        <x:f>'Current inventory'!A21</x:f>
        <x:v>10</x:v>
      </x:c>
      <x:c r="C525" s="1" t="str">
        <x:f>'Current inventory'!B21</x:f>
        <x:v>800BBLKBRC</x:v>
      </x:c>
      <x:c r="D525" s="7" t="n">
        <x:f>A399</x:f>
        <x:v>46419</x:v>
      </x:c>
      <x:c r="E525" s="8" t="n">
        <x:f>L399</x:f>
        <x:v>0</x:v>
      </x:c>
      <x:c r="F525" s="8" t="n">
        <x:f>M399</x:f>
        <x:v>0</x:v>
      </x:c>
      <x:c r="G525" s="8" t="n">
        <x:f>N399</x:f>
        <x:v>0</x:v>
      </x:c>
      <x:c r="H525" s="8" t="n">
        <x:f>SUMIFS('PO detail'!$U$2:$U$672,'PO detail'!$A$2:$A$672,B525,'PO detail'!$B$2:$B$672,C525,'PO detail'!$G$2:$G$672,"&gt;="&amp;D525,'PO detail'!$G$2:$G$672,"&lt;"&amp;A525)</x:f>
        <x:v>0</x:v>
      </x:c>
      <x:c r="I525" s="8" t="n">
        <x:f>SUMIFS('PO detail'!$V$2:$V$672,'PO detail'!$A$2:$A$672,B525,'PO detail'!$B$2:$B$672,C525,'PO detail'!$G$2:$G$672,"&gt;="&amp;D525,'PO detail'!$G$2:$G$672,"&lt;"&amp;A525)</x:f>
        <x:v>0</x:v>
      </x:c>
      <x:c r="J525" s="8" t="n">
        <x:f>SUMIFS('PO detail'!$W$2:$W$672,'PO detail'!$A$2:$A$672,B525,'PO detail'!$B$2:$B$672,C525,'PO detail'!$G$2:$G$672,"&gt;="&amp;D525,'PO detail'!$G$2:$G$672,"&lt;"&amp;A525)</x:f>
        <x:v>0</x:v>
      </x:c>
      <x:c r="K525" s="8" t="n">
        <x:f>'Current inventory'!E21*Summary!$D$6*(A525-D525)/30.4375</x:f>
        <x:v>2246.135852156058</x:v>
      </x:c>
      <x:c r="L525" s="8" t="n">
        <x:f>MAX(0,E525+H525-K525)</x:f>
        <x:v>0</x:v>
      </x:c>
      <x:c r="M525" s="8" t="n">
        <x:f>MAX(0,F525+I525-MAX(0,K525-E525-H525))</x:f>
        <x:v>0</x:v>
      </x:c>
      <x:c r="N525" s="8" t="n">
        <x:f>MAX(0,G525+J525-K525)</x:f>
        <x:v>0</x:v>
      </x:c>
      <x:c r="O525" s="8" t="n">
        <x:f>SUM(L525:N525)</x:f>
        <x:v>0</x:v>
      </x:c>
      <x:c r="P525" s="14" t="n">
        <x:f>'Current inventory'!V21</x:f>
        <x:v>0.16829999999999998</x:v>
      </x:c>
      <x:c r="Q525" s="14" t="str">
        <x:f>'Current inventory'!W21</x:f>
        <x:v>n.a.</x:v>
      </x:c>
      <x:c r="R525" s="10" t="n">
        <x:f>L525*P525</x:f>
        <x:v>0</x:v>
      </x:c>
      <x:c r="S525" s="10" t="n">
        <x:f>M525*P525</x:f>
        <x:v>0</x:v>
      </x:c>
      <x:c r="T525" s="10" t="n">
        <x:f>N525*P525</x:f>
        <x:v>0</x:v>
      </x:c>
      <x:c r="U525" s="10" t="n">
        <x:f>O525*P525</x:f>
        <x:v>0</x:v>
      </x:c>
      <x:c r="V525" s="10" t="str">
        <x:f>IF(ISNUMBER(Q525),O525*(Q525-P525),"n.a.")</x:f>
        <x:v>n.a.</x:v>
      </x:c>
      <x:c r="W525" s="10" t="n">
        <x:f>IF(ISNUMBER(Q525),U525,0)</x:f>
        <x:v>0</x:v>
      </x:c>
      <x:c r="X525" s="8" t="n">
        <x:f>MAX(0,K525-SUM(E525:J525))</x:f>
        <x:v>2246.135852156058</x:v>
      </x:c>
      <x:c r="Y525" s="1" t="str">
        <x:f>IF(AND(O525&gt;0,NOT(ISNUMBER(Q525))),"No proposed replacement standard",IF(X525&gt;0,"Demand exceeds available stock",""))</x:f>
        <x:v>Demand exceeds available stock</x:v>
      </x:c>
      <x:c r="Z525" s="1" t="n">
        <x:f>IF(ISNUMBER(Q525),1,0)</x:f>
        <x:v>0</x:v>
      </x:c>
    </x:row>
    <x:row r="526" ht="21" customHeight="1">
      <x:c r="A526" s="17" t="n">
        <x:f>Summary!B19</x:f>
        <x:v>46447</x:v>
      </x:c>
      <x:c r="B526" s="1" t="str">
        <x:f>'Current inventory'!A22</x:f>
        <x:v>60</x:v>
      </x:c>
      <x:c r="C526" s="1" t="str">
        <x:f>'Current inventory'!B22</x:f>
        <x:v>800NAVE</x:v>
      </x:c>
      <x:c r="D526" s="7" t="n">
        <x:f>A400</x:f>
        <x:v>46419</x:v>
      </x:c>
      <x:c r="E526" s="8" t="n">
        <x:f>L400</x:f>
        <x:v>0</x:v>
      </x:c>
      <x:c r="F526" s="8" t="n">
        <x:f>M400</x:f>
        <x:v>6395.579055441478</x:v>
      </x:c>
      <x:c r="G526" s="8" t="n">
        <x:f>N400</x:f>
        <x:v>0</x:v>
      </x:c>
      <x:c r="H526" s="8" t="n">
        <x:f>SUMIFS('PO detail'!$U$2:$U$672,'PO detail'!$A$2:$A$672,B526,'PO detail'!$B$2:$B$672,C526,'PO detail'!$G$2:$G$672,"&gt;="&amp;D526,'PO detail'!$G$2:$G$672,"&lt;"&amp;A526)</x:f>
        <x:v>0</x:v>
      </x:c>
      <x:c r="I526" s="8" t="n">
        <x:f>SUMIFS('PO detail'!$V$2:$V$672,'PO detail'!$A$2:$A$672,B526,'PO detail'!$B$2:$B$672,C526,'PO detail'!$G$2:$G$672,"&gt;="&amp;D526,'PO detail'!$G$2:$G$672,"&lt;"&amp;A526)</x:f>
        <x:v>0</x:v>
      </x:c>
      <x:c r="J526" s="8" t="n">
        <x:f>SUMIFS('PO detail'!$W$2:$W$672,'PO detail'!$A$2:$A$672,B526,'PO detail'!$B$2:$B$672,C526,'PO detail'!$G$2:$G$672,"&gt;="&amp;D526,'PO detail'!$G$2:$G$672,"&lt;"&amp;A526)</x:f>
        <x:v>0</x:v>
      </x:c>
      <x:c r="K526" s="8" t="n">
        <x:f>'Current inventory'!E22*Summary!$D$6*(A526-D526)/30.4375</x:f>
        <x:v>2192.6242299794662</x:v>
      </x:c>
      <x:c r="L526" s="8" t="n">
        <x:f>MAX(0,E526+H526-K526)</x:f>
        <x:v>0</x:v>
      </x:c>
      <x:c r="M526" s="8" t="n">
        <x:f>MAX(0,F526+I526-MAX(0,K526-E526-H526))</x:f>
        <x:v>4202.954825462011</x:v>
      </x:c>
      <x:c r="N526" s="8" t="n">
        <x:f>MAX(0,G526+J526-K526)</x:f>
        <x:v>0</x:v>
      </x:c>
      <x:c r="O526" s="8" t="n">
        <x:f>SUM(L526:N526)</x:f>
        <x:v>4202.954825462011</x:v>
      </x:c>
      <x:c r="P526" s="14" t="n">
        <x:f>'Current inventory'!V22</x:f>
        <x:v>1.04328</x:v>
      </x:c>
      <x:c r="Q526" s="14" t="n">
        <x:f>'Current inventory'!W22</x:f>
        <x:v>1.090215</x:v>
      </x:c>
      <x:c r="R526" s="10" t="n">
        <x:f>L526*P526</x:f>
        <x:v>0</x:v>
      </x:c>
      <x:c r="S526" s="10" t="n">
        <x:f>M526*P526</x:f>
        <x:v>4384.858710308007</x:v>
      </x:c>
      <x:c r="T526" s="10" t="n">
        <x:f>N526*P526</x:f>
        <x:v>0</x:v>
      </x:c>
      <x:c r="U526" s="10" t="n">
        <x:f>O526*P526</x:f>
        <x:v>4384.858710308007</x:v>
      </x:c>
      <x:c r="V526" s="10" t="n">
        <x:f>IF(ISNUMBER(Q526),O526*(Q526-P526),"n.a.")</x:f>
        <x:v>197.2656847330593</x:v>
      </x:c>
      <x:c r="W526" s="10" t="n">
        <x:f>IF(ISNUMBER(Q526),U526,0)</x:f>
        <x:v>4384.858710308007</x:v>
      </x:c>
      <x:c r="X526" s="8" t="n">
        <x:f>MAX(0,K526-SUM(E526:J526))</x:f>
        <x:v>0</x:v>
      </x:c>
      <x:c r="Y526" s="1" t="str">
        <x:f>IF(AND(O526&gt;0,NOT(ISNUMBER(Q526))),"No proposed replacement standard",IF(X526&gt;0,"Demand exceeds available stock",""))</x:f>
      </x:c>
      <x:c r="Z526" s="1" t="n">
        <x:f>IF(ISNUMBER(Q526),1,0)</x:f>
        <x:v>1</x:v>
      </x:c>
    </x:row>
    <x:row r="527" ht="21" customHeight="1">
      <x:c r="A527" s="17" t="n">
        <x:f>Summary!B19</x:f>
        <x:v>46447</x:v>
      </x:c>
      <x:c r="B527" s="1" t="str">
        <x:f>'Current inventory'!A23</x:f>
        <x:v>10</x:v>
      </x:c>
      <x:c r="C527" s="1" t="str">
        <x:f>'Current inventory'!B23</x:f>
        <x:v>800NAVE</x:v>
      </x:c>
      <x:c r="D527" s="7" t="n">
        <x:f>A401</x:f>
        <x:v>46419</x:v>
      </x:c>
      <x:c r="E527" s="8" t="n">
        <x:f>L401</x:f>
        <x:v>10654.259137577003</x:v>
      </x:c>
      <x:c r="F527" s="8" t="n">
        <x:f>M401</x:f>
        <x:v>10000</x:v>
      </x:c>
      <x:c r="G527" s="8" t="n">
        <x:f>N401</x:f>
        <x:v>0</x:v>
      </x:c>
      <x:c r="H527" s="8" t="n">
        <x:f>SUMIFS('PO detail'!$U$2:$U$672,'PO detail'!$A$2:$A$672,B527,'PO detail'!$B$2:$B$672,C527,'PO detail'!$G$2:$G$672,"&gt;="&amp;D527,'PO detail'!$G$2:$G$672,"&lt;"&amp;A527)</x:f>
        <x:v>0</x:v>
      </x:c>
      <x:c r="I527" s="8" t="n">
        <x:f>SUMIFS('PO detail'!$V$2:$V$672,'PO detail'!$A$2:$A$672,B527,'PO detail'!$B$2:$B$672,C527,'PO detail'!$G$2:$G$672,"&gt;="&amp;D527,'PO detail'!$G$2:$G$672,"&lt;"&amp;A527)</x:f>
        <x:v>0</x:v>
      </x:c>
      <x:c r="J527" s="8" t="n">
        <x:f>SUMIFS('PO detail'!$W$2:$W$672,'PO detail'!$A$2:$A$672,B527,'PO detail'!$B$2:$B$672,C527,'PO detail'!$G$2:$G$672,"&gt;="&amp;D527,'PO detail'!$G$2:$G$672,"&lt;"&amp;A527)</x:f>
        <x:v>0</x:v>
      </x:c>
      <x:c r="K527" s="8" t="n">
        <x:f>'Current inventory'!E23*Summary!$D$6*(A527-D527)/30.4375</x:f>
        <x:v>1766.8586447638604</x:v>
      </x:c>
      <x:c r="L527" s="8" t="n">
        <x:f>MAX(0,E527+H527-K527)</x:f>
        <x:v>8887.400492813142</x:v>
      </x:c>
      <x:c r="M527" s="8" t="n">
        <x:f>MAX(0,F527+I527-MAX(0,K527-E527-H527))</x:f>
        <x:v>10000</x:v>
      </x:c>
      <x:c r="N527" s="8" t="n">
        <x:f>MAX(0,G527+J527-K527)</x:f>
        <x:v>0</x:v>
      </x:c>
      <x:c r="O527" s="8" t="n">
        <x:f>SUM(L527:N527)</x:f>
        <x:v>18887.40049281314</x:v>
      </x:c>
      <x:c r="P527" s="14" t="n">
        <x:f>'Current inventory'!V23</x:f>
        <x:v>1.04328</x:v>
      </x:c>
      <x:c r="Q527" s="14" t="n">
        <x:f>'Current inventory'!W23</x:f>
        <x:v>1.090215</x:v>
      </x:c>
      <x:c r="R527" s="10" t="n">
        <x:f>L527*P527</x:f>
        <x:v>9272.047186142094</x:v>
      </x:c>
      <x:c r="S527" s="10" t="n">
        <x:f>M527*P527</x:f>
        <x:v>10432.8</x:v>
      </x:c>
      <x:c r="T527" s="10" t="n">
        <x:f>N527*P527</x:f>
        <x:v>0</x:v>
      </x:c>
      <x:c r="U527" s="10" t="n">
        <x:f>O527*P527</x:f>
        <x:v>19704.84718614209</x:v>
      </x:c>
      <x:c r="V527" s="10" t="n">
        <x:f>IF(ISNUMBER(Q527),O527*(Q527-P527),"n.a.")</x:f>
        <x:v>886.4801421301837</x:v>
      </x:c>
      <x:c r="W527" s="10" t="n">
        <x:f>IF(ISNUMBER(Q527),U527,0)</x:f>
        <x:v>19704.84718614209</x:v>
      </x:c>
      <x:c r="X527" s="8" t="n">
        <x:f>MAX(0,K527-SUM(E527:J527))</x:f>
        <x:v>0</x:v>
      </x:c>
      <x:c r="Y527" s="1" t="str">
        <x:f>IF(AND(O527&gt;0,NOT(ISNUMBER(Q527))),"No proposed replacement standard",IF(X527&gt;0,"Demand exceeds available stock",""))</x:f>
      </x:c>
      <x:c r="Z527" s="1" t="n">
        <x:f>IF(ISNUMBER(Q527),1,0)</x:f>
        <x:v>1</x:v>
      </x:c>
    </x:row>
    <x:row r="528" ht="21" customHeight="1">
      <x:c r="A528" s="17" t="n">
        <x:f>Summary!B19</x:f>
        <x:v>46447</x:v>
      </x:c>
      <x:c r="B528" s="1" t="str">
        <x:f>'Current inventory'!A24</x:f>
        <x:v>60</x:v>
      </x:c>
      <x:c r="C528" s="1" t="str">
        <x:f>'Current inventory'!B24</x:f>
        <x:v>800BBLKBRC</x:v>
      </x:c>
      <x:c r="D528" s="7" t="n">
        <x:f>A402</x:f>
        <x:v>46419</x:v>
      </x:c>
      <x:c r="E528" s="8" t="n">
        <x:f>L402</x:f>
        <x:v>0</x:v>
      </x:c>
      <x:c r="F528" s="8" t="n">
        <x:f>M402</x:f>
        <x:v>0</x:v>
      </x:c>
      <x:c r="G528" s="8" t="n">
        <x:f>N402</x:f>
        <x:v>0</x:v>
      </x:c>
      <x:c r="H528" s="8" t="n">
        <x:f>SUMIFS('PO detail'!$U$2:$U$672,'PO detail'!$A$2:$A$672,B528,'PO detail'!$B$2:$B$672,C528,'PO detail'!$G$2:$G$672,"&gt;="&amp;D528,'PO detail'!$G$2:$G$672,"&lt;"&amp;A528)</x:f>
        <x:v>0</x:v>
      </x:c>
      <x:c r="I528" s="8" t="n">
        <x:f>SUMIFS('PO detail'!$V$2:$V$672,'PO detail'!$A$2:$A$672,B528,'PO detail'!$B$2:$B$672,C528,'PO detail'!$G$2:$G$672,"&gt;="&amp;D528,'PO detail'!$G$2:$G$672,"&lt;"&amp;A528)</x:f>
        <x:v>0</x:v>
      </x:c>
      <x:c r="J528" s="8" t="n">
        <x:f>SUMIFS('PO detail'!$W$2:$W$672,'PO detail'!$A$2:$A$672,B528,'PO detail'!$B$2:$B$672,C528,'PO detail'!$G$2:$G$672,"&gt;="&amp;D528,'PO detail'!$G$2:$G$672,"&lt;"&amp;A528)</x:f>
        <x:v>0</x:v>
      </x:c>
      <x:c r="K528" s="8" t="n">
        <x:f>'Current inventory'!E24*Summary!$D$6*(A528-D528)/30.4375</x:f>
        <x:v>1655.8521560574948</x:v>
      </x:c>
      <x:c r="L528" s="8" t="n">
        <x:f>MAX(0,E528+H528-K528)</x:f>
        <x:v>0</x:v>
      </x:c>
      <x:c r="M528" s="8" t="n">
        <x:f>MAX(0,F528+I528-MAX(0,K528-E528-H528))</x:f>
        <x:v>0</x:v>
      </x:c>
      <x:c r="N528" s="8" t="n">
        <x:f>MAX(0,G528+J528-K528)</x:f>
        <x:v>0</x:v>
      </x:c>
      <x:c r="O528" s="8" t="n">
        <x:f>SUM(L528:N528)</x:f>
        <x:v>0</x:v>
      </x:c>
      <x:c r="P528" s="14" t="n">
        <x:f>'Current inventory'!V24</x:f>
        <x:v>0.16829999999999998</x:v>
      </x:c>
      <x:c r="Q528" s="14" t="str">
        <x:f>'Current inventory'!W24</x:f>
        <x:v>n.a.</x:v>
      </x:c>
      <x:c r="R528" s="10" t="n">
        <x:f>L528*P528</x:f>
        <x:v>0</x:v>
      </x:c>
      <x:c r="S528" s="10" t="n">
        <x:f>M528*P528</x:f>
        <x:v>0</x:v>
      </x:c>
      <x:c r="T528" s="10" t="n">
        <x:f>N528*P528</x:f>
        <x:v>0</x:v>
      </x:c>
      <x:c r="U528" s="10" t="n">
        <x:f>O528*P528</x:f>
        <x:v>0</x:v>
      </x:c>
      <x:c r="V528" s="10" t="str">
        <x:f>IF(ISNUMBER(Q528),O528*(Q528-P528),"n.a.")</x:f>
        <x:v>n.a.</x:v>
      </x:c>
      <x:c r="W528" s="10" t="n">
        <x:f>IF(ISNUMBER(Q528),U528,0)</x:f>
        <x:v>0</x:v>
      </x:c>
      <x:c r="X528" s="8" t="n">
        <x:f>MAX(0,K528-SUM(E528:J528))</x:f>
        <x:v>1655.8521560574948</x:v>
      </x:c>
      <x:c r="Y528" s="1" t="str">
        <x:f>IF(AND(O528&gt;0,NOT(ISNUMBER(Q528))),"No proposed replacement standard",IF(X528&gt;0,"Demand exceeds available stock",""))</x:f>
        <x:v>Demand exceeds available stock</x:v>
      </x:c>
      <x:c r="Z528" s="1" t="n">
        <x:f>IF(ISNUMBER(Q528),1,0)</x:f>
        <x:v>0</x:v>
      </x:c>
    </x:row>
    <x:row r="529" ht="21" customHeight="1">
      <x:c r="A529" s="17" t="n">
        <x:f>Summary!B19</x:f>
        <x:v>46447</x:v>
      </x:c>
      <x:c r="B529" s="1" t="str">
        <x:f>'Current inventory'!A25</x:f>
        <x:v>10</x:v>
      </x:c>
      <x:c r="C529" s="1" t="str">
        <x:f>'Current inventory'!B25</x:f>
        <x:v>800BLKE</x:v>
      </x:c>
      <x:c r="D529" s="7" t="n">
        <x:f>A403</x:f>
        <x:v>46419</x:v>
      </x:c>
      <x:c r="E529" s="8" t="n">
        <x:f>L403</x:f>
        <x:v>12511.517043121152</x:v>
      </x:c>
      <x:c r="F529" s="8" t="n">
        <x:f>M403</x:f>
        <x:v>0</x:v>
      </x:c>
      <x:c r="G529" s="8" t="n">
        <x:f>N403</x:f>
        <x:v>0</x:v>
      </x:c>
      <x:c r="H529" s="8" t="n">
        <x:f>SUMIFS('PO detail'!$U$2:$U$672,'PO detail'!$A$2:$A$672,B529,'PO detail'!$B$2:$B$672,C529,'PO detail'!$G$2:$G$672,"&gt;="&amp;D529,'PO detail'!$G$2:$G$672,"&lt;"&amp;A529)</x:f>
        <x:v>0</x:v>
      </x:c>
      <x:c r="I529" s="8" t="n">
        <x:f>SUMIFS('PO detail'!$V$2:$V$672,'PO detail'!$A$2:$A$672,B529,'PO detail'!$B$2:$B$672,C529,'PO detail'!$G$2:$G$672,"&gt;="&amp;D529,'PO detail'!$G$2:$G$672,"&lt;"&amp;A529)</x:f>
        <x:v>0</x:v>
      </x:c>
      <x:c r="J529" s="8" t="n">
        <x:f>SUMIFS('PO detail'!$W$2:$W$672,'PO detail'!$A$2:$A$672,B529,'PO detail'!$B$2:$B$672,C529,'PO detail'!$G$2:$G$672,"&gt;="&amp;D529,'PO detail'!$G$2:$G$672,"&lt;"&amp;A529)</x:f>
        <x:v>0</x:v>
      </x:c>
      <x:c r="K529" s="8" t="n">
        <x:f>'Current inventory'!E25*Summary!$D$6*(A529-D529)/30.4375</x:f>
        <x:v>1596.361067761807</x:v>
      </x:c>
      <x:c r="L529" s="8" t="n">
        <x:f>MAX(0,E529+H529-K529)</x:f>
        <x:v>10915.155975359345</x:v>
      </x:c>
      <x:c r="M529" s="8" t="n">
        <x:f>MAX(0,F529+I529-MAX(0,K529-E529-H529))</x:f>
        <x:v>0</x:v>
      </x:c>
      <x:c r="N529" s="8" t="n">
        <x:f>MAX(0,G529+J529-K529)</x:f>
        <x:v>0</x:v>
      </x:c>
      <x:c r="O529" s="8" t="n">
        <x:f>SUM(L529:N529)</x:f>
        <x:v>10915.155975359345</x:v>
      </x:c>
      <x:c r="P529" s="14" t="n">
        <x:f>'Current inventory'!V25</x:f>
        <x:v>0.90416</x:v>
      </x:c>
      <x:c r="Q529" s="14" t="n">
        <x:f>'Current inventory'!W25</x:f>
        <x:v>0.94479</x:v>
      </x:c>
      <x:c r="R529" s="10" t="n">
        <x:f>L529*P529</x:f>
        <x:v>9869.047426680905</x:v>
      </x:c>
      <x:c r="S529" s="10" t="n">
        <x:f>M529*P529</x:f>
        <x:v>0</x:v>
      </x:c>
      <x:c r="T529" s="10" t="n">
        <x:f>N529*P529</x:f>
        <x:v>0</x:v>
      </x:c>
      <x:c r="U529" s="10" t="n">
        <x:f>O529*P529</x:f>
        <x:v>9869.047426680905</x:v>
      </x:c>
      <x:c r="V529" s="10" t="n">
        <x:f>IF(ISNUMBER(Q529),O529*(Q529-P529),"n.a.")</x:f>
        <x:v>443.48278727885076</x:v>
      </x:c>
      <x:c r="W529" s="10" t="n">
        <x:f>IF(ISNUMBER(Q529),U529,0)</x:f>
        <x:v>9869.047426680905</x:v>
      </x:c>
      <x:c r="X529" s="8" t="n">
        <x:f>MAX(0,K529-SUM(E529:J529))</x:f>
        <x:v>0</x:v>
      </x:c>
      <x:c r="Y529" s="1" t="str">
        <x:f>IF(AND(O529&gt;0,NOT(ISNUMBER(Q529))),"No proposed replacement standard",IF(X529&gt;0,"Demand exceeds available stock",""))</x:f>
      </x:c>
      <x:c r="Z529" s="1" t="n">
        <x:f>IF(ISNUMBER(Q529),1,0)</x:f>
        <x:v>1</x:v>
      </x:c>
    </x:row>
    <x:row r="530" ht="21" customHeight="1">
      <x:c r="A530" s="17" t="n">
        <x:f>Summary!B19</x:f>
        <x:v>46447</x:v>
      </x:c>
      <x:c r="B530" s="1" t="str">
        <x:f>'Current inventory'!A26</x:f>
        <x:v>60</x:v>
      </x:c>
      <x:c r="C530" s="1" t="str">
        <x:f>'Current inventory'!B26</x:f>
        <x:v>800BLKE</x:v>
      </x:c>
      <x:c r="D530" s="7" t="n">
        <x:f>A404</x:f>
        <x:v>46419</x:v>
      </x:c>
      <x:c r="E530" s="8" t="n">
        <x:f>L404</x:f>
        <x:v>9436.665297741272</x:v>
      </x:c>
      <x:c r="F530" s="8" t="n">
        <x:f>M404</x:f>
        <x:v>0</x:v>
      </x:c>
      <x:c r="G530" s="8" t="n">
        <x:f>N404</x:f>
        <x:v>0</x:v>
      </x:c>
      <x:c r="H530" s="8" t="n">
        <x:f>SUMIFS('PO detail'!$U$2:$U$672,'PO detail'!$A$2:$A$672,B530,'PO detail'!$B$2:$B$672,C530,'PO detail'!$G$2:$G$672,"&gt;="&amp;D530,'PO detail'!$G$2:$G$672,"&lt;"&amp;A530)</x:f>
        <x:v>0</x:v>
      </x:c>
      <x:c r="I530" s="8" t="n">
        <x:f>SUMIFS('PO detail'!$V$2:$V$672,'PO detail'!$A$2:$A$672,B530,'PO detail'!$B$2:$B$672,C530,'PO detail'!$G$2:$G$672,"&gt;="&amp;D530,'PO detail'!$G$2:$G$672,"&lt;"&amp;A530)</x:f>
        <x:v>0</x:v>
      </x:c>
      <x:c r="J530" s="8" t="n">
        <x:f>SUMIFS('PO detail'!$W$2:$W$672,'PO detail'!$A$2:$A$672,B530,'PO detail'!$B$2:$B$672,C530,'PO detail'!$G$2:$G$672,"&gt;="&amp;D530,'PO detail'!$G$2:$G$672,"&lt;"&amp;A530)</x:f>
        <x:v>0</x:v>
      </x:c>
      <x:c r="K530" s="8" t="n">
        <x:f>'Current inventory'!E26*Summary!$D$6*(A530-D530)/30.4375</x:f>
        <x:v>1570.7597535934292</x:v>
      </x:c>
      <x:c r="L530" s="8" t="n">
        <x:f>MAX(0,E530+H530-K530)</x:f>
        <x:v>7865.905544147843</x:v>
      </x:c>
      <x:c r="M530" s="8" t="n">
        <x:f>MAX(0,F530+I530-MAX(0,K530-E530-H530))</x:f>
        <x:v>0</x:v>
      </x:c>
      <x:c r="N530" s="8" t="n">
        <x:f>MAX(0,G530+J530-K530)</x:f>
        <x:v>0</x:v>
      </x:c>
      <x:c r="O530" s="8" t="n">
        <x:f>SUM(L530:N530)</x:f>
        <x:v>7865.905544147843</x:v>
      </x:c>
      <x:c r="P530" s="14" t="n">
        <x:f>'Current inventory'!V26</x:f>
        <x:v>0.90416</x:v>
      </x:c>
      <x:c r="Q530" s="14" t="n">
        <x:f>'Current inventory'!W26</x:f>
        <x:v>0.94479</x:v>
      </x:c>
      <x:c r="R530" s="10" t="n">
        <x:f>L530*P530</x:f>
        <x:v>7112.037156796713</x:v>
      </x:c>
      <x:c r="S530" s="10" t="n">
        <x:f>M530*P530</x:f>
        <x:v>0</x:v>
      </x:c>
      <x:c r="T530" s="10" t="n">
        <x:f>N530*P530</x:f>
        <x:v>0</x:v>
      </x:c>
      <x:c r="U530" s="10" t="n">
        <x:f>O530*P530</x:f>
        <x:v>7112.037156796713</x:v>
      </x:c>
      <x:c r="V530" s="10" t="n">
        <x:f>IF(ISNUMBER(Q530),O530*(Q530-P530),"n.a.")</x:f>
        <x:v>319.5917422587273</x:v>
      </x:c>
      <x:c r="W530" s="10" t="n">
        <x:f>IF(ISNUMBER(Q530),U530,0)</x:f>
        <x:v>7112.037156796713</x:v>
      </x:c>
      <x:c r="X530" s="8" t="n">
        <x:f>MAX(0,K530-SUM(E530:J530))</x:f>
        <x:v>0</x:v>
      </x:c>
      <x:c r="Y530" s="1" t="str">
        <x:f>IF(AND(O530&gt;0,NOT(ISNUMBER(Q530))),"No proposed replacement standard",IF(X530&gt;0,"Demand exceeds available stock",""))</x:f>
      </x:c>
      <x:c r="Z530" s="1" t="n">
        <x:f>IF(ISNUMBER(Q530),1,0)</x:f>
        <x:v>1</x:v>
      </x:c>
    </x:row>
    <x:row r="531" ht="21" customHeight="1">
      <x:c r="A531" s="17" t="n">
        <x:f>Summary!B19</x:f>
        <x:v>46447</x:v>
      </x:c>
      <x:c r="B531" s="1" t="str">
        <x:f>'Current inventory'!A27</x:f>
        <x:v>60</x:v>
      </x:c>
      <x:c r="C531" s="1" t="str">
        <x:f>'Current inventory'!B27</x:f>
        <x:v>800BNAVDSC</x:v>
      </x:c>
      <x:c r="D531" s="7" t="n">
        <x:f>A405</x:f>
        <x:v>46419</x:v>
      </x:c>
      <x:c r="E531" s="8" t="n">
        <x:f>L405</x:f>
        <x:v>0</x:v>
      </x:c>
      <x:c r="F531" s="8" t="n">
        <x:f>M405</x:f>
        <x:v>0</x:v>
      </x:c>
      <x:c r="G531" s="8" t="n">
        <x:f>N405</x:f>
        <x:v>0</x:v>
      </x:c>
      <x:c r="H531" s="8" t="n">
        <x:f>SUMIFS('PO detail'!$U$2:$U$672,'PO detail'!$A$2:$A$672,B531,'PO detail'!$B$2:$B$672,C531,'PO detail'!$G$2:$G$672,"&gt;="&amp;D531,'PO detail'!$G$2:$G$672,"&lt;"&amp;A531)</x:f>
        <x:v>0</x:v>
      </x:c>
      <x:c r="I531" s="8" t="n">
        <x:f>SUMIFS('PO detail'!$V$2:$V$672,'PO detail'!$A$2:$A$672,B531,'PO detail'!$B$2:$B$672,C531,'PO detail'!$G$2:$G$672,"&gt;="&amp;D531,'PO detail'!$G$2:$G$672,"&lt;"&amp;A531)</x:f>
        <x:v>0</x:v>
      </x:c>
      <x:c r="J531" s="8" t="n">
        <x:f>SUMIFS('PO detail'!$W$2:$W$672,'PO detail'!$A$2:$A$672,B531,'PO detail'!$B$2:$B$672,C531,'PO detail'!$G$2:$G$672,"&gt;="&amp;D531,'PO detail'!$G$2:$G$672,"&lt;"&amp;A531)</x:f>
        <x:v>0</x:v>
      </x:c>
      <x:c r="K531" s="8" t="n">
        <x:f>'Current inventory'!E27*Summary!$D$6*(A531-D531)/30.4375</x:f>
        <x:v>1471.8685831622176</x:v>
      </x:c>
      <x:c r="L531" s="8" t="n">
        <x:f>MAX(0,E531+H531-K531)</x:f>
        <x:v>0</x:v>
      </x:c>
      <x:c r="M531" s="8" t="n">
        <x:f>MAX(0,F531+I531-MAX(0,K531-E531-H531))</x:f>
        <x:v>0</x:v>
      </x:c>
      <x:c r="N531" s="8" t="n">
        <x:f>MAX(0,G531+J531-K531)</x:f>
        <x:v>0</x:v>
      </x:c>
      <x:c r="O531" s="8" t="n">
        <x:f>SUM(L531:N531)</x:f>
        <x:v>0</x:v>
      </x:c>
      <x:c r="P531" s="14" t="n">
        <x:f>'Current inventory'!V27</x:f>
        <x:v>0.34509999999999996</x:v>
      </x:c>
      <x:c r="Q531" s="14" t="str">
        <x:f>'Current inventory'!W27</x:f>
        <x:v>n.a.</x:v>
      </x:c>
      <x:c r="R531" s="10" t="n">
        <x:f>L531*P531</x:f>
        <x:v>0</x:v>
      </x:c>
      <x:c r="S531" s="10" t="n">
        <x:f>M531*P531</x:f>
        <x:v>0</x:v>
      </x:c>
      <x:c r="T531" s="10" t="n">
        <x:f>N531*P531</x:f>
        <x:v>0</x:v>
      </x:c>
      <x:c r="U531" s="10" t="n">
        <x:f>O531*P531</x:f>
        <x:v>0</x:v>
      </x:c>
      <x:c r="V531" s="10" t="str">
        <x:f>IF(ISNUMBER(Q531),O531*(Q531-P531),"n.a.")</x:f>
        <x:v>n.a.</x:v>
      </x:c>
      <x:c r="W531" s="10" t="n">
        <x:f>IF(ISNUMBER(Q531),U531,0)</x:f>
        <x:v>0</x:v>
      </x:c>
      <x:c r="X531" s="8" t="n">
        <x:f>MAX(0,K531-SUM(E531:J531))</x:f>
        <x:v>1471.8685831622176</x:v>
      </x:c>
      <x:c r="Y531" s="1" t="str">
        <x:f>IF(AND(O531&gt;0,NOT(ISNUMBER(Q531))),"No proposed replacement standard",IF(X531&gt;0,"Demand exceeds available stock",""))</x:f>
        <x:v>Demand exceeds available stock</x:v>
      </x:c>
      <x:c r="Z531" s="1" t="n">
        <x:f>IF(ISNUMBER(Q531),1,0)</x:f>
        <x:v>0</x:v>
      </x:c>
    </x:row>
    <x:row r="532" ht="21" customHeight="1">
      <x:c r="A532" s="17" t="n">
        <x:f>Summary!B19</x:f>
        <x:v>46447</x:v>
      </x:c>
      <x:c r="B532" s="1" t="str">
        <x:f>'Current inventory'!A28</x:f>
        <x:v>10</x:v>
      </x:c>
      <x:c r="C532" s="1" t="str">
        <x:f>'Current inventory'!B28</x:f>
        <x:v>800BNAVDSC</x:v>
      </x:c>
      <x:c r="D532" s="7" t="n">
        <x:f>A406</x:f>
        <x:v>46419</x:v>
      </x:c>
      <x:c r="E532" s="8" t="n">
        <x:f>L406</x:f>
        <x:v>0</x:v>
      </x:c>
      <x:c r="F532" s="8" t="n">
        <x:f>M406</x:f>
        <x:v>0</x:v>
      </x:c>
      <x:c r="G532" s="8" t="n">
        <x:f>N406</x:f>
        <x:v>0</x:v>
      </x:c>
      <x:c r="H532" s="8" t="n">
        <x:f>SUMIFS('PO detail'!$U$2:$U$672,'PO detail'!$A$2:$A$672,B532,'PO detail'!$B$2:$B$672,C532,'PO detail'!$G$2:$G$672,"&gt;="&amp;D532,'PO detail'!$G$2:$G$672,"&lt;"&amp;A532)</x:f>
        <x:v>0</x:v>
      </x:c>
      <x:c r="I532" s="8" t="n">
        <x:f>SUMIFS('PO detail'!$V$2:$V$672,'PO detail'!$A$2:$A$672,B532,'PO detail'!$B$2:$B$672,C532,'PO detail'!$G$2:$G$672,"&gt;="&amp;D532,'PO detail'!$G$2:$G$672,"&lt;"&amp;A532)</x:f>
        <x:v>0</x:v>
      </x:c>
      <x:c r="J532" s="8" t="n">
        <x:f>SUMIFS('PO detail'!$W$2:$W$672,'PO detail'!$A$2:$A$672,B532,'PO detail'!$B$2:$B$672,C532,'PO detail'!$G$2:$G$672,"&gt;="&amp;D532,'PO detail'!$G$2:$G$672,"&lt;"&amp;A532)</x:f>
        <x:v>0</x:v>
      </x:c>
      <x:c r="K532" s="8" t="n">
        <x:f>'Current inventory'!E28*Summary!$D$6*(A532-D532)/30.4375</x:f>
        <x:v>1326.208788501027</x:v>
      </x:c>
      <x:c r="L532" s="8" t="n">
        <x:f>MAX(0,E532+H532-K532)</x:f>
        <x:v>0</x:v>
      </x:c>
      <x:c r="M532" s="8" t="n">
        <x:f>MAX(0,F532+I532-MAX(0,K532-E532-H532))</x:f>
        <x:v>0</x:v>
      </x:c>
      <x:c r="N532" s="8" t="n">
        <x:f>MAX(0,G532+J532-K532)</x:f>
        <x:v>0</x:v>
      </x:c>
      <x:c r="O532" s="8" t="n">
        <x:f>SUM(L532:N532)</x:f>
        <x:v>0</x:v>
      </x:c>
      <x:c r="P532" s="14" t="n">
        <x:f>'Current inventory'!V28</x:f>
        <x:v>0.34509999999999996</x:v>
      </x:c>
      <x:c r="Q532" s="14" t="str">
        <x:f>'Current inventory'!W28</x:f>
        <x:v>n.a.</x:v>
      </x:c>
      <x:c r="R532" s="10" t="n">
        <x:f>L532*P532</x:f>
        <x:v>0</x:v>
      </x:c>
      <x:c r="S532" s="10" t="n">
        <x:f>M532*P532</x:f>
        <x:v>0</x:v>
      </x:c>
      <x:c r="T532" s="10" t="n">
        <x:f>N532*P532</x:f>
        <x:v>0</x:v>
      </x:c>
      <x:c r="U532" s="10" t="n">
        <x:f>O532*P532</x:f>
        <x:v>0</x:v>
      </x:c>
      <x:c r="V532" s="10" t="str">
        <x:f>IF(ISNUMBER(Q532),O532*(Q532-P532),"n.a.")</x:f>
        <x:v>n.a.</x:v>
      </x:c>
      <x:c r="W532" s="10" t="n">
        <x:f>IF(ISNUMBER(Q532),U532,0)</x:f>
        <x:v>0</x:v>
      </x:c>
      <x:c r="X532" s="8" t="n">
        <x:f>MAX(0,K532-SUM(E532:J532))</x:f>
        <x:v>1326.208788501027</x:v>
      </x:c>
      <x:c r="Y532" s="1" t="str">
        <x:f>IF(AND(O532&gt;0,NOT(ISNUMBER(Q532))),"No proposed replacement standard",IF(X532&gt;0,"Demand exceeds available stock",""))</x:f>
        <x:v>Demand exceeds available stock</x:v>
      </x:c>
      <x:c r="Z532" s="1" t="n">
        <x:f>IF(ISNUMBER(Q532),1,0)</x:f>
        <x:v>0</x:v>
      </x:c>
    </x:row>
    <x:row r="533" ht="21" customHeight="1">
      <x:c r="A533" s="17" t="n">
        <x:f>Summary!B19</x:f>
        <x:v>46447</x:v>
      </x:c>
      <x:c r="B533" s="1" t="str">
        <x:f>'Current inventory'!A29</x:f>
        <x:v>30</x:v>
      </x:c>
      <x:c r="C533" s="1" t="str">
        <x:f>'Current inventory'!B29</x:f>
        <x:v>800BMARASC</x:v>
      </x:c>
      <x:c r="D533" s="7" t="n">
        <x:f>A407</x:f>
        <x:v>46419</x:v>
      </x:c>
      <x:c r="E533" s="8" t="n">
        <x:f>L407</x:f>
        <x:v>15208.680082135525</x:v>
      </x:c>
      <x:c r="F533" s="8" t="n">
        <x:f>M407</x:f>
        <x:v>0</x:v>
      </x:c>
      <x:c r="G533" s="8" t="n">
        <x:f>N407</x:f>
        <x:v>0</x:v>
      </x:c>
      <x:c r="H533" s="8" t="n">
        <x:f>SUMIFS('PO detail'!$U$2:$U$672,'PO detail'!$A$2:$A$672,B533,'PO detail'!$B$2:$B$672,C533,'PO detail'!$G$2:$G$672,"&gt;="&amp;D533,'PO detail'!$G$2:$G$672,"&lt;"&amp;A533)</x:f>
        <x:v>0</x:v>
      </x:c>
      <x:c r="I533" s="8" t="n">
        <x:f>SUMIFS('PO detail'!$V$2:$V$672,'PO detail'!$A$2:$A$672,B533,'PO detail'!$B$2:$B$672,C533,'PO detail'!$G$2:$G$672,"&gt;="&amp;D533,'PO detail'!$G$2:$G$672,"&lt;"&amp;A533)</x:f>
        <x:v>0</x:v>
      </x:c>
      <x:c r="J533" s="8" t="n">
        <x:f>SUMIFS('PO detail'!$W$2:$W$672,'PO detail'!$A$2:$A$672,B533,'PO detail'!$B$2:$B$672,C533,'PO detail'!$G$2:$G$672,"&gt;="&amp;D533,'PO detail'!$G$2:$G$672,"&lt;"&amp;A533)</x:f>
        <x:v>0</x:v>
      </x:c>
      <x:c r="K533" s="8" t="n">
        <x:f>'Current inventory'!E29*Summary!$D$6*(A533-D533)/30.4375</x:f>
        <x:v>1142.2344147843944</x:v>
      </x:c>
      <x:c r="L533" s="8" t="n">
        <x:f>MAX(0,E533+H533-K533)</x:f>
        <x:v>14066.44566735113</x:v>
      </x:c>
      <x:c r="M533" s="8" t="n">
        <x:f>MAX(0,F533+I533-MAX(0,K533-E533-H533))</x:f>
        <x:v>0</x:v>
      </x:c>
      <x:c r="N533" s="8" t="n">
        <x:f>MAX(0,G533+J533-K533)</x:f>
        <x:v>0</x:v>
      </x:c>
      <x:c r="O533" s="8" t="n">
        <x:f>SUM(L533:N533)</x:f>
        <x:v>14066.44566735113</x:v>
      </x:c>
      <x:c r="P533" s="14" t="n">
        <x:f>'Current inventory'!V29</x:f>
        <x:v>0.1598</x:v>
      </x:c>
      <x:c r="Q533" s="14" t="n">
        <x:f>'Current inventory'!W29</x:f>
        <x:v>0.16695000000000002</x:v>
      </x:c>
      <x:c r="R533" s="10" t="n">
        <x:f>L533*P533</x:f>
        <x:v>2247.8180176427104</x:v>
      </x:c>
      <x:c r="S533" s="10" t="n">
        <x:f>M533*P533</x:f>
        <x:v>0</x:v>
      </x:c>
      <x:c r="T533" s="10" t="n">
        <x:f>N533*P533</x:f>
        <x:v>0</x:v>
      </x:c>
      <x:c r="U533" s="10" t="n">
        <x:f>O533*P533</x:f>
        <x:v>2247.8180176427104</x:v>
      </x:c>
      <x:c r="V533" s="10" t="n">
        <x:f>IF(ISNUMBER(Q533),O533*(Q533-P533),"n.a.")</x:f>
        <x:v>100.57508652156083</x:v>
      </x:c>
      <x:c r="W533" s="10" t="n">
        <x:f>IF(ISNUMBER(Q533),U533,0)</x:f>
        <x:v>2247.8180176427104</x:v>
      </x:c>
      <x:c r="X533" s="8" t="n">
        <x:f>MAX(0,K533-SUM(E533:J533))</x:f>
        <x:v>0</x:v>
      </x:c>
      <x:c r="Y533" s="1" t="str">
        <x:f>IF(AND(O533&gt;0,NOT(ISNUMBER(Q533))),"No proposed replacement standard",IF(X533&gt;0,"Demand exceeds available stock",""))</x:f>
      </x:c>
      <x:c r="Z533" s="1" t="n">
        <x:f>IF(ISNUMBER(Q533),1,0)</x:f>
        <x:v>1</x:v>
      </x:c>
    </x:row>
    <x:row r="534" ht="21" customHeight="1">
      <x:c r="A534" s="17" t="n">
        <x:f>Summary!B19</x:f>
        <x:v>46447</x:v>
      </x:c>
      <x:c r="B534" s="1" t="str">
        <x:f>'Current inventory'!A30</x:f>
        <x:v>60</x:v>
      </x:c>
      <x:c r="C534" s="1" t="str">
        <x:f>'Current inventory'!B30</x:f>
        <x:v>800BNAVBRC</x:v>
      </x:c>
      <x:c r="D534" s="7" t="n">
        <x:f>A408</x:f>
        <x:v>46419</x:v>
      </x:c>
      <x:c r="E534" s="8" t="n">
        <x:f>L408</x:f>
        <x:v>0</x:v>
      </x:c>
      <x:c r="F534" s="8" t="n">
        <x:f>M408</x:f>
        <x:v>0</x:v>
      </x:c>
      <x:c r="G534" s="8" t="n">
        <x:f>N408</x:f>
        <x:v>1392.0476386036953</x:v>
      </x:c>
      <x:c r="H534" s="8" t="n">
        <x:f>SUMIFS('PO detail'!$U$2:$U$672,'PO detail'!$A$2:$A$672,B534,'PO detail'!$B$2:$B$672,C534,'PO detail'!$G$2:$G$672,"&gt;="&amp;D534,'PO detail'!$G$2:$G$672,"&lt;"&amp;A534)</x:f>
        <x:v>0</x:v>
      </x:c>
      <x:c r="I534" s="8" t="n">
        <x:f>SUMIFS('PO detail'!$V$2:$V$672,'PO detail'!$A$2:$A$672,B534,'PO detail'!$B$2:$B$672,C534,'PO detail'!$G$2:$G$672,"&gt;="&amp;D534,'PO detail'!$G$2:$G$672,"&lt;"&amp;A534)</x:f>
        <x:v>0</x:v>
      </x:c>
      <x:c r="J534" s="8" t="n">
        <x:f>SUMIFS('PO detail'!$W$2:$W$672,'PO detail'!$A$2:$A$672,B534,'PO detail'!$B$2:$B$672,C534,'PO detail'!$G$2:$G$672,"&gt;="&amp;D534,'PO detail'!$G$2:$G$672,"&lt;"&amp;A534)</x:f>
        <x:v>0</x:v>
      </x:c>
      <x:c r="K534" s="8" t="n">
        <x:f>'Current inventory'!E30*Summary!$D$6*(A534-D534)/30.4375</x:f>
        <x:v>1073.2405749486654</x:v>
      </x:c>
      <x:c r="L534" s="8" t="n">
        <x:f>MAX(0,E534+H534-K534)</x:f>
        <x:v>0</x:v>
      </x:c>
      <x:c r="M534" s="8" t="n">
        <x:f>MAX(0,F534+I534-MAX(0,K534-E534-H534))</x:f>
        <x:v>0</x:v>
      </x:c>
      <x:c r="N534" s="8" t="n">
        <x:f>MAX(0,G534+J534-K534)</x:f>
        <x:v>318.8070636550299</x:v>
      </x:c>
      <x:c r="O534" s="8" t="n">
        <x:f>SUM(L534:N534)</x:f>
        <x:v>318.8070636550299</x:v>
      </x:c>
      <x:c r="P534" s="14" t="n">
        <x:f>'Current inventory'!V30</x:f>
        <x:v>0.17370000000000002</x:v>
      </x:c>
      <x:c r="Q534" s="14" t="str">
        <x:f>'Current inventory'!W30</x:f>
        <x:v>n.a.</x:v>
      </x:c>
      <x:c r="R534" s="10" t="n">
        <x:f>L534*P534</x:f>
        <x:v>0</x:v>
      </x:c>
      <x:c r="S534" s="10" t="n">
        <x:f>M534*P534</x:f>
        <x:v>0</x:v>
      </x:c>
      <x:c r="T534" s="10" t="n">
        <x:f>N534*P534</x:f>
        <x:v>55.376786956878696</x:v>
      </x:c>
      <x:c r="U534" s="10" t="n">
        <x:f>O534*P534</x:f>
        <x:v>55.376786956878696</x:v>
      </x:c>
      <x:c r="V534" s="10" t="str">
        <x:f>IF(ISNUMBER(Q534),O534*(Q534-P534),"n.a.")</x:f>
        <x:v>n.a.</x:v>
      </x:c>
      <x:c r="W534" s="10" t="n">
        <x:f>IF(ISNUMBER(Q534),U534,0)</x:f>
        <x:v>0</x:v>
      </x:c>
      <x:c r="X534" s="8" t="n">
        <x:f>MAX(0,K534-SUM(E534:J534))</x:f>
        <x:v>0</x:v>
      </x:c>
      <x:c r="Y534" s="1" t="str">
        <x:f>IF(AND(O534&gt;0,NOT(ISNUMBER(Q534))),"No proposed replacement standard",IF(X534&gt;0,"Demand exceeds available stock",""))</x:f>
        <x:v>No proposed replacement standard</x:v>
      </x:c>
      <x:c r="Z534" s="1" t="n">
        <x:f>IF(ISNUMBER(Q534),1,0)</x:f>
        <x:v>0</x:v>
      </x:c>
    </x:row>
    <x:row r="535" ht="21" customHeight="1">
      <x:c r="A535" s="17" t="n">
        <x:f>Summary!B19</x:f>
        <x:v>46447</x:v>
      </x:c>
      <x:c r="B535" s="1" t="str">
        <x:f>'Current inventory'!A31</x:f>
        <x:v>10</x:v>
      </x:c>
      <x:c r="C535" s="1" t="str">
        <x:f>'Current inventory'!B31</x:f>
        <x:v>800BNAVCSC</x:v>
      </x:c>
      <x:c r="D535" s="7" t="n">
        <x:f>A409</x:f>
        <x:v>46419</x:v>
      </x:c>
      <x:c r="E535" s="8" t="n">
        <x:f>L409</x:f>
        <x:v>0</x:v>
      </x:c>
      <x:c r="F535" s="8" t="n">
        <x:f>M409</x:f>
        <x:v>0</x:v>
      </x:c>
      <x:c r="G535" s="8" t="n">
        <x:f>N409</x:f>
        <x:v>0</x:v>
      </x:c>
      <x:c r="H535" s="8" t="n">
        <x:f>SUMIFS('PO detail'!$U$2:$U$672,'PO detail'!$A$2:$A$672,B535,'PO detail'!$B$2:$B$672,C535,'PO detail'!$G$2:$G$672,"&gt;="&amp;D535,'PO detail'!$G$2:$G$672,"&lt;"&amp;A535)</x:f>
        <x:v>0</x:v>
      </x:c>
      <x:c r="I535" s="8" t="n">
        <x:f>SUMIFS('PO detail'!$V$2:$V$672,'PO detail'!$A$2:$A$672,B535,'PO detail'!$B$2:$B$672,C535,'PO detail'!$G$2:$G$672,"&gt;="&amp;D535,'PO detail'!$G$2:$G$672,"&lt;"&amp;A535)</x:f>
        <x:v>0</x:v>
      </x:c>
      <x:c r="J535" s="8" t="n">
        <x:f>SUMIFS('PO detail'!$W$2:$W$672,'PO detail'!$A$2:$A$672,B535,'PO detail'!$B$2:$B$672,C535,'PO detail'!$G$2:$G$672,"&gt;="&amp;D535,'PO detail'!$G$2:$G$672,"&lt;"&amp;A535)</x:f>
        <x:v>0</x:v>
      </x:c>
      <x:c r="K535" s="8" t="n">
        <x:f>'Current inventory'!E31*Summary!$D$6*(A535-D535)/30.4375</x:f>
        <x:v>996.5746201232032</x:v>
      </x:c>
      <x:c r="L535" s="8" t="n">
        <x:f>MAX(0,E535+H535-K535)</x:f>
        <x:v>0</x:v>
      </x:c>
      <x:c r="M535" s="8" t="n">
        <x:f>MAX(0,F535+I535-MAX(0,K535-E535-H535))</x:f>
        <x:v>0</x:v>
      </x:c>
      <x:c r="N535" s="8" t="n">
        <x:f>MAX(0,G535+J535-K535)</x:f>
        <x:v>0</x:v>
      </x:c>
      <x:c r="O535" s="8" t="n">
        <x:f>SUM(L535:N535)</x:f>
        <x:v>0</x:v>
      </x:c>
      <x:c r="P535" s="14" t="n">
        <x:f>'Current inventory'!V31</x:f>
        <x:v>0.2022</x:v>
      </x:c>
      <x:c r="Q535" s="14" t="str">
        <x:f>'Current inventory'!W31</x:f>
        <x:v>n.a.</x:v>
      </x:c>
      <x:c r="R535" s="10" t="n">
        <x:f>L535*P535</x:f>
        <x:v>0</x:v>
      </x:c>
      <x:c r="S535" s="10" t="n">
        <x:f>M535*P535</x:f>
        <x:v>0</x:v>
      </x:c>
      <x:c r="T535" s="10" t="n">
        <x:f>N535*P535</x:f>
        <x:v>0</x:v>
      </x:c>
      <x:c r="U535" s="10" t="n">
        <x:f>O535*P535</x:f>
        <x:v>0</x:v>
      </x:c>
      <x:c r="V535" s="10" t="str">
        <x:f>IF(ISNUMBER(Q535),O535*(Q535-P535),"n.a.")</x:f>
        <x:v>n.a.</x:v>
      </x:c>
      <x:c r="W535" s="10" t="n">
        <x:f>IF(ISNUMBER(Q535),U535,0)</x:f>
        <x:v>0</x:v>
      </x:c>
      <x:c r="X535" s="8" t="n">
        <x:f>MAX(0,K535-SUM(E535:J535))</x:f>
        <x:v>996.5746201232032</x:v>
      </x:c>
      <x:c r="Y535" s="1" t="str">
        <x:f>IF(AND(O535&gt;0,NOT(ISNUMBER(Q535))),"No proposed replacement standard",IF(X535&gt;0,"Demand exceeds available stock",""))</x:f>
        <x:v>Demand exceeds available stock</x:v>
      </x:c>
      <x:c r="Z535" s="1" t="n">
        <x:f>IF(ISNUMBER(Q535),1,0)</x:f>
        <x:v>0</x:v>
      </x:c>
    </x:row>
    <x:row r="536" ht="21" customHeight="1">
      <x:c r="A536" s="17" t="n">
        <x:f>Summary!B19</x:f>
        <x:v>46447</x:v>
      </x:c>
      <x:c r="B536" s="1" t="str">
        <x:f>'Current inventory'!A32</x:f>
        <x:v>30</x:v>
      </x:c>
      <x:c r="C536" s="1" t="str">
        <x:f>'Current inventory'!B32</x:f>
        <x:v>800BBLKCSC</x:v>
      </x:c>
      <x:c r="D536" s="7" t="n">
        <x:f>A410</x:f>
        <x:v>46419</x:v>
      </x:c>
      <x:c r="E536" s="8" t="n">
        <x:f>L410</x:f>
        <x:v>0</x:v>
      </x:c>
      <x:c r="F536" s="8" t="n">
        <x:f>M410</x:f>
        <x:v>0</x:v>
      </x:c>
      <x:c r="G536" s="8" t="n">
        <x:f>N410</x:f>
        <x:v>42.150308008213415</x:v>
      </x:c>
      <x:c r="H536" s="8" t="n">
        <x:f>SUMIFS('PO detail'!$U$2:$U$672,'PO detail'!$A$2:$A$672,B536,'PO detail'!$B$2:$B$672,C536,'PO detail'!$G$2:$G$672,"&gt;="&amp;D536,'PO detail'!$G$2:$G$672,"&lt;"&amp;A536)</x:f>
        <x:v>0</x:v>
      </x:c>
      <x:c r="I536" s="8" t="n">
        <x:f>SUMIFS('PO detail'!$V$2:$V$672,'PO detail'!$A$2:$A$672,B536,'PO detail'!$B$2:$B$672,C536,'PO detail'!$G$2:$G$672,"&gt;="&amp;D536,'PO detail'!$G$2:$G$672,"&lt;"&amp;A536)</x:f>
        <x:v>0</x:v>
      </x:c>
      <x:c r="J536" s="8" t="n">
        <x:f>SUMIFS('PO detail'!$W$2:$W$672,'PO detail'!$A$2:$A$672,B536,'PO detail'!$B$2:$B$672,C536,'PO detail'!$G$2:$G$672,"&gt;="&amp;D536,'PO detail'!$G$2:$G$672,"&lt;"&amp;A536)</x:f>
        <x:v>0</x:v>
      </x:c>
      <x:c r="K536" s="8" t="n">
        <x:f>'Current inventory'!E32*Summary!$D$6*(A536-D536)/30.4375</x:f>
        <x:v>866.2590554414784</x:v>
      </x:c>
      <x:c r="L536" s="8" t="n">
        <x:f>MAX(0,E536+H536-K536)</x:f>
        <x:v>0</x:v>
      </x:c>
      <x:c r="M536" s="8" t="n">
        <x:f>MAX(0,F536+I536-MAX(0,K536-E536-H536))</x:f>
        <x:v>0</x:v>
      </x:c>
      <x:c r="N536" s="8" t="n">
        <x:f>MAX(0,G536+J536-K536)</x:f>
        <x:v>0</x:v>
      </x:c>
      <x:c r="O536" s="8" t="n">
        <x:f>SUM(L536:N536)</x:f>
        <x:v>0</x:v>
      </x:c>
      <x:c r="P536" s="14" t="n">
        <x:f>'Current inventory'!V32</x:f>
        <x:v>0.1957</x:v>
      </x:c>
      <x:c r="Q536" s="14" t="str">
        <x:f>'Current inventory'!W32</x:f>
        <x:v>n.a.</x:v>
      </x:c>
      <x:c r="R536" s="10" t="n">
        <x:f>L536*P536</x:f>
        <x:v>0</x:v>
      </x:c>
      <x:c r="S536" s="10" t="n">
        <x:f>M536*P536</x:f>
        <x:v>0</x:v>
      </x:c>
      <x:c r="T536" s="10" t="n">
        <x:f>N536*P536</x:f>
        <x:v>0</x:v>
      </x:c>
      <x:c r="U536" s="10" t="n">
        <x:f>O536*P536</x:f>
        <x:v>0</x:v>
      </x:c>
      <x:c r="V536" s="10" t="str">
        <x:f>IF(ISNUMBER(Q536),O536*(Q536-P536),"n.a.")</x:f>
        <x:v>n.a.</x:v>
      </x:c>
      <x:c r="W536" s="10" t="n">
        <x:f>IF(ISNUMBER(Q536),U536,0)</x:f>
        <x:v>0</x:v>
      </x:c>
      <x:c r="X536" s="8" t="n">
        <x:f>MAX(0,K536-SUM(E536:J536))</x:f>
        <x:v>824.108747433265</x:v>
      </x:c>
      <x:c r="Y536" s="1" t="str">
        <x:f>IF(AND(O536&gt;0,NOT(ISNUMBER(Q536))),"No proposed replacement standard",IF(X536&gt;0,"Demand exceeds available stock",""))</x:f>
        <x:v>Demand exceeds available stock</x:v>
      </x:c>
      <x:c r="Z536" s="1" t="n">
        <x:f>IF(ISNUMBER(Q536),1,0)</x:f>
        <x:v>0</x:v>
      </x:c>
    </x:row>
    <x:row r="537" ht="21" customHeight="1">
      <x:c r="A537" s="17" t="n">
        <x:f>Summary!B19</x:f>
        <x:v>46447</x:v>
      </x:c>
      <x:c r="B537" s="1" t="str">
        <x:f>'Current inventory'!A33</x:f>
        <x:v>60</x:v>
      </x:c>
      <x:c r="C537" s="1" t="str">
        <x:f>'Current inventory'!B33</x:f>
        <x:v>800BNAVCSC</x:v>
      </x:c>
      <x:c r="D537" s="7" t="n">
        <x:f>A411</x:f>
        <x:v>46419</x:v>
      </x:c>
      <x:c r="E537" s="8" t="n">
        <x:f>L411</x:f>
        <x:v>0</x:v>
      </x:c>
      <x:c r="F537" s="8" t="n">
        <x:f>M411</x:f>
        <x:v>0</x:v>
      </x:c>
      <x:c r="G537" s="8" t="n">
        <x:f>N411</x:f>
        <x:v>977.4127310061602</x:v>
      </x:c>
      <x:c r="H537" s="8" t="n">
        <x:f>SUMIFS('PO detail'!$U$2:$U$672,'PO detail'!$A$2:$A$672,B537,'PO detail'!$B$2:$B$672,C537,'PO detail'!$G$2:$G$672,"&gt;="&amp;D537,'PO detail'!$G$2:$G$672,"&lt;"&amp;A537)</x:f>
        <x:v>0</x:v>
      </x:c>
      <x:c r="I537" s="8" t="n">
        <x:f>SUMIFS('PO detail'!$V$2:$V$672,'PO detail'!$A$2:$A$672,B537,'PO detail'!$B$2:$B$672,C537,'PO detail'!$G$2:$G$672,"&gt;="&amp;D537,'PO detail'!$G$2:$G$672,"&lt;"&amp;A537)</x:f>
        <x:v>0</x:v>
      </x:c>
      <x:c r="J537" s="8" t="n">
        <x:f>SUMIFS('PO detail'!$W$2:$W$672,'PO detail'!$A$2:$A$672,B537,'PO detail'!$B$2:$B$672,C537,'PO detail'!$G$2:$G$672,"&gt;="&amp;D537,'PO detail'!$G$2:$G$672,"&lt;"&amp;A537)</x:f>
        <x:v>0</x:v>
      </x:c>
      <x:c r="K537" s="8" t="n">
        <x:f>'Current inventory'!E33*Summary!$D$6*(A537-D537)/30.4375</x:f>
        <x:v>735.9342915811088</x:v>
      </x:c>
      <x:c r="L537" s="8" t="n">
        <x:f>MAX(0,E537+H537-K537)</x:f>
        <x:v>0</x:v>
      </x:c>
      <x:c r="M537" s="8" t="n">
        <x:f>MAX(0,F537+I537-MAX(0,K537-E537-H537))</x:f>
        <x:v>0</x:v>
      </x:c>
      <x:c r="N537" s="8" t="n">
        <x:f>MAX(0,G537+J537-K537)</x:f>
        <x:v>241.47843942505142</x:v>
      </x:c>
      <x:c r="O537" s="8" t="n">
        <x:f>SUM(L537:N537)</x:f>
        <x:v>241.47843942505142</x:v>
      </x:c>
      <x:c r="P537" s="14" t="n">
        <x:f>'Current inventory'!V33</x:f>
        <x:v>0.2022</x:v>
      </x:c>
      <x:c r="Q537" s="14" t="str">
        <x:f>'Current inventory'!W33</x:f>
        <x:v>n.a.</x:v>
      </x:c>
      <x:c r="R537" s="10" t="n">
        <x:f>L537*P537</x:f>
        <x:v>0</x:v>
      </x:c>
      <x:c r="S537" s="10" t="n">
        <x:f>M537*P537</x:f>
        <x:v>0</x:v>
      </x:c>
      <x:c r="T537" s="10" t="n">
        <x:f>N537*P537</x:f>
        <x:v>48.82694045174539</x:v>
      </x:c>
      <x:c r="U537" s="10" t="n">
        <x:f>O537*P537</x:f>
        <x:v>48.82694045174539</x:v>
      </x:c>
      <x:c r="V537" s="10" t="str">
        <x:f>IF(ISNUMBER(Q537),O537*(Q537-P537),"n.a.")</x:f>
        <x:v>n.a.</x:v>
      </x:c>
      <x:c r="W537" s="10" t="n">
        <x:f>IF(ISNUMBER(Q537),U537,0)</x:f>
        <x:v>0</x:v>
      </x:c>
      <x:c r="X537" s="8" t="n">
        <x:f>MAX(0,K537-SUM(E537:J537))</x:f>
        <x:v>0</x:v>
      </x:c>
      <x:c r="Y537" s="1" t="str">
        <x:f>IF(AND(O537&gt;0,NOT(ISNUMBER(Q537))),"No proposed replacement standard",IF(X537&gt;0,"Demand exceeds available stock",""))</x:f>
        <x:v>No proposed replacement standard</x:v>
      </x:c>
      <x:c r="Z537" s="1" t="n">
        <x:f>IF(ISNUMBER(Q537),1,0)</x:f>
        <x:v>0</x:v>
      </x:c>
    </x:row>
    <x:row r="538" ht="21" customHeight="1">
      <x:c r="A538" s="17" t="n">
        <x:f>Summary!B19</x:f>
        <x:v>46447</x:v>
      </x:c>
      <x:c r="B538" s="1" t="str">
        <x:f>'Current inventory'!A34</x:f>
        <x:v>30</x:v>
      </x:c>
      <x:c r="C538" s="1" t="str">
        <x:f>'Current inventory'!B34</x:f>
        <x:v>800BNAVISC</x:v>
      </x:c>
      <x:c r="D538" s="7" t="n">
        <x:f>A412</x:f>
        <x:v>46419</x:v>
      </x:c>
      <x:c r="E538" s="8" t="n">
        <x:f>L412</x:f>
        <x:v>0</x:v>
      </x:c>
      <x:c r="F538" s="8" t="n">
        <x:f>M412</x:f>
        <x:v>0</x:v>
      </x:c>
      <x:c r="G538" s="8" t="n">
        <x:f>N412</x:f>
        <x:v>0</x:v>
      </x:c>
      <x:c r="H538" s="8" t="n">
        <x:f>SUMIFS('PO detail'!$U$2:$U$672,'PO detail'!$A$2:$A$672,B538,'PO detail'!$B$2:$B$672,C538,'PO detail'!$G$2:$G$672,"&gt;="&amp;D538,'PO detail'!$G$2:$G$672,"&lt;"&amp;A538)</x:f>
        <x:v>0</x:v>
      </x:c>
      <x:c r="I538" s="8" t="n">
        <x:f>SUMIFS('PO detail'!$V$2:$V$672,'PO detail'!$A$2:$A$672,B538,'PO detail'!$B$2:$B$672,C538,'PO detail'!$G$2:$G$672,"&gt;="&amp;D538,'PO detail'!$G$2:$G$672,"&lt;"&amp;A538)</x:f>
        <x:v>0</x:v>
      </x:c>
      <x:c r="J538" s="8" t="n">
        <x:f>SUMIFS('PO detail'!$W$2:$W$672,'PO detail'!$A$2:$A$672,B538,'PO detail'!$B$2:$B$672,C538,'PO detail'!$G$2:$G$672,"&gt;="&amp;D538,'PO detail'!$G$2:$G$672,"&lt;"&amp;A538)</x:f>
        <x:v>0</x:v>
      </x:c>
      <x:c r="K538" s="8" t="n">
        <x:f>'Current inventory'!E34*Summary!$D$6*(A538-D538)/30.4375</x:f>
        <x:v>551.9507186858316</x:v>
      </x:c>
      <x:c r="L538" s="8" t="n">
        <x:f>MAX(0,E538+H538-K538)</x:f>
        <x:v>0</x:v>
      </x:c>
      <x:c r="M538" s="8" t="n">
        <x:f>MAX(0,F538+I538-MAX(0,K538-E538-H538))</x:f>
        <x:v>0</x:v>
      </x:c>
      <x:c r="N538" s="8" t="n">
        <x:f>MAX(0,G538+J538-K538)</x:f>
        <x:v>0</x:v>
      </x:c>
      <x:c r="O538" s="8" t="n">
        <x:f>SUM(L538:N538)</x:f>
        <x:v>0</x:v>
      </x:c>
      <x:c r="P538" s="14" t="n">
        <x:f>'Current inventory'!V34</x:f>
        <x:v>0.16870000000000002</x:v>
      </x:c>
      <x:c r="Q538" s="14" t="str">
        <x:f>'Current inventory'!W34</x:f>
        <x:v>n.a.</x:v>
      </x:c>
      <x:c r="R538" s="10" t="n">
        <x:f>L538*P538</x:f>
        <x:v>0</x:v>
      </x:c>
      <x:c r="S538" s="10" t="n">
        <x:f>M538*P538</x:f>
        <x:v>0</x:v>
      </x:c>
      <x:c r="T538" s="10" t="n">
        <x:f>N538*P538</x:f>
        <x:v>0</x:v>
      </x:c>
      <x:c r="U538" s="10" t="n">
        <x:f>O538*P538</x:f>
        <x:v>0</x:v>
      </x:c>
      <x:c r="V538" s="10" t="str">
        <x:f>IF(ISNUMBER(Q538),O538*(Q538-P538),"n.a.")</x:f>
        <x:v>n.a.</x:v>
      </x:c>
      <x:c r="W538" s="10" t="n">
        <x:f>IF(ISNUMBER(Q538),U538,0)</x:f>
        <x:v>0</x:v>
      </x:c>
      <x:c r="X538" s="8" t="n">
        <x:f>MAX(0,K538-SUM(E538:J538))</x:f>
        <x:v>551.9507186858316</x:v>
      </x:c>
      <x:c r="Y538" s="1" t="str">
        <x:f>IF(AND(O538&gt;0,NOT(ISNUMBER(Q538))),"No proposed replacement standard",IF(X538&gt;0,"Demand exceeds available stock",""))</x:f>
        <x:v>Demand exceeds available stock</x:v>
      </x:c>
      <x:c r="Z538" s="1" t="n">
        <x:f>IF(ISNUMBER(Q538),1,0)</x:f>
        <x:v>0</x:v>
      </x:c>
    </x:row>
    <x:row r="539" ht="21" customHeight="1">
      <x:c r="A539" s="17" t="n">
        <x:f>Summary!B19</x:f>
        <x:v>46447</x:v>
      </x:c>
      <x:c r="B539" s="1" t="str">
        <x:f>'Current inventory'!A35</x:f>
        <x:v>10</x:v>
      </x:c>
      <x:c r="C539" s="1" t="str">
        <x:f>'Current inventory'!B35</x:f>
        <x:v>800BMARDSC</x:v>
      </x:c>
      <x:c r="D539" s="7" t="n">
        <x:f>A413</x:f>
        <x:v>46419</x:v>
      </x:c>
      <x:c r="E539" s="8" t="n">
        <x:f>L413</x:f>
        <x:v>0</x:v>
      </x:c>
      <x:c r="F539" s="8" t="n">
        <x:f>M413</x:f>
        <x:v>0</x:v>
      </x:c>
      <x:c r="G539" s="8" t="n">
        <x:f>N413</x:f>
        <x:v>0</x:v>
      </x:c>
      <x:c r="H539" s="8" t="n">
        <x:f>SUMIFS('PO detail'!$U$2:$U$672,'PO detail'!$A$2:$A$672,B539,'PO detail'!$B$2:$B$672,C539,'PO detail'!$G$2:$G$672,"&gt;="&amp;D539,'PO detail'!$G$2:$G$672,"&lt;"&amp;A539)</x:f>
        <x:v>0</x:v>
      </x:c>
      <x:c r="I539" s="8" t="n">
        <x:f>SUMIFS('PO detail'!$V$2:$V$672,'PO detail'!$A$2:$A$672,B539,'PO detail'!$B$2:$B$672,C539,'PO detail'!$G$2:$G$672,"&gt;="&amp;D539,'PO detail'!$G$2:$G$672,"&lt;"&amp;A539)</x:f>
        <x:v>0</x:v>
      </x:c>
      <x:c r="J539" s="8" t="n">
        <x:f>SUMIFS('PO detail'!$W$2:$W$672,'PO detail'!$A$2:$A$672,B539,'PO detail'!$B$2:$B$672,C539,'PO detail'!$G$2:$G$672,"&gt;="&amp;D539,'PO detail'!$G$2:$G$672,"&lt;"&amp;A539)</x:f>
        <x:v>0</x:v>
      </x:c>
      <x:c r="K539" s="8" t="n">
        <x:f>'Current inventory'!E35*Summary!$D$6*(A539-D539)/30.4375</x:f>
        <x:v>421.6351540041067</x:v>
      </x:c>
      <x:c r="L539" s="8" t="n">
        <x:f>MAX(0,E539+H539-K539)</x:f>
        <x:v>0</x:v>
      </x:c>
      <x:c r="M539" s="8" t="n">
        <x:f>MAX(0,F539+I539-MAX(0,K539-E539-H539))</x:f>
        <x:v>0</x:v>
      </x:c>
      <x:c r="N539" s="8" t="n">
        <x:f>MAX(0,G539+J539-K539)</x:f>
        <x:v>0</x:v>
      </x:c>
      <x:c r="O539" s="8" t="n">
        <x:f>SUM(L539:N539)</x:f>
        <x:v>0</x:v>
      </x:c>
      <x:c r="P539" s="14" t="n">
        <x:f>'Current inventory'!V35</x:f>
        <x:v>0.3998</x:v>
      </x:c>
      <x:c r="Q539" s="14" t="str">
        <x:f>'Current inventory'!W35</x:f>
        <x:v>n.a.</x:v>
      </x:c>
      <x:c r="R539" s="10" t="n">
        <x:f>L539*P539</x:f>
        <x:v>0</x:v>
      </x:c>
      <x:c r="S539" s="10" t="n">
        <x:f>M539*P539</x:f>
        <x:v>0</x:v>
      </x:c>
      <x:c r="T539" s="10" t="n">
        <x:f>N539*P539</x:f>
        <x:v>0</x:v>
      </x:c>
      <x:c r="U539" s="10" t="n">
        <x:f>O539*P539</x:f>
        <x:v>0</x:v>
      </x:c>
      <x:c r="V539" s="10" t="str">
        <x:f>IF(ISNUMBER(Q539),O539*(Q539-P539),"n.a.")</x:f>
        <x:v>n.a.</x:v>
      </x:c>
      <x:c r="W539" s="10" t="n">
        <x:f>IF(ISNUMBER(Q539),U539,0)</x:f>
        <x:v>0</x:v>
      </x:c>
      <x:c r="X539" s="8" t="n">
        <x:f>MAX(0,K539-SUM(E539:J539))</x:f>
        <x:v>421.6351540041067</x:v>
      </x:c>
      <x:c r="Y539" s="1" t="str">
        <x:f>IF(AND(O539&gt;0,NOT(ISNUMBER(Q539))),"No proposed replacement standard",IF(X539&gt;0,"Demand exceeds available stock",""))</x:f>
        <x:v>Demand exceeds available stock</x:v>
      </x:c>
      <x:c r="Z539" s="1" t="n">
        <x:f>IF(ISNUMBER(Q539),1,0)</x:f>
        <x:v>0</x:v>
      </x:c>
    </x:row>
    <x:row r="540" ht="21" customHeight="1">
      <x:c r="A540" s="17" t="n">
        <x:f>Summary!B19</x:f>
        <x:v>46447</x:v>
      </x:c>
      <x:c r="B540" s="1" t="str">
        <x:f>'Current inventory'!A36</x:f>
        <x:v>10</x:v>
      </x:c>
      <x:c r="C540" s="1" t="str">
        <x:f>'Current inventory'!B36</x:f>
        <x:v>800BMARISC</x:v>
      </x:c>
      <x:c r="D540" s="7" t="n">
        <x:f>A414</x:f>
        <x:v>46419</x:v>
      </x:c>
      <x:c r="E540" s="8" t="n">
        <x:f>L414</x:f>
        <x:v>0</x:v>
      </x:c>
      <x:c r="F540" s="8" t="n">
        <x:f>M414</x:f>
        <x:v>0</x:v>
      </x:c>
      <x:c r="G540" s="8" t="n">
        <x:f>N414</x:f>
        <x:v>199.7946611909651</x:v>
      </x:c>
      <x:c r="H540" s="8" t="n">
        <x:f>SUMIFS('PO detail'!$U$2:$U$672,'PO detail'!$A$2:$A$672,B540,'PO detail'!$B$2:$B$672,C540,'PO detail'!$G$2:$G$672,"&gt;="&amp;D540,'PO detail'!$G$2:$G$672,"&lt;"&amp;A540)</x:f>
        <x:v>0</x:v>
      </x:c>
      <x:c r="I540" s="8" t="n">
        <x:f>SUMIFS('PO detail'!$V$2:$V$672,'PO detail'!$A$2:$A$672,B540,'PO detail'!$B$2:$B$672,C540,'PO detail'!$G$2:$G$672,"&gt;="&amp;D540,'PO detail'!$G$2:$G$672,"&lt;"&amp;A540)</x:f>
        <x:v>0</x:v>
      </x:c>
      <x:c r="J540" s="8" t="n">
        <x:f>SUMIFS('PO detail'!$W$2:$W$672,'PO detail'!$A$2:$A$672,B540,'PO detail'!$B$2:$B$672,C540,'PO detail'!$G$2:$G$672,"&gt;="&amp;D540,'PO detail'!$G$2:$G$672,"&lt;"&amp;A540)</x:f>
        <x:v>0</x:v>
      </x:c>
      <x:c r="K540" s="8" t="n">
        <x:f>'Current inventory'!E36*Summary!$D$6*(A540-D540)/30.4375</x:f>
        <x:v>413.9630390143737</x:v>
      </x:c>
      <x:c r="L540" s="8" t="n">
        <x:f>MAX(0,E540+H540-K540)</x:f>
        <x:v>0</x:v>
      </x:c>
      <x:c r="M540" s="8" t="n">
        <x:f>MAX(0,F540+I540-MAX(0,K540-E540-H540))</x:f>
        <x:v>0</x:v>
      </x:c>
      <x:c r="N540" s="8" t="n">
        <x:f>MAX(0,G540+J540-K540)</x:f>
        <x:v>0</x:v>
      </x:c>
      <x:c r="O540" s="8" t="n">
        <x:f>SUM(L540:N540)</x:f>
        <x:v>0</x:v>
      </x:c>
      <x:c r="P540" s="14" t="n">
        <x:f>'Current inventory'!V36</x:f>
        <x:v>0.1946</x:v>
      </x:c>
      <x:c r="Q540" s="14" t="str">
        <x:f>'Current inventory'!W36</x:f>
        <x:v>n.a.</x:v>
      </x:c>
      <x:c r="R540" s="10" t="n">
        <x:f>L540*P540</x:f>
        <x:v>0</x:v>
      </x:c>
      <x:c r="S540" s="10" t="n">
        <x:f>M540*P540</x:f>
        <x:v>0</x:v>
      </x:c>
      <x:c r="T540" s="10" t="n">
        <x:f>N540*P540</x:f>
        <x:v>0</x:v>
      </x:c>
      <x:c r="U540" s="10" t="n">
        <x:f>O540*P540</x:f>
        <x:v>0</x:v>
      </x:c>
      <x:c r="V540" s="10" t="str">
        <x:f>IF(ISNUMBER(Q540),O540*(Q540-P540),"n.a.")</x:f>
        <x:v>n.a.</x:v>
      </x:c>
      <x:c r="W540" s="10" t="n">
        <x:f>IF(ISNUMBER(Q540),U540,0)</x:f>
        <x:v>0</x:v>
      </x:c>
      <x:c r="X540" s="8" t="n">
        <x:f>MAX(0,K540-SUM(E540:J540))</x:f>
        <x:v>214.1683778234086</x:v>
      </x:c>
      <x:c r="Y540" s="1" t="str">
        <x:f>IF(AND(O540&gt;0,NOT(ISNUMBER(Q540))),"No proposed replacement standard",IF(X540&gt;0,"Demand exceeds available stock",""))</x:f>
        <x:v>Demand exceeds available stock</x:v>
      </x:c>
      <x:c r="Z540" s="1" t="n">
        <x:f>IF(ISNUMBER(Q540),1,0)</x:f>
        <x:v>0</x:v>
      </x:c>
    </x:row>
    <x:row r="541" ht="21" customHeight="1">
      <x:c r="A541" s="17" t="n">
        <x:f>Summary!B19</x:f>
        <x:v>46447</x:v>
      </x:c>
      <x:c r="B541" s="1" t="str">
        <x:f>'Current inventory'!A37</x:f>
        <x:v>30</x:v>
      </x:c>
      <x:c r="C541" s="1" t="str">
        <x:f>'Current inventory'!B37</x:f>
        <x:v>800BNAVBRC</x:v>
      </x:c>
      <x:c r="D541" s="7" t="n">
        <x:f>A415</x:f>
        <x:v>46419</x:v>
      </x:c>
      <x:c r="E541" s="8" t="n">
        <x:f>L415</x:f>
        <x:v>0</x:v>
      </x:c>
      <x:c r="F541" s="8" t="n">
        <x:f>M415</x:f>
        <x:v>0</x:v>
      </x:c>
      <x:c r="G541" s="8" t="n">
        <x:f>N415</x:f>
        <x:v>188.70636550308012</x:v>
      </x:c>
      <x:c r="H541" s="8" t="n">
        <x:f>SUMIFS('PO detail'!$U$2:$U$672,'PO detail'!$A$2:$A$672,B541,'PO detail'!$B$2:$B$672,C541,'PO detail'!$G$2:$G$672,"&gt;="&amp;D541,'PO detail'!$G$2:$G$672,"&lt;"&amp;A541)</x:f>
        <x:v>0</x:v>
      </x:c>
      <x:c r="I541" s="8" t="n">
        <x:f>SUMIFS('PO detail'!$V$2:$V$672,'PO detail'!$A$2:$A$672,B541,'PO detail'!$B$2:$B$672,C541,'PO detail'!$G$2:$G$672,"&gt;="&amp;D541,'PO detail'!$G$2:$G$672,"&lt;"&amp;A541)</x:f>
        <x:v>0</x:v>
      </x:c>
      <x:c r="J541" s="8" t="n">
        <x:f>SUMIFS('PO detail'!$W$2:$W$672,'PO detail'!$A$2:$A$672,B541,'PO detail'!$B$2:$B$672,C541,'PO detail'!$G$2:$G$672,"&gt;="&amp;D541,'PO detail'!$G$2:$G$672,"&lt;"&amp;A541)</x:f>
        <x:v>0</x:v>
      </x:c>
      <x:c r="K541" s="8" t="n">
        <x:f>'Current inventory'!E37*Summary!$D$6*(A541-D541)/30.4375</x:f>
        <x:v>367.9671457905544</x:v>
      </x:c>
      <x:c r="L541" s="8" t="n">
        <x:f>MAX(0,E541+H541-K541)</x:f>
        <x:v>0</x:v>
      </x:c>
      <x:c r="M541" s="8" t="n">
        <x:f>MAX(0,F541+I541-MAX(0,K541-E541-H541))</x:f>
        <x:v>0</x:v>
      </x:c>
      <x:c r="N541" s="8" t="n">
        <x:f>MAX(0,G541+J541-K541)</x:f>
        <x:v>0</x:v>
      </x:c>
      <x:c r="O541" s="8" t="n">
        <x:f>SUM(L541:N541)</x:f>
        <x:v>0</x:v>
      </x:c>
      <x:c r="P541" s="14" t="n">
        <x:f>'Current inventory'!V37</x:f>
        <x:v>0.17370000000000002</x:v>
      </x:c>
      <x:c r="Q541" s="14" t="str">
        <x:f>'Current inventory'!W37</x:f>
        <x:v>n.a.</x:v>
      </x:c>
      <x:c r="R541" s="10" t="n">
        <x:f>L541*P541</x:f>
        <x:v>0</x:v>
      </x:c>
      <x:c r="S541" s="10" t="n">
        <x:f>M541*P541</x:f>
        <x:v>0</x:v>
      </x:c>
      <x:c r="T541" s="10" t="n">
        <x:f>N541*P541</x:f>
        <x:v>0</x:v>
      </x:c>
      <x:c r="U541" s="10" t="n">
        <x:f>O541*P541</x:f>
        <x:v>0</x:v>
      </x:c>
      <x:c r="V541" s="10" t="str">
        <x:f>IF(ISNUMBER(Q541),O541*(Q541-P541),"n.a.")</x:f>
        <x:v>n.a.</x:v>
      </x:c>
      <x:c r="W541" s="10" t="n">
        <x:f>IF(ISNUMBER(Q541),U541,0)</x:f>
        <x:v>0</x:v>
      </x:c>
      <x:c r="X541" s="8" t="n">
        <x:f>MAX(0,K541-SUM(E541:J541))</x:f>
        <x:v>179.2607802874743</x:v>
      </x:c>
      <x:c r="Y541" s="1" t="str">
        <x:f>IF(AND(O541&gt;0,NOT(ISNUMBER(Q541))),"No proposed replacement standard",IF(X541&gt;0,"Demand exceeds available stock",""))</x:f>
        <x:v>Demand exceeds available stock</x:v>
      </x:c>
      <x:c r="Z541" s="1" t="n">
        <x:f>IF(ISNUMBER(Q541),1,0)</x:f>
        <x:v>0</x:v>
      </x:c>
    </x:row>
    <x:row r="542" ht="21" customHeight="1">
      <x:c r="A542" s="17" t="n">
        <x:f>Summary!B19</x:f>
        <x:v>46447</x:v>
      </x:c>
      <x:c r="B542" s="1" t="str">
        <x:f>'Current inventory'!A38</x:f>
        <x:v>10</x:v>
      </x:c>
      <x:c r="C542" s="1" t="str">
        <x:f>'Current inventory'!B38</x:f>
        <x:v>800BMARBRC</x:v>
      </x:c>
      <x:c r="D542" s="7" t="n">
        <x:f>A416</x:f>
        <x:v>46419</x:v>
      </x:c>
      <x:c r="E542" s="8" t="n">
        <x:f>L416</x:f>
        <x:v>0</x:v>
      </x:c>
      <x:c r="F542" s="8" t="n">
        <x:f>M416</x:f>
        <x:v>0</x:v>
      </x:c>
      <x:c r="G542" s="8" t="n">
        <x:f>N416</x:f>
        <x:v>1983.1622176591377</x:v>
      </x:c>
      <x:c r="H542" s="8" t="n">
        <x:f>SUMIFS('PO detail'!$U$2:$U$672,'PO detail'!$A$2:$A$672,B542,'PO detail'!$B$2:$B$672,C542,'PO detail'!$G$2:$G$672,"&gt;="&amp;D542,'PO detail'!$G$2:$G$672,"&lt;"&amp;A542)</x:f>
        <x:v>0</x:v>
      </x:c>
      <x:c r="I542" s="8" t="n">
        <x:f>SUMIFS('PO detail'!$V$2:$V$672,'PO detail'!$A$2:$A$672,B542,'PO detail'!$B$2:$B$672,C542,'PO detail'!$G$2:$G$672,"&gt;="&amp;D542,'PO detail'!$G$2:$G$672,"&lt;"&amp;A542)</x:f>
        <x:v>0</x:v>
      </x:c>
      <x:c r="J542" s="8" t="n">
        <x:f>SUMIFS('PO detail'!$W$2:$W$672,'PO detail'!$A$2:$A$672,B542,'PO detail'!$B$2:$B$672,C542,'PO detail'!$G$2:$G$672,"&gt;="&amp;D542,'PO detail'!$G$2:$G$672,"&lt;"&amp;A542)</x:f>
        <x:v>0</x:v>
      </x:c>
      <x:c r="K542" s="8" t="n">
        <x:f>'Current inventory'!E38*Summary!$D$6*(A542-D542)/30.4375</x:f>
        <x:v>344.96919917864477</x:v>
      </x:c>
      <x:c r="L542" s="8" t="n">
        <x:f>MAX(0,E542+H542-K542)</x:f>
        <x:v>0</x:v>
      </x:c>
      <x:c r="M542" s="8" t="n">
        <x:f>MAX(0,F542+I542-MAX(0,K542-E542-H542))</x:f>
        <x:v>0</x:v>
      </x:c>
      <x:c r="N542" s="8" t="n">
        <x:f>MAX(0,G542+J542-K542)</x:f>
        <x:v>1638.1930184804928</x:v>
      </x:c>
      <x:c r="O542" s="8" t="n">
        <x:f>SUM(L542:N542)</x:f>
        <x:v>1638.1930184804928</x:v>
      </x:c>
      <x:c r="P542" s="14" t="n">
        <x:f>'Current inventory'!V38</x:f>
        <x:v>0.1996</x:v>
      </x:c>
      <x:c r="Q542" s="14" t="str">
        <x:f>'Current inventory'!W38</x:f>
        <x:v>n.a.</x:v>
      </x:c>
      <x:c r="R542" s="10" t="n">
        <x:f>L542*P542</x:f>
        <x:v>0</x:v>
      </x:c>
      <x:c r="S542" s="10" t="n">
        <x:f>M542*P542</x:f>
        <x:v>0</x:v>
      </x:c>
      <x:c r="T542" s="10" t="n">
        <x:f>N542*P542</x:f>
        <x:v>326.9833264887064</x:v>
      </x:c>
      <x:c r="U542" s="10" t="n">
        <x:f>O542*P542</x:f>
        <x:v>326.9833264887064</x:v>
      </x:c>
      <x:c r="V542" s="10" t="str">
        <x:f>IF(ISNUMBER(Q542),O542*(Q542-P542),"n.a.")</x:f>
        <x:v>n.a.</x:v>
      </x:c>
      <x:c r="W542" s="10" t="n">
        <x:f>IF(ISNUMBER(Q542),U542,0)</x:f>
        <x:v>0</x:v>
      </x:c>
      <x:c r="X542" s="8" t="n">
        <x:f>MAX(0,K542-SUM(E542:J542))</x:f>
        <x:v>0</x:v>
      </x:c>
      <x:c r="Y542" s="1" t="str">
        <x:f>IF(AND(O542&gt;0,NOT(ISNUMBER(Q542))),"No proposed replacement standard",IF(X542&gt;0,"Demand exceeds available stock",""))</x:f>
        <x:v>No proposed replacement standard</x:v>
      </x:c>
      <x:c r="Z542" s="1" t="n">
        <x:f>IF(ISNUMBER(Q542),1,0)</x:f>
        <x:v>0</x:v>
      </x:c>
    </x:row>
    <x:row r="543" ht="21" customHeight="1">
      <x:c r="A543" s="17" t="n">
        <x:f>Summary!B19</x:f>
        <x:v>46447</x:v>
      </x:c>
      <x:c r="B543" s="1" t="str">
        <x:f>'Current inventory'!A39</x:f>
        <x:v>30</x:v>
      </x:c>
      <x:c r="C543" s="1" t="str">
        <x:f>'Current inventory'!B39</x:f>
        <x:v>800BBLKBRC</x:v>
      </x:c>
      <x:c r="D543" s="7" t="n">
        <x:f>A417</x:f>
        <x:v>46419</x:v>
      </x:c>
      <x:c r="E543" s="8" t="n">
        <x:f>L417</x:f>
        <x:v>0</x:v>
      </x:c>
      <x:c r="F543" s="8" t="n">
        <x:f>M417</x:f>
        <x:v>0</x:v>
      </x:c>
      <x:c r="G543" s="8" t="n">
        <x:f>N417</x:f>
        <x:v>1144.35318275154</x:v>
      </x:c>
      <x:c r="H543" s="8" t="n">
        <x:f>SUMIFS('PO detail'!$U$2:$U$672,'PO detail'!$A$2:$A$672,B543,'PO detail'!$B$2:$B$672,C543,'PO detail'!$G$2:$G$672,"&gt;="&amp;D543,'PO detail'!$G$2:$G$672,"&lt;"&amp;A543)</x:f>
        <x:v>0</x:v>
      </x:c>
      <x:c r="I543" s="8" t="n">
        <x:f>SUMIFS('PO detail'!$V$2:$V$672,'PO detail'!$A$2:$A$672,B543,'PO detail'!$B$2:$B$672,C543,'PO detail'!$G$2:$G$672,"&gt;="&amp;D543,'PO detail'!$G$2:$G$672,"&lt;"&amp;A543)</x:f>
        <x:v>0</x:v>
      </x:c>
      <x:c r="J543" s="8" t="n">
        <x:f>SUMIFS('PO detail'!$W$2:$W$672,'PO detail'!$A$2:$A$672,B543,'PO detail'!$B$2:$B$672,C543,'PO detail'!$G$2:$G$672,"&gt;="&amp;D543,'PO detail'!$G$2:$G$672,"&lt;"&amp;A543)</x:f>
        <x:v>0</x:v>
      </x:c>
      <x:c r="K543" s="8" t="n">
        <x:f>'Current inventory'!E39*Summary!$D$6*(A543-D543)/30.4375</x:f>
        <x:v>183.9835728952772</x:v>
      </x:c>
      <x:c r="L543" s="8" t="n">
        <x:f>MAX(0,E543+H543-K543)</x:f>
        <x:v>0</x:v>
      </x:c>
      <x:c r="M543" s="8" t="n">
        <x:f>MAX(0,F543+I543-MAX(0,K543-E543-H543))</x:f>
        <x:v>0</x:v>
      </x:c>
      <x:c r="N543" s="8" t="n">
        <x:f>MAX(0,G543+J543-K543)</x:f>
        <x:v>960.3696098562629</x:v>
      </x:c>
      <x:c r="O543" s="8" t="n">
        <x:f>SUM(L543:N543)</x:f>
        <x:v>960.3696098562629</x:v>
      </x:c>
      <x:c r="P543" s="14" t="n">
        <x:f>'Current inventory'!V39</x:f>
        <x:v>0.16829999999999998</x:v>
      </x:c>
      <x:c r="Q543" s="14" t="str">
        <x:f>'Current inventory'!W39</x:f>
        <x:v>n.a.</x:v>
      </x:c>
      <x:c r="R543" s="10" t="n">
        <x:f>L543*P543</x:f>
        <x:v>0</x:v>
      </x:c>
      <x:c r="S543" s="10" t="n">
        <x:f>M543*P543</x:f>
        <x:v>0</x:v>
      </x:c>
      <x:c r="T543" s="10" t="n">
        <x:f>N543*P543</x:f>
        <x:v>161.63020533880902</x:v>
      </x:c>
      <x:c r="U543" s="10" t="n">
        <x:f>O543*P543</x:f>
        <x:v>161.63020533880902</x:v>
      </x:c>
      <x:c r="V543" s="10" t="str">
        <x:f>IF(ISNUMBER(Q543),O543*(Q543-P543),"n.a.")</x:f>
        <x:v>n.a.</x:v>
      </x:c>
      <x:c r="W543" s="10" t="n">
        <x:f>IF(ISNUMBER(Q543),U543,0)</x:f>
        <x:v>0</x:v>
      </x:c>
      <x:c r="X543" s="8" t="n">
        <x:f>MAX(0,K543-SUM(E543:J543))</x:f>
        <x:v>0</x:v>
      </x:c>
      <x:c r="Y543" s="1" t="str">
        <x:f>IF(AND(O543&gt;0,NOT(ISNUMBER(Q543))),"No proposed replacement standard",IF(X543&gt;0,"Demand exceeds available stock",""))</x:f>
        <x:v>No proposed replacement standard</x:v>
      </x:c>
      <x:c r="Z543" s="1" t="n">
        <x:f>IF(ISNUMBER(Q543),1,0)</x:f>
        <x:v>0</x:v>
      </x:c>
    </x:row>
    <x:row r="544" ht="21" customHeight="1">
      <x:c r="A544" s="17" t="n">
        <x:f>Summary!B19</x:f>
        <x:v>46447</x:v>
      </x:c>
      <x:c r="B544" s="1" t="str">
        <x:f>'Current inventory'!A40</x:f>
        <x:v>30</x:v>
      </x:c>
      <x:c r="C544" s="1" t="str">
        <x:f>'Current inventory'!B40</x:f>
        <x:v>800BNAVCSC</x:v>
      </x:c>
      <x:c r="D544" s="7" t="n">
        <x:f>A418</x:f>
        <x:v>46419</x:v>
      </x:c>
      <x:c r="E544" s="8" t="n">
        <x:f>L418</x:f>
        <x:v>0</x:v>
      </x:c>
      <x:c r="F544" s="8" t="n">
        <x:f>M418</x:f>
        <x:v>0</x:v>
      </x:c>
      <x:c r="G544" s="8" t="n">
        <x:f>N418</x:f>
        <x:v>0</x:v>
      </x:c>
      <x:c r="H544" s="8" t="n">
        <x:f>SUMIFS('PO detail'!$U$2:$U$672,'PO detail'!$A$2:$A$672,B544,'PO detail'!$B$2:$B$672,C544,'PO detail'!$G$2:$G$672,"&gt;="&amp;D544,'PO detail'!$G$2:$G$672,"&lt;"&amp;A544)</x:f>
        <x:v>0</x:v>
      </x:c>
      <x:c r="I544" s="8" t="n">
        <x:f>SUMIFS('PO detail'!$V$2:$V$672,'PO detail'!$A$2:$A$672,B544,'PO detail'!$B$2:$B$672,C544,'PO detail'!$G$2:$G$672,"&gt;="&amp;D544,'PO detail'!$G$2:$G$672,"&lt;"&amp;A544)</x:f>
        <x:v>0</x:v>
      </x:c>
      <x:c r="J544" s="8" t="n">
        <x:f>SUMIFS('PO detail'!$W$2:$W$672,'PO detail'!$A$2:$A$672,B544,'PO detail'!$B$2:$B$672,C544,'PO detail'!$G$2:$G$672,"&gt;="&amp;D544,'PO detail'!$G$2:$G$672,"&lt;"&amp;A544)</x:f>
        <x:v>0</x:v>
      </x:c>
      <x:c r="K544" s="8" t="n">
        <x:f>'Current inventory'!E40*Summary!$D$6*(A544-D544)/30.4375</x:f>
        <x:v>168.64854209445588</x:v>
      </x:c>
      <x:c r="L544" s="8" t="n">
        <x:f>MAX(0,E544+H544-K544)</x:f>
        <x:v>0</x:v>
      </x:c>
      <x:c r="M544" s="8" t="n">
        <x:f>MAX(0,F544+I544-MAX(0,K544-E544-H544))</x:f>
        <x:v>0</x:v>
      </x:c>
      <x:c r="N544" s="8" t="n">
        <x:f>MAX(0,G544+J544-K544)</x:f>
        <x:v>0</x:v>
      </x:c>
      <x:c r="O544" s="8" t="n">
        <x:f>SUM(L544:N544)</x:f>
        <x:v>0</x:v>
      </x:c>
      <x:c r="P544" s="14" t="n">
        <x:f>'Current inventory'!V40</x:f>
        <x:v>0.2022</x:v>
      </x:c>
      <x:c r="Q544" s="14" t="str">
        <x:f>'Current inventory'!W40</x:f>
        <x:v>n.a.</x:v>
      </x:c>
      <x:c r="R544" s="10" t="n">
        <x:f>L544*P544</x:f>
        <x:v>0</x:v>
      </x:c>
      <x:c r="S544" s="10" t="n">
        <x:f>M544*P544</x:f>
        <x:v>0</x:v>
      </x:c>
      <x:c r="T544" s="10" t="n">
        <x:f>N544*P544</x:f>
        <x:v>0</x:v>
      </x:c>
      <x:c r="U544" s="10" t="n">
        <x:f>O544*P544</x:f>
        <x:v>0</x:v>
      </x:c>
      <x:c r="V544" s="10" t="str">
        <x:f>IF(ISNUMBER(Q544),O544*(Q544-P544),"n.a.")</x:f>
        <x:v>n.a.</x:v>
      </x:c>
      <x:c r="W544" s="10" t="n">
        <x:f>IF(ISNUMBER(Q544),U544,0)</x:f>
        <x:v>0</x:v>
      </x:c>
      <x:c r="X544" s="8" t="n">
        <x:f>MAX(0,K544-SUM(E544:J544))</x:f>
        <x:v>168.64854209445588</x:v>
      </x:c>
      <x:c r="Y544" s="1" t="str">
        <x:f>IF(AND(O544&gt;0,NOT(ISNUMBER(Q544))),"No proposed replacement standard",IF(X544&gt;0,"Demand exceeds available stock",""))</x:f>
        <x:v>Demand exceeds available stock</x:v>
      </x:c>
      <x:c r="Z544" s="1" t="n">
        <x:f>IF(ISNUMBER(Q544),1,0)</x:f>
        <x:v>0</x:v>
      </x:c>
    </x:row>
    <x:row r="545" ht="21" customHeight="1">
      <x:c r="A545" s="17" t="n">
        <x:f>Summary!B19</x:f>
        <x:v>46447</x:v>
      </x:c>
      <x:c r="B545" s="1" t="str">
        <x:f>'Current inventory'!A41</x:f>
        <x:v>10</x:v>
      </x:c>
      <x:c r="C545" s="1" t="str">
        <x:f>'Current inventory'!B41</x:f>
        <x:v>800MARE</x:v>
      </x:c>
      <x:c r="D545" s="7" t="n">
        <x:f>A419</x:f>
        <x:v>46419</x:v>
      </x:c>
      <x:c r="E545" s="8" t="n">
        <x:f>L419</x:f>
        <x:v>514.8969199178644</x:v>
      </x:c>
      <x:c r="F545" s="8" t="n">
        <x:f>M419</x:f>
        <x:v>2500</x:v>
      </x:c>
      <x:c r="G545" s="8" t="n">
        <x:f>N419</x:f>
        <x:v>0</x:v>
      </x:c>
      <x:c r="H545" s="8" t="n">
        <x:f>SUMIFS('PO detail'!$U$2:$U$672,'PO detail'!$A$2:$A$672,B545,'PO detail'!$B$2:$B$672,C545,'PO detail'!$G$2:$G$672,"&gt;="&amp;D545,'PO detail'!$G$2:$G$672,"&lt;"&amp;A545)</x:f>
        <x:v>0</x:v>
      </x:c>
      <x:c r="I545" s="8" t="n">
        <x:f>SUMIFS('PO detail'!$V$2:$V$672,'PO detail'!$A$2:$A$672,B545,'PO detail'!$B$2:$B$672,C545,'PO detail'!$G$2:$G$672,"&gt;="&amp;D545,'PO detail'!$G$2:$G$672,"&lt;"&amp;A545)</x:f>
        <x:v>0</x:v>
      </x:c>
      <x:c r="J545" s="8" t="n">
        <x:f>SUMIFS('PO detail'!$W$2:$W$672,'PO detail'!$A$2:$A$672,B545,'PO detail'!$B$2:$B$672,C545,'PO detail'!$G$2:$G$672,"&gt;="&amp;D545,'PO detail'!$G$2:$G$672,"&lt;"&amp;A545)</x:f>
        <x:v>0</x:v>
      </x:c>
      <x:c r="K545" s="8" t="n">
        <x:f>'Current inventory'!E41*Summary!$D$6*(A545-D545)/30.4375</x:f>
        <x:v>158.52944558521563</x:v>
      </x:c>
      <x:c r="L545" s="8" t="n">
        <x:f>MAX(0,E545+H545-K545)</x:f>
        <x:v>356.3674743326487</x:v>
      </x:c>
      <x:c r="M545" s="8" t="n">
        <x:f>MAX(0,F545+I545-MAX(0,K545-E545-H545))</x:f>
        <x:v>2500</x:v>
      </x:c>
      <x:c r="N545" s="8" t="n">
        <x:f>MAX(0,G545+J545-K545)</x:f>
        <x:v>0</x:v>
      </x:c>
      <x:c r="O545" s="8" t="n">
        <x:f>SUM(L545:N545)</x:f>
        <x:v>2856.3674743326487</x:v>
      </x:c>
      <x:c r="P545" s="14" t="n">
        <x:f>'Current inventory'!V41</x:f>
        <x:v>1.29129</x:v>
      </x:c>
      <x:c r="Q545" s="14" t="n">
        <x:f>'Current inventory'!W41</x:f>
        <x:v>1.349355</x:v>
      </x:c>
      <x:c r="R545" s="10" t="n">
        <x:f>L545*P545</x:f>
        <x:v>460.173755931006</x:v>
      </x:c>
      <x:c r="S545" s="10" t="n">
        <x:f>M545*P545</x:f>
        <x:v>3228.225</x:v>
      </x:c>
      <x:c r="T545" s="10" t="n">
        <x:f>N545*P545</x:f>
        <x:v>0</x:v>
      </x:c>
      <x:c r="U545" s="10" t="n">
        <x:f>O545*P545</x:f>
        <x:v>3688.3987559310062</x:v>
      </x:c>
      <x:c r="V545" s="10" t="n">
        <x:f>IF(ISNUMBER(Q545),O545*(Q545-P545),"n.a.")</x:f>
        <x:v>165.85497739712534</x:v>
      </x:c>
      <x:c r="W545" s="10" t="n">
        <x:f>IF(ISNUMBER(Q545),U545,0)</x:f>
        <x:v>3688.3987559310062</x:v>
      </x:c>
      <x:c r="X545" s="8" t="n">
        <x:f>MAX(0,K545-SUM(E545:J545))</x:f>
        <x:v>0</x:v>
      </x:c>
      <x:c r="Y545" s="1" t="str">
        <x:f>IF(AND(O545&gt;0,NOT(ISNUMBER(Q545))),"No proposed replacement standard",IF(X545&gt;0,"Demand exceeds available stock",""))</x:f>
      </x:c>
      <x:c r="Z545" s="1" t="n">
        <x:f>IF(ISNUMBER(Q545),1,0)</x:f>
        <x:v>1</x:v>
      </x:c>
    </x:row>
    <x:row r="546" ht="21" customHeight="1">
      <x:c r="A546" s="17" t="n">
        <x:f>Summary!B19</x:f>
        <x:v>46447</x:v>
      </x:c>
      <x:c r="B546" s="1" t="str">
        <x:f>'Current inventory'!A42</x:f>
        <x:v>30</x:v>
      </x:c>
      <x:c r="C546" s="1" t="str">
        <x:f>'Current inventory'!B42</x:f>
        <x:v>800BMARBRC</x:v>
      </x:c>
      <x:c r="D546" s="7" t="n">
        <x:f>A420</x:f>
        <x:v>46419</x:v>
      </x:c>
      <x:c r="E546" s="8" t="n">
        <x:f>L420</x:f>
        <x:v>0</x:v>
      </x:c>
      <x:c r="F546" s="8" t="n">
        <x:f>M420</x:f>
        <x:v>0</x:v>
      </x:c>
      <x:c r="G546" s="8" t="n">
        <x:f>N420</x:f>
        <x:v>70.281724845996</x:v>
      </x:c>
      <x:c r="H546" s="8" t="n">
        <x:f>SUMIFS('PO detail'!$U$2:$U$672,'PO detail'!$A$2:$A$672,B546,'PO detail'!$B$2:$B$672,C546,'PO detail'!$G$2:$G$672,"&gt;="&amp;D546,'PO detail'!$G$2:$G$672,"&lt;"&amp;A546)</x:f>
        <x:v>0</x:v>
      </x:c>
      <x:c r="I546" s="8" t="n">
        <x:f>SUMIFS('PO detail'!$V$2:$V$672,'PO detail'!$A$2:$A$672,B546,'PO detail'!$B$2:$B$672,C546,'PO detail'!$G$2:$G$672,"&gt;="&amp;D546,'PO detail'!$G$2:$G$672,"&lt;"&amp;A546)</x:f>
        <x:v>0</x:v>
      </x:c>
      <x:c r="J546" s="8" t="n">
        <x:f>SUMIFS('PO detail'!$W$2:$W$672,'PO detail'!$A$2:$A$672,B546,'PO detail'!$B$2:$B$672,C546,'PO detail'!$G$2:$G$672,"&gt;="&amp;D546,'PO detail'!$G$2:$G$672,"&lt;"&amp;A546)</x:f>
        <x:v>0</x:v>
      </x:c>
      <x:c r="K546" s="8" t="n">
        <x:f>'Current inventory'!E42*Summary!$D$6*(A546-D546)/30.4375</x:f>
        <x:v>153.32271047227923</x:v>
      </x:c>
      <x:c r="L546" s="8" t="n">
        <x:f>MAX(0,E546+H546-K546)</x:f>
        <x:v>0</x:v>
      </x:c>
      <x:c r="M546" s="8" t="n">
        <x:f>MAX(0,F546+I546-MAX(0,K546-E546-H546))</x:f>
        <x:v>0</x:v>
      </x:c>
      <x:c r="N546" s="8" t="n">
        <x:f>MAX(0,G546+J546-K546)</x:f>
        <x:v>0</x:v>
      </x:c>
      <x:c r="O546" s="8" t="n">
        <x:f>SUM(L546:N546)</x:f>
        <x:v>0</x:v>
      </x:c>
      <x:c r="P546" s="14" t="n">
        <x:f>'Current inventory'!V42</x:f>
        <x:v>0.1996</x:v>
      </x:c>
      <x:c r="Q546" s="14" t="str">
        <x:f>'Current inventory'!W42</x:f>
        <x:v>n.a.</x:v>
      </x:c>
      <x:c r="R546" s="10" t="n">
        <x:f>L546*P546</x:f>
        <x:v>0</x:v>
      </x:c>
      <x:c r="S546" s="10" t="n">
        <x:f>M546*P546</x:f>
        <x:v>0</x:v>
      </x:c>
      <x:c r="T546" s="10" t="n">
        <x:f>N546*P546</x:f>
        <x:v>0</x:v>
      </x:c>
      <x:c r="U546" s="10" t="n">
        <x:f>O546*P546</x:f>
        <x:v>0</x:v>
      </x:c>
      <x:c r="V546" s="10" t="str">
        <x:f>IF(ISNUMBER(Q546),O546*(Q546-P546),"n.a.")</x:f>
        <x:v>n.a.</x:v>
      </x:c>
      <x:c r="W546" s="10" t="n">
        <x:f>IF(ISNUMBER(Q546),U546,0)</x:f>
        <x:v>0</x:v>
      </x:c>
      <x:c r="X546" s="8" t="n">
        <x:f>MAX(0,K546-SUM(E546:J546))</x:f>
        <x:v>83.04098562628323</x:v>
      </x:c>
      <x:c r="Y546" s="1" t="str">
        <x:f>IF(AND(O546&gt;0,NOT(ISNUMBER(Q546))),"No proposed replacement standard",IF(X546&gt;0,"Demand exceeds available stock",""))</x:f>
        <x:v>Demand exceeds available stock</x:v>
      </x:c>
      <x:c r="Z546" s="1" t="n">
        <x:f>IF(ISNUMBER(Q546),1,0)</x:f>
        <x:v>0</x:v>
      </x:c>
    </x:row>
    <x:row r="547" ht="21" customHeight="1">
      <x:c r="A547" s="17" t="n">
        <x:f>Summary!B19</x:f>
        <x:v>46447</x:v>
      </x:c>
      <x:c r="B547" s="1" t="str">
        <x:f>'Current inventory'!A43</x:f>
        <x:v>10</x:v>
      </x:c>
      <x:c r="C547" s="1" t="str">
        <x:f>'Current inventory'!B43</x:f>
        <x:v>800BMARCSC</x:v>
      </x:c>
      <x:c r="D547" s="7" t="n">
        <x:f>A421</x:f>
        <x:v>46419</x:v>
      </x:c>
      <x:c r="E547" s="8" t="n">
        <x:f>L421</x:f>
        <x:v>0</x:v>
      </x:c>
      <x:c r="F547" s="8" t="n">
        <x:f>M421</x:f>
        <x:v>0</x:v>
      </x:c>
      <x:c r="G547" s="8" t="n">
        <x:f>N421</x:f>
        <x:v>927.7207392197124</x:v>
      </x:c>
      <x:c r="H547" s="8" t="n">
        <x:f>SUMIFS('PO detail'!$U$2:$U$672,'PO detail'!$A$2:$A$672,B547,'PO detail'!$B$2:$B$672,C547,'PO detail'!$G$2:$G$672,"&gt;="&amp;D547,'PO detail'!$G$2:$G$672,"&lt;"&amp;A547)</x:f>
        <x:v>0</x:v>
      </x:c>
      <x:c r="I547" s="8" t="n">
        <x:f>SUMIFS('PO detail'!$V$2:$V$672,'PO detail'!$A$2:$A$672,B547,'PO detail'!$B$2:$B$672,C547,'PO detail'!$G$2:$G$672,"&gt;="&amp;D547,'PO detail'!$G$2:$G$672,"&lt;"&amp;A547)</x:f>
        <x:v>0</x:v>
      </x:c>
      <x:c r="J547" s="8" t="n">
        <x:f>SUMIFS('PO detail'!$W$2:$W$672,'PO detail'!$A$2:$A$672,B547,'PO detail'!$B$2:$B$672,C547,'PO detail'!$G$2:$G$672,"&gt;="&amp;D547,'PO detail'!$G$2:$G$672,"&lt;"&amp;A547)</x:f>
        <x:v>0</x:v>
      </x:c>
      <x:c r="K547" s="8" t="n">
        <x:f>'Current inventory'!E43*Summary!$D$6*(A547-D547)/30.4375</x:f>
        <x:v>114.98973305954826</x:v>
      </x:c>
      <x:c r="L547" s="8" t="n">
        <x:f>MAX(0,E547+H547-K547)</x:f>
        <x:v>0</x:v>
      </x:c>
      <x:c r="M547" s="8" t="n">
        <x:f>MAX(0,F547+I547-MAX(0,K547-E547-H547))</x:f>
        <x:v>0</x:v>
      </x:c>
      <x:c r="N547" s="8" t="n">
        <x:f>MAX(0,G547+J547-K547)</x:f>
        <x:v>812.7310061601642</x:v>
      </x:c>
      <x:c r="O547" s="8" t="n">
        <x:f>SUM(L547:N547)</x:f>
        <x:v>812.7310061601642</x:v>
      </x:c>
      <x:c r="P547" s="14" t="n">
        <x:f>'Current inventory'!V43</x:f>
        <x:v>0.23329999999999998</x:v>
      </x:c>
      <x:c r="Q547" s="14" t="str">
        <x:f>'Current inventory'!W43</x:f>
        <x:v>n.a.</x:v>
      </x:c>
      <x:c r="R547" s="10" t="n">
        <x:f>L547*P547</x:f>
        <x:v>0</x:v>
      </x:c>
      <x:c r="S547" s="10" t="n">
        <x:f>M547*P547</x:f>
        <x:v>0</x:v>
      </x:c>
      <x:c r="T547" s="10" t="n">
        <x:f>N547*P547</x:f>
        <x:v>189.61014373716628</x:v>
      </x:c>
      <x:c r="U547" s="10" t="n">
        <x:f>O547*P547</x:f>
        <x:v>189.61014373716628</x:v>
      </x:c>
      <x:c r="V547" s="10" t="str">
        <x:f>IF(ISNUMBER(Q547),O547*(Q547-P547),"n.a.")</x:f>
        <x:v>n.a.</x:v>
      </x:c>
      <x:c r="W547" s="10" t="n">
        <x:f>IF(ISNUMBER(Q547),U547,0)</x:f>
        <x:v>0</x:v>
      </x:c>
      <x:c r="X547" s="8" t="n">
        <x:f>MAX(0,K547-SUM(E547:J547))</x:f>
        <x:v>0</x:v>
      </x:c>
      <x:c r="Y547" s="1" t="str">
        <x:f>IF(AND(O547&gt;0,NOT(ISNUMBER(Q547))),"No proposed replacement standard",IF(X547&gt;0,"Demand exceeds available stock",""))</x:f>
        <x:v>No proposed replacement standard</x:v>
      </x:c>
      <x:c r="Z547" s="1" t="n">
        <x:f>IF(ISNUMBER(Q547),1,0)</x:f>
        <x:v>0</x:v>
      </x:c>
    </x:row>
    <x:row r="548" ht="21" customHeight="1">
      <x:c r="A548" s="17" t="n">
        <x:f>Summary!B19</x:f>
        <x:v>46447</x:v>
      </x:c>
      <x:c r="B548" s="1" t="str">
        <x:f>'Current inventory'!A44</x:f>
        <x:v>30</x:v>
      </x:c>
      <x:c r="C548" s="1" t="str">
        <x:f>'Current inventory'!B44</x:f>
        <x:v>800BMARISC</x:v>
      </x:c>
      <x:c r="D548" s="7" t="n">
        <x:f>A422</x:f>
        <x:v>46419</x:v>
      </x:c>
      <x:c r="E548" s="8" t="n">
        <x:f>L422</x:f>
        <x:v>0</x:v>
      </x:c>
      <x:c r="F548" s="8" t="n">
        <x:f>M422</x:f>
        <x:v>0</x:v>
      </x:c>
      <x:c r="G548" s="8" t="n">
        <x:f>N422</x:f>
        <x:v>1890.7039014373718</x:v>
      </x:c>
      <x:c r="H548" s="8" t="n">
        <x:f>SUMIFS('PO detail'!$U$2:$U$672,'PO detail'!$A$2:$A$672,B548,'PO detail'!$B$2:$B$672,C548,'PO detail'!$G$2:$G$672,"&gt;="&amp;D548,'PO detail'!$G$2:$G$672,"&lt;"&amp;A548)</x:f>
        <x:v>0</x:v>
      </x:c>
      <x:c r="I548" s="8" t="n">
        <x:f>SUMIFS('PO detail'!$V$2:$V$672,'PO detail'!$A$2:$A$672,B548,'PO detail'!$B$2:$B$672,C548,'PO detail'!$G$2:$G$672,"&gt;="&amp;D548,'PO detail'!$G$2:$G$672,"&lt;"&amp;A548)</x:f>
        <x:v>0</x:v>
      </x:c>
      <x:c r="J548" s="8" t="n">
        <x:f>SUMIFS('PO detail'!$W$2:$W$672,'PO detail'!$A$2:$A$672,B548,'PO detail'!$B$2:$B$672,C548,'PO detail'!$G$2:$G$672,"&gt;="&amp;D548,'PO detail'!$G$2:$G$672,"&lt;"&amp;A548)</x:f>
        <x:v>0</x:v>
      </x:c>
      <x:c r="K548" s="8" t="n">
        <x:f>'Current inventory'!E44*Summary!$D$6*(A548-D548)/30.4375</x:f>
        <x:v>99.65470225872689</x:v>
      </x:c>
      <x:c r="L548" s="8" t="n">
        <x:f>MAX(0,E548+H548-K548)</x:f>
        <x:v>0</x:v>
      </x:c>
      <x:c r="M548" s="8" t="n">
        <x:f>MAX(0,F548+I548-MAX(0,K548-E548-H548))</x:f>
        <x:v>0</x:v>
      </x:c>
      <x:c r="N548" s="8" t="n">
        <x:f>MAX(0,G548+J548-K548)</x:f>
        <x:v>1791.0491991786448</x:v>
      </x:c>
      <x:c r="O548" s="8" t="n">
        <x:f>SUM(L548:N548)</x:f>
        <x:v>1791.0491991786448</x:v>
      </x:c>
      <x:c r="P548" s="14" t="n">
        <x:f>'Current inventory'!V44</x:f>
        <x:v>0.1946</x:v>
      </x:c>
      <x:c r="Q548" s="14" t="str">
        <x:f>'Current inventory'!W44</x:f>
        <x:v>n.a.</x:v>
      </x:c>
      <x:c r="R548" s="10" t="n">
        <x:f>L548*P548</x:f>
        <x:v>0</x:v>
      </x:c>
      <x:c r="S548" s="10" t="n">
        <x:f>M548*P548</x:f>
        <x:v>0</x:v>
      </x:c>
      <x:c r="T548" s="10" t="n">
        <x:f>N548*P548</x:f>
        <x:v>348.53817416016426</x:v>
      </x:c>
      <x:c r="U548" s="10" t="n">
        <x:f>O548*P548</x:f>
        <x:v>348.53817416016426</x:v>
      </x:c>
      <x:c r="V548" s="10" t="str">
        <x:f>IF(ISNUMBER(Q548),O548*(Q548-P548),"n.a.")</x:f>
        <x:v>n.a.</x:v>
      </x:c>
      <x:c r="W548" s="10" t="n">
        <x:f>IF(ISNUMBER(Q548),U548,0)</x:f>
        <x:v>0</x:v>
      </x:c>
      <x:c r="X548" s="8" t="n">
        <x:f>MAX(0,K548-SUM(E548:J548))</x:f>
        <x:v>0</x:v>
      </x:c>
      <x:c r="Y548" s="1" t="str">
        <x:f>IF(AND(O548&gt;0,NOT(ISNUMBER(Q548))),"No proposed replacement standard",IF(X548&gt;0,"Demand exceeds available stock",""))</x:f>
        <x:v>No proposed replacement standard</x:v>
      </x:c>
      <x:c r="Z548" s="1" t="n">
        <x:f>IF(ISNUMBER(Q548),1,0)</x:f>
        <x:v>0</x:v>
      </x:c>
    </x:row>
    <x:row r="549" ht="21" customHeight="1">
      <x:c r="A549" s="17" t="n">
        <x:f>Summary!B19</x:f>
        <x:v>46447</x:v>
      </x:c>
      <x:c r="B549" s="1" t="str">
        <x:f>'Current inventory'!A45</x:f>
        <x:v>30</x:v>
      </x:c>
      <x:c r="C549" s="1" t="str">
        <x:f>'Current inventory'!B45</x:f>
        <x:v>800BNAVDSC</x:v>
      </x:c>
      <x:c r="D549" s="7" t="n">
        <x:f>A423</x:f>
        <x:v>46419</x:v>
      </x:c>
      <x:c r="E549" s="8" t="n">
        <x:f>L423</x:f>
        <x:v>0</x:v>
      </x:c>
      <x:c r="F549" s="8" t="n">
        <x:f>M423</x:f>
        <x:v>0</x:v>
      </x:c>
      <x:c r="G549" s="8" t="n">
        <x:f>N423</x:f>
        <x:v>790.7039014373718</x:v>
      </x:c>
      <x:c r="H549" s="8" t="n">
        <x:f>SUMIFS('PO detail'!$U$2:$U$672,'PO detail'!$A$2:$A$672,B549,'PO detail'!$B$2:$B$672,C549,'PO detail'!$G$2:$G$672,"&gt;="&amp;D549,'PO detail'!$G$2:$G$672,"&lt;"&amp;A549)</x:f>
        <x:v>0</x:v>
      </x:c>
      <x:c r="I549" s="8" t="n">
        <x:f>SUMIFS('PO detail'!$V$2:$V$672,'PO detail'!$A$2:$A$672,B549,'PO detail'!$B$2:$B$672,C549,'PO detail'!$G$2:$G$672,"&gt;="&amp;D549,'PO detail'!$G$2:$G$672,"&lt;"&amp;A549)</x:f>
        <x:v>0</x:v>
      </x:c>
      <x:c r="J549" s="8" t="n">
        <x:f>SUMIFS('PO detail'!$W$2:$W$672,'PO detail'!$A$2:$A$672,B549,'PO detail'!$B$2:$B$672,C549,'PO detail'!$G$2:$G$672,"&gt;="&amp;D549,'PO detail'!$G$2:$G$672,"&lt;"&amp;A549)</x:f>
        <x:v>0</x:v>
      </x:c>
      <x:c r="K549" s="8" t="n">
        <x:f>'Current inventory'!E45*Summary!$D$6*(A549-D549)/30.4375</x:f>
        <x:v>99.65470225872689</x:v>
      </x:c>
      <x:c r="L549" s="8" t="n">
        <x:f>MAX(0,E549+H549-K549)</x:f>
        <x:v>0</x:v>
      </x:c>
      <x:c r="M549" s="8" t="n">
        <x:f>MAX(0,F549+I549-MAX(0,K549-E549-H549))</x:f>
        <x:v>0</x:v>
      </x:c>
      <x:c r="N549" s="8" t="n">
        <x:f>MAX(0,G549+J549-K549)</x:f>
        <x:v>691.0491991786449</x:v>
      </x:c>
      <x:c r="O549" s="8" t="n">
        <x:f>SUM(L549:N549)</x:f>
        <x:v>691.0491991786449</x:v>
      </x:c>
      <x:c r="P549" s="14" t="n">
        <x:f>'Current inventory'!V45</x:f>
        <x:v>0.34509999999999996</x:v>
      </x:c>
      <x:c r="Q549" s="14" t="str">
        <x:f>'Current inventory'!W45</x:f>
        <x:v>n.a.</x:v>
      </x:c>
      <x:c r="R549" s="10" t="n">
        <x:f>L549*P549</x:f>
        <x:v>0</x:v>
      </x:c>
      <x:c r="S549" s="10" t="n">
        <x:f>M549*P549</x:f>
        <x:v>0</x:v>
      </x:c>
      <x:c r="T549" s="10" t="n">
        <x:f>N549*P549</x:f>
        <x:v>238.48107863655034</x:v>
      </x:c>
      <x:c r="U549" s="10" t="n">
        <x:f>O549*P549</x:f>
        <x:v>238.48107863655034</x:v>
      </x:c>
      <x:c r="V549" s="10" t="str">
        <x:f>IF(ISNUMBER(Q549),O549*(Q549-P549),"n.a.")</x:f>
        <x:v>n.a.</x:v>
      </x:c>
      <x:c r="W549" s="10" t="n">
        <x:f>IF(ISNUMBER(Q549),U549,0)</x:f>
        <x:v>0</x:v>
      </x:c>
      <x:c r="X549" s="8" t="n">
        <x:f>MAX(0,K549-SUM(E549:J549))</x:f>
        <x:v>0</x:v>
      </x:c>
      <x:c r="Y549" s="1" t="str">
        <x:f>IF(AND(O549&gt;0,NOT(ISNUMBER(Q549))),"No proposed replacement standard",IF(X549&gt;0,"Demand exceeds available stock",""))</x:f>
        <x:v>No proposed replacement standard</x:v>
      </x:c>
      <x:c r="Z549" s="1" t="n">
        <x:f>IF(ISNUMBER(Q549),1,0)</x:f>
        <x:v>0</x:v>
      </x:c>
    </x:row>
    <x:row r="550" ht="21" customHeight="1">
      <x:c r="A550" s="17" t="n">
        <x:f>Summary!B19</x:f>
        <x:v>46447</x:v>
      </x:c>
      <x:c r="B550" s="1" t="str">
        <x:f>'Current inventory'!A46</x:f>
        <x:v>60</x:v>
      </x:c>
      <x:c r="C550" s="1" t="str">
        <x:f>'Current inventory'!B46</x:f>
        <x:v>800BMARBRC</x:v>
      </x:c>
      <x:c r="D550" s="7" t="n">
        <x:f>A424</x:f>
        <x:v>46419</x:v>
      </x:c>
      <x:c r="E550" s="8" t="n">
        <x:f>L424</x:f>
        <x:v>0</x:v>
      </x:c>
      <x:c r="F550" s="8" t="n">
        <x:f>M424</x:f>
        <x:v>0</x:v>
      </x:c>
      <x:c r="G550" s="8" t="n">
        <x:f>N424</x:f>
        <x:v>990.7039014373718</x:v>
      </x:c>
      <x:c r="H550" s="8" t="n">
        <x:f>SUMIFS('PO detail'!$U$2:$U$672,'PO detail'!$A$2:$A$672,B550,'PO detail'!$B$2:$B$672,C550,'PO detail'!$G$2:$G$672,"&gt;="&amp;D550,'PO detail'!$G$2:$G$672,"&lt;"&amp;A550)</x:f>
        <x:v>0</x:v>
      </x:c>
      <x:c r="I550" s="8" t="n">
        <x:f>SUMIFS('PO detail'!$V$2:$V$672,'PO detail'!$A$2:$A$672,B550,'PO detail'!$B$2:$B$672,C550,'PO detail'!$G$2:$G$672,"&gt;="&amp;D550,'PO detail'!$G$2:$G$672,"&lt;"&amp;A550)</x:f>
        <x:v>0</x:v>
      </x:c>
      <x:c r="J550" s="8" t="n">
        <x:f>SUMIFS('PO detail'!$W$2:$W$672,'PO detail'!$A$2:$A$672,B550,'PO detail'!$B$2:$B$672,C550,'PO detail'!$G$2:$G$672,"&gt;="&amp;D550,'PO detail'!$G$2:$G$672,"&lt;"&amp;A550)</x:f>
        <x:v>0</x:v>
      </x:c>
      <x:c r="K550" s="8" t="n">
        <x:f>'Current inventory'!E46*Summary!$D$6*(A550-D550)/30.4375</x:f>
        <x:v>99.65470225872689</x:v>
      </x:c>
      <x:c r="L550" s="8" t="n">
        <x:f>MAX(0,E550+H550-K550)</x:f>
        <x:v>0</x:v>
      </x:c>
      <x:c r="M550" s="8" t="n">
        <x:f>MAX(0,F550+I550-MAX(0,K550-E550-H550))</x:f>
        <x:v>0</x:v>
      </x:c>
      <x:c r="N550" s="8" t="n">
        <x:f>MAX(0,G550+J550-K550)</x:f>
        <x:v>891.0491991786449</x:v>
      </x:c>
      <x:c r="O550" s="8" t="n">
        <x:f>SUM(L550:N550)</x:f>
        <x:v>891.0491991786449</x:v>
      </x:c>
      <x:c r="P550" s="14" t="n">
        <x:f>'Current inventory'!V46</x:f>
        <x:v>0.1996</x:v>
      </x:c>
      <x:c r="Q550" s="14" t="str">
        <x:f>'Current inventory'!W46</x:f>
        <x:v>n.a.</x:v>
      </x:c>
      <x:c r="R550" s="10" t="n">
        <x:f>L550*P550</x:f>
        <x:v>0</x:v>
      </x:c>
      <x:c r="S550" s="10" t="n">
        <x:f>M550*P550</x:f>
        <x:v>0</x:v>
      </x:c>
      <x:c r="T550" s="10" t="n">
        <x:f>N550*P550</x:f>
        <x:v>177.85342015605752</x:v>
      </x:c>
      <x:c r="U550" s="10" t="n">
        <x:f>O550*P550</x:f>
        <x:v>177.85342015605752</x:v>
      </x:c>
      <x:c r="V550" s="10" t="str">
        <x:f>IF(ISNUMBER(Q550),O550*(Q550-P550),"n.a.")</x:f>
        <x:v>n.a.</x:v>
      </x:c>
      <x:c r="W550" s="10" t="n">
        <x:f>IF(ISNUMBER(Q550),U550,0)</x:f>
        <x:v>0</x:v>
      </x:c>
      <x:c r="X550" s="8" t="n">
        <x:f>MAX(0,K550-SUM(E550:J550))</x:f>
        <x:v>0</x:v>
      </x:c>
      <x:c r="Y550" s="1" t="str">
        <x:f>IF(AND(O550&gt;0,NOT(ISNUMBER(Q550))),"No proposed replacement standard",IF(X550&gt;0,"Demand exceeds available stock",""))</x:f>
        <x:v>No proposed replacement standard</x:v>
      </x:c>
      <x:c r="Z550" s="1" t="n">
        <x:f>IF(ISNUMBER(Q550),1,0)</x:f>
        <x:v>0</x:v>
      </x:c>
    </x:row>
    <x:row r="551" ht="21" customHeight="1">
      <x:c r="A551" s="17" t="n">
        <x:f>Summary!B19</x:f>
        <x:v>46447</x:v>
      </x:c>
      <x:c r="B551" s="1" t="str">
        <x:f>'Current inventory'!A47</x:f>
        <x:v>60</x:v>
      </x:c>
      <x:c r="C551" s="1" t="str">
        <x:f>'Current inventory'!B47</x:f>
        <x:v>800MARE</x:v>
      </x:c>
      <x:c r="D551" s="7" t="n">
        <x:f>A425</x:f>
        <x:v>46419</x:v>
      </x:c>
      <x:c r="E551" s="8" t="n">
        <x:f>L425</x:f>
        <x:v>2304.17659137577</x:v>
      </x:c>
      <x:c r="F551" s="8" t="n">
        <x:f>M425</x:f>
        <x:v>0</x:v>
      </x:c>
      <x:c r="G551" s="8" t="n">
        <x:f>N425</x:f>
        <x:v>0</x:v>
      </x:c>
      <x:c r="H551" s="8" t="n">
        <x:f>SUMIFS('PO detail'!$U$2:$U$672,'PO detail'!$A$2:$A$672,B551,'PO detail'!$B$2:$B$672,C551,'PO detail'!$G$2:$G$672,"&gt;="&amp;D551,'PO detail'!$G$2:$G$672,"&lt;"&amp;A551)</x:f>
        <x:v>0</x:v>
      </x:c>
      <x:c r="I551" s="8" t="n">
        <x:f>SUMIFS('PO detail'!$V$2:$V$672,'PO detail'!$A$2:$A$672,B551,'PO detail'!$B$2:$B$672,C551,'PO detail'!$G$2:$G$672,"&gt;="&amp;D551,'PO detail'!$G$2:$G$672,"&lt;"&amp;A551)</x:f>
        <x:v>0</x:v>
      </x:c>
      <x:c r="J551" s="8" t="n">
        <x:f>SUMIFS('PO detail'!$W$2:$W$672,'PO detail'!$A$2:$A$672,B551,'PO detail'!$B$2:$B$672,C551,'PO detail'!$G$2:$G$672,"&gt;="&amp;D551,'PO detail'!$G$2:$G$672,"&lt;"&amp;A551)</x:f>
        <x:v>0</x:v>
      </x:c>
      <x:c r="K551" s="8" t="n">
        <x:f>'Current inventory'!E47*Summary!$D$6*(A551-D551)/30.4375</x:f>
        <x:v>91.9917864476386</x:v>
      </x:c>
      <x:c r="L551" s="8" t="n">
        <x:f>MAX(0,E551+H551-K551)</x:f>
        <x:v>2212.184804928131</x:v>
      </x:c>
      <x:c r="M551" s="8" t="n">
        <x:f>MAX(0,F551+I551-MAX(0,K551-E551-H551))</x:f>
        <x:v>0</x:v>
      </x:c>
      <x:c r="N551" s="8" t="n">
        <x:f>MAX(0,G551+J551-K551)</x:f>
        <x:v>0</x:v>
      </x:c>
      <x:c r="O551" s="8" t="n">
        <x:f>SUM(L551:N551)</x:f>
        <x:v>2212.184804928131</x:v>
      </x:c>
      <x:c r="P551" s="14" t="n">
        <x:f>'Current inventory'!V47</x:f>
        <x:v>1.29129</x:v>
      </x:c>
      <x:c r="Q551" s="14" t="n">
        <x:f>'Current inventory'!W47</x:f>
        <x:v>1.349355</x:v>
      </x:c>
      <x:c r="R551" s="10" t="n">
        <x:f>L551*P551</x:f>
        <x:v>2856.5721167556467</x:v>
      </x:c>
      <x:c r="S551" s="10" t="n">
        <x:f>M551*P551</x:f>
        <x:v>0</x:v>
      </x:c>
      <x:c r="T551" s="10" t="n">
        <x:f>N551*P551</x:f>
        <x:v>0</x:v>
      </x:c>
      <x:c r="U551" s="10" t="n">
        <x:f>O551*P551</x:f>
        <x:v>2856.5721167556467</x:v>
      </x:c>
      <x:c r="V551" s="10" t="n">
        <x:f>IF(ISNUMBER(Q551),O551*(Q551-P551),"n.a.")</x:f>
        <x:v>128.45051069815202</x:v>
      </x:c>
      <x:c r="W551" s="10" t="n">
        <x:f>IF(ISNUMBER(Q551),U551,0)</x:f>
        <x:v>2856.5721167556467</x:v>
      </x:c>
      <x:c r="X551" s="8" t="n">
        <x:f>MAX(0,K551-SUM(E551:J551))</x:f>
        <x:v>0</x:v>
      </x:c>
      <x:c r="Y551" s="1" t="str">
        <x:f>IF(AND(O551&gt;0,NOT(ISNUMBER(Q551))),"No proposed replacement standard",IF(X551&gt;0,"Demand exceeds available stock",""))</x:f>
      </x:c>
      <x:c r="Z551" s="1" t="n">
        <x:f>IF(ISNUMBER(Q551),1,0)</x:f>
        <x:v>1</x:v>
      </x:c>
    </x:row>
    <x:row r="552" ht="21" customHeight="1">
      <x:c r="A552" s="17" t="n">
        <x:f>Summary!B19</x:f>
        <x:v>46447</x:v>
      </x:c>
      <x:c r="B552" s="1" t="str">
        <x:f>'Current inventory'!A48</x:f>
        <x:v>60</x:v>
      </x:c>
      <x:c r="C552" s="1" t="str">
        <x:f>'Current inventory'!B48</x:f>
        <x:v>800BMARISC</x:v>
      </x:c>
      <x:c r="D552" s="7" t="n">
        <x:f>A426</x:f>
        <x:v>46419</x:v>
      </x:c>
      <x:c r="E552" s="8" t="n">
        <x:f>L426</x:f>
        <x:v>0</x:v>
      </x:c>
      <x:c r="F552" s="8" t="n">
        <x:f>M426</x:f>
        <x:v>0</x:v>
      </x:c>
      <x:c r="G552" s="8" t="n">
        <x:f>N426</x:f>
        <x:v>579.6156057494868</x:v>
      </x:c>
      <x:c r="H552" s="8" t="n">
        <x:f>SUMIFS('PO detail'!$U$2:$U$672,'PO detail'!$A$2:$A$672,B552,'PO detail'!$B$2:$B$672,C552,'PO detail'!$G$2:$G$672,"&gt;="&amp;D552,'PO detail'!$G$2:$G$672,"&lt;"&amp;A552)</x:f>
        <x:v>0</x:v>
      </x:c>
      <x:c r="I552" s="8" t="n">
        <x:f>SUMIFS('PO detail'!$V$2:$V$672,'PO detail'!$A$2:$A$672,B552,'PO detail'!$B$2:$B$672,C552,'PO detail'!$G$2:$G$672,"&gt;="&amp;D552,'PO detail'!$G$2:$G$672,"&lt;"&amp;A552)</x:f>
        <x:v>0</x:v>
      </x:c>
      <x:c r="J552" s="8" t="n">
        <x:f>SUMIFS('PO detail'!$W$2:$W$672,'PO detail'!$A$2:$A$672,B552,'PO detail'!$B$2:$B$672,C552,'PO detail'!$G$2:$G$672,"&gt;="&amp;D552,'PO detail'!$G$2:$G$672,"&lt;"&amp;A552)</x:f>
        <x:v>0</x:v>
      </x:c>
      <x:c r="K552" s="8" t="n">
        <x:f>'Current inventory'!E48*Summary!$D$6*(A552-D552)/30.4375</x:f>
        <x:v>53.6588090349076</x:v>
      </x:c>
      <x:c r="L552" s="8" t="n">
        <x:f>MAX(0,E552+H552-K552)</x:f>
        <x:v>0</x:v>
      </x:c>
      <x:c r="M552" s="8" t="n">
        <x:f>MAX(0,F552+I552-MAX(0,K552-E552-H552))</x:f>
        <x:v>0</x:v>
      </x:c>
      <x:c r="N552" s="8" t="n">
        <x:f>MAX(0,G552+J552-K552)</x:f>
        <x:v>525.9567967145792</x:v>
      </x:c>
      <x:c r="O552" s="8" t="n">
        <x:f>SUM(L552:N552)</x:f>
        <x:v>525.9567967145792</x:v>
      </x:c>
      <x:c r="P552" s="14" t="n">
        <x:f>'Current inventory'!V48</x:f>
        <x:v>0.1946</x:v>
      </x:c>
      <x:c r="Q552" s="14" t="str">
        <x:f>'Current inventory'!W48</x:f>
        <x:v>n.a.</x:v>
      </x:c>
      <x:c r="R552" s="10" t="n">
        <x:f>L552*P552</x:f>
        <x:v>0</x:v>
      </x:c>
      <x:c r="S552" s="10" t="n">
        <x:f>M552*P552</x:f>
        <x:v>0</x:v>
      </x:c>
      <x:c r="T552" s="10" t="n">
        <x:f>N552*P552</x:f>
        <x:v>102.35119264065712</x:v>
      </x:c>
      <x:c r="U552" s="10" t="n">
        <x:f>O552*P552</x:f>
        <x:v>102.35119264065712</x:v>
      </x:c>
      <x:c r="V552" s="10" t="str">
        <x:f>IF(ISNUMBER(Q552),O552*(Q552-P552),"n.a.")</x:f>
        <x:v>n.a.</x:v>
      </x:c>
      <x:c r="W552" s="10" t="n">
        <x:f>IF(ISNUMBER(Q552),U552,0)</x:f>
        <x:v>0</x:v>
      </x:c>
      <x:c r="X552" s="8" t="n">
        <x:f>MAX(0,K552-SUM(E552:J552))</x:f>
        <x:v>0</x:v>
      </x:c>
      <x:c r="Y552" s="1" t="str">
        <x:f>IF(AND(O552&gt;0,NOT(ISNUMBER(Q552))),"No proposed replacement standard",IF(X552&gt;0,"Demand exceeds available stock",""))</x:f>
        <x:v>No proposed replacement standard</x:v>
      </x:c>
      <x:c r="Z552" s="1" t="n">
        <x:f>IF(ISNUMBER(Q552),1,0)</x:f>
        <x:v>0</x:v>
      </x:c>
    </x:row>
    <x:row r="553" ht="21" customHeight="1">
      <x:c r="A553" s="17" t="n">
        <x:f>Summary!B19</x:f>
        <x:v>46447</x:v>
      </x:c>
      <x:c r="B553" s="1" t="str">
        <x:f>'Current inventory'!A49</x:f>
        <x:v>10</x:v>
      </x:c>
      <x:c r="C553" s="1" t="str">
        <x:f>'Current inventory'!B49</x:f>
        <x:v>800WBLKASC</x:v>
      </x:c>
      <x:c r="D553" s="7" t="n">
        <x:f>A427</x:f>
        <x:v>46419</x:v>
      </x:c>
      <x:c r="E553" s="8" t="n">
        <x:f>L427</x:f>
        <x:v>0</x:v>
      </x:c>
      <x:c r="F553" s="8" t="n">
        <x:f>M427</x:f>
        <x:v>0</x:v>
      </x:c>
      <x:c r="G553" s="8" t="n">
        <x:f>N427</x:f>
        <x:v>1111.088295687885</x:v>
      </x:c>
      <x:c r="H553" s="8" t="n">
        <x:f>SUMIFS('PO detail'!$U$2:$U$672,'PO detail'!$A$2:$A$672,B553,'PO detail'!$B$2:$B$672,C553,'PO detail'!$G$2:$G$672,"&gt;="&amp;D553,'PO detail'!$G$2:$G$672,"&lt;"&amp;A553)</x:f>
        <x:v>0</x:v>
      </x:c>
      <x:c r="I553" s="8" t="n">
        <x:f>SUMIFS('PO detail'!$V$2:$V$672,'PO detail'!$A$2:$A$672,B553,'PO detail'!$B$2:$B$672,C553,'PO detail'!$G$2:$G$672,"&gt;="&amp;D553,'PO detail'!$G$2:$G$672,"&lt;"&amp;A553)</x:f>
        <x:v>0</x:v>
      </x:c>
      <x:c r="J553" s="8" t="n">
        <x:f>SUMIFS('PO detail'!$W$2:$W$672,'PO detail'!$A$2:$A$672,B553,'PO detail'!$B$2:$B$672,C553,'PO detail'!$G$2:$G$672,"&gt;="&amp;D553,'PO detail'!$G$2:$G$672,"&lt;"&amp;A553)</x:f>
        <x:v>0</x:v>
      </x:c>
      <x:c r="K553" s="8" t="n">
        <x:f>'Current inventory'!E49*Summary!$D$6*(A553-D553)/30.4375</x:f>
        <x:v>45.9958932238193</x:v>
      </x:c>
      <x:c r="L553" s="8" t="n">
        <x:f>MAX(0,E553+H553-K553)</x:f>
        <x:v>0</x:v>
      </x:c>
      <x:c r="M553" s="8" t="n">
        <x:f>MAX(0,F553+I553-MAX(0,K553-E553-H553))</x:f>
        <x:v>0</x:v>
      </x:c>
      <x:c r="N553" s="8" t="n">
        <x:f>MAX(0,G553+J553-K553)</x:f>
        <x:v>1065.0924024640656</x:v>
      </x:c>
      <x:c r="O553" s="8" t="n">
        <x:f>SUM(L553:N553)</x:f>
        <x:v>1065.0924024640656</x:v>
      </x:c>
      <x:c r="P553" s="14" t="n">
        <x:f>'Current inventory'!V49</x:f>
        <x:v>0.111</x:v>
      </x:c>
      <x:c r="Q553" s="14" t="str">
        <x:f>'Current inventory'!W49</x:f>
        <x:v>n.a.</x:v>
      </x:c>
      <x:c r="R553" s="10" t="n">
        <x:f>L553*P553</x:f>
        <x:v>0</x:v>
      </x:c>
      <x:c r="S553" s="10" t="n">
        <x:f>M553*P553</x:f>
        <x:v>0</x:v>
      </x:c>
      <x:c r="T553" s="10" t="n">
        <x:f>N553*P553</x:f>
        <x:v>118.22525667351128</x:v>
      </x:c>
      <x:c r="U553" s="10" t="n">
        <x:f>O553*P553</x:f>
        <x:v>118.22525667351128</x:v>
      </x:c>
      <x:c r="V553" s="10" t="str">
        <x:f>IF(ISNUMBER(Q553),O553*(Q553-P553),"n.a.")</x:f>
        <x:v>n.a.</x:v>
      </x:c>
      <x:c r="W553" s="10" t="n">
        <x:f>IF(ISNUMBER(Q553),U553,0)</x:f>
        <x:v>0</x:v>
      </x:c>
      <x:c r="X553" s="8" t="n">
        <x:f>MAX(0,K553-SUM(E553:J553))</x:f>
        <x:v>0</x:v>
      </x:c>
      <x:c r="Y553" s="1" t="str">
        <x:f>IF(AND(O553&gt;0,NOT(ISNUMBER(Q553))),"No proposed replacement standard",IF(X553&gt;0,"Demand exceeds available stock",""))</x:f>
        <x:v>No proposed replacement standard</x:v>
      </x:c>
      <x:c r="Z553" s="1" t="n">
        <x:f>IF(ISNUMBER(Q553),1,0)</x:f>
        <x:v>0</x:v>
      </x:c>
    </x:row>
    <x:row r="554" ht="21" customHeight="1">
      <x:c r="A554" s="17" t="n">
        <x:f>Summary!B19</x:f>
        <x:v>46447</x:v>
      </x:c>
      <x:c r="B554" s="1" t="str">
        <x:f>'Current inventory'!A50</x:f>
        <x:v>30</x:v>
      </x:c>
      <x:c r="C554" s="1" t="str">
        <x:f>'Current inventory'!B50</x:f>
        <x:v>800BMARCSC</x:v>
      </x:c>
      <x:c r="D554" s="7" t="n">
        <x:f>A428</x:f>
        <x:v>46419</x:v>
      </x:c>
      <x:c r="E554" s="8" t="n">
        <x:f>L428</x:f>
        <x:v>0</x:v>
      </x:c>
      <x:c r="F554" s="8" t="n">
        <x:f>M428</x:f>
        <x:v>0</x:v>
      </x:c>
      <x:c r="G554" s="8" t="n">
        <x:f>N428</x:f>
        <x:v>974.0714579055443</x:v>
      </x:c>
      <x:c r="H554" s="8" t="n">
        <x:f>SUMIFS('PO detail'!$U$2:$U$672,'PO detail'!$A$2:$A$672,B554,'PO detail'!$B$2:$B$672,C554,'PO detail'!$G$2:$G$672,"&gt;="&amp;D554,'PO detail'!$G$2:$G$672,"&lt;"&amp;A554)</x:f>
        <x:v>0</x:v>
      </x:c>
      <x:c r="I554" s="8" t="n">
        <x:f>SUMIFS('PO detail'!$V$2:$V$672,'PO detail'!$A$2:$A$672,B554,'PO detail'!$B$2:$B$672,C554,'PO detail'!$G$2:$G$672,"&gt;="&amp;D554,'PO detail'!$G$2:$G$672,"&lt;"&amp;A554)</x:f>
        <x:v>0</x:v>
      </x:c>
      <x:c r="J554" s="8" t="n">
        <x:f>SUMIFS('PO detail'!$W$2:$W$672,'PO detail'!$A$2:$A$672,B554,'PO detail'!$B$2:$B$672,C554,'PO detail'!$G$2:$G$672,"&gt;="&amp;D554,'PO detail'!$G$2:$G$672,"&lt;"&amp;A554)</x:f>
        <x:v>0</x:v>
      </x:c>
      <x:c r="K554" s="8" t="n">
        <x:f>'Current inventory'!E50*Summary!$D$6*(A554-D554)/30.4375</x:f>
        <x:v>30.660862422997948</x:v>
      </x:c>
      <x:c r="L554" s="8" t="n">
        <x:f>MAX(0,E554+H554-K554)</x:f>
        <x:v>0</x:v>
      </x:c>
      <x:c r="M554" s="8" t="n">
        <x:f>MAX(0,F554+I554-MAX(0,K554-E554-H554))</x:f>
        <x:v>0</x:v>
      </x:c>
      <x:c r="N554" s="8" t="n">
        <x:f>MAX(0,G554+J554-K554)</x:f>
        <x:v>943.4105954825463</x:v>
      </x:c>
      <x:c r="O554" s="8" t="n">
        <x:f>SUM(L554:N554)</x:f>
        <x:v>943.4105954825463</x:v>
      </x:c>
      <x:c r="P554" s="14" t="n">
        <x:f>'Current inventory'!V50</x:f>
        <x:v>0.23329999999999998</x:v>
      </x:c>
      <x:c r="Q554" s="14" t="str">
        <x:f>'Current inventory'!W50</x:f>
        <x:v>n.a.</x:v>
      </x:c>
      <x:c r="R554" s="10" t="n">
        <x:f>L554*P554</x:f>
        <x:v>0</x:v>
      </x:c>
      <x:c r="S554" s="10" t="n">
        <x:f>M554*P554</x:f>
        <x:v>0</x:v>
      </x:c>
      <x:c r="T554" s="10" t="n">
        <x:f>N554*P554</x:f>
        <x:v>220.09769192607806</x:v>
      </x:c>
      <x:c r="U554" s="10" t="n">
        <x:f>O554*P554</x:f>
        <x:v>220.09769192607806</x:v>
      </x:c>
      <x:c r="V554" s="10" t="str">
        <x:f>IF(ISNUMBER(Q554),O554*(Q554-P554),"n.a.")</x:f>
        <x:v>n.a.</x:v>
      </x:c>
      <x:c r="W554" s="10" t="n">
        <x:f>IF(ISNUMBER(Q554),U554,0)</x:f>
        <x:v>0</x:v>
      </x:c>
      <x:c r="X554" s="8" t="n">
        <x:f>MAX(0,K554-SUM(E554:J554))</x:f>
        <x:v>0</x:v>
      </x:c>
      <x:c r="Y554" s="1" t="str">
        <x:f>IF(AND(O554&gt;0,NOT(ISNUMBER(Q554))),"No proposed replacement standard",IF(X554&gt;0,"Demand exceeds available stock",""))</x:f>
        <x:v>No proposed replacement standard</x:v>
      </x:c>
      <x:c r="Z554" s="1" t="n">
        <x:f>IF(ISNUMBER(Q554),1,0)</x:f>
        <x:v>0</x:v>
      </x:c>
    </x:row>
    <x:row r="555" ht="21" customHeight="1">
      <x:c r="A555" s="17" t="n">
        <x:f>Summary!B19</x:f>
        <x:v>46447</x:v>
      </x:c>
      <x:c r="B555" s="1" t="str">
        <x:f>'Current inventory'!A51</x:f>
        <x:v>60</x:v>
      </x:c>
      <x:c r="C555" s="1" t="str">
        <x:f>'Current inventory'!B51</x:f>
        <x:v>800WBLKASC</x:v>
      </x:c>
      <x:c r="D555" s="7" t="n">
        <x:f>A429</x:f>
        <x:v>46419</x:v>
      </x:c>
      <x:c r="E555" s="8" t="n">
        <x:f>L429</x:f>
        <x:v>0</x:v>
      </x:c>
      <x:c r="F555" s="8" t="n">
        <x:f>M429</x:f>
        <x:v>0</x:v>
      </x:c>
      <x:c r="G555" s="8" t="n">
        <x:f>N429</x:f>
        <x:v>1374.0714579055443</x:v>
      </x:c>
      <x:c r="H555" s="8" t="n">
        <x:f>SUMIFS('PO detail'!$U$2:$U$672,'PO detail'!$A$2:$A$672,B555,'PO detail'!$B$2:$B$672,C555,'PO detail'!$G$2:$G$672,"&gt;="&amp;D555,'PO detail'!$G$2:$G$672,"&lt;"&amp;A555)</x:f>
        <x:v>0</x:v>
      </x:c>
      <x:c r="I555" s="8" t="n">
        <x:f>SUMIFS('PO detail'!$V$2:$V$672,'PO detail'!$A$2:$A$672,B555,'PO detail'!$B$2:$B$672,C555,'PO detail'!$G$2:$G$672,"&gt;="&amp;D555,'PO detail'!$G$2:$G$672,"&lt;"&amp;A555)</x:f>
        <x:v>0</x:v>
      </x:c>
      <x:c r="J555" s="8" t="n">
        <x:f>SUMIFS('PO detail'!$W$2:$W$672,'PO detail'!$A$2:$A$672,B555,'PO detail'!$B$2:$B$672,C555,'PO detail'!$G$2:$G$672,"&gt;="&amp;D555,'PO detail'!$G$2:$G$672,"&lt;"&amp;A555)</x:f>
        <x:v>0</x:v>
      </x:c>
      <x:c r="K555" s="8" t="n">
        <x:f>'Current inventory'!E51*Summary!$D$6*(A555-D555)/30.4375</x:f>
        <x:v>30.660862422997948</x:v>
      </x:c>
      <x:c r="L555" s="8" t="n">
        <x:f>MAX(0,E555+H555-K555)</x:f>
        <x:v>0</x:v>
      </x:c>
      <x:c r="M555" s="8" t="n">
        <x:f>MAX(0,F555+I555-MAX(0,K555-E555-H555))</x:f>
        <x:v>0</x:v>
      </x:c>
      <x:c r="N555" s="8" t="n">
        <x:f>MAX(0,G555+J555-K555)</x:f>
        <x:v>1343.4105954825463</x:v>
      </x:c>
      <x:c r="O555" s="8" t="n">
        <x:f>SUM(L555:N555)</x:f>
        <x:v>1343.4105954825463</x:v>
      </x:c>
      <x:c r="P555" s="14" t="n">
        <x:f>'Current inventory'!V51</x:f>
        <x:v>0.111</x:v>
      </x:c>
      <x:c r="Q555" s="14" t="str">
        <x:f>'Current inventory'!W51</x:f>
        <x:v>n.a.</x:v>
      </x:c>
      <x:c r="R555" s="10" t="n">
        <x:f>L555*P555</x:f>
        <x:v>0</x:v>
      </x:c>
      <x:c r="S555" s="10" t="n">
        <x:f>M555*P555</x:f>
        <x:v>0</x:v>
      </x:c>
      <x:c r="T555" s="10" t="n">
        <x:f>N555*P555</x:f>
        <x:v>149.11857609856264</x:v>
      </x:c>
      <x:c r="U555" s="10" t="n">
        <x:f>O555*P555</x:f>
        <x:v>149.11857609856264</x:v>
      </x:c>
      <x:c r="V555" s="10" t="str">
        <x:f>IF(ISNUMBER(Q555),O555*(Q555-P555),"n.a.")</x:f>
        <x:v>n.a.</x:v>
      </x:c>
      <x:c r="W555" s="10" t="n">
        <x:f>IF(ISNUMBER(Q555),U555,0)</x:f>
        <x:v>0</x:v>
      </x:c>
      <x:c r="X555" s="8" t="n">
        <x:f>MAX(0,K555-SUM(E555:J555))</x:f>
        <x:v>0</x:v>
      </x:c>
      <x:c r="Y555" s="1" t="str">
        <x:f>IF(AND(O555&gt;0,NOT(ISNUMBER(Q555))),"No proposed replacement standard",IF(X555&gt;0,"Demand exceeds available stock",""))</x:f>
        <x:v>No proposed replacement standard</x:v>
      </x:c>
      <x:c r="Z555" s="1" t="n">
        <x:f>IF(ISNUMBER(Q555),1,0)</x:f>
        <x:v>0</x:v>
      </x:c>
    </x:row>
    <x:row r="556" ht="21" customHeight="1">
      <x:c r="A556" s="17" t="n">
        <x:f>Summary!B19</x:f>
        <x:v>46447</x:v>
      </x:c>
      <x:c r="B556" s="1" t="str">
        <x:f>'Current inventory'!A52</x:f>
        <x:v>10</x:v>
      </x:c>
      <x:c r="C556" s="1" t="str">
        <x:f>'Current inventory'!B52</x:f>
        <x:v>800WMARASC</x:v>
      </x:c>
      <x:c r="D556" s="7" t="n">
        <x:f>A430</x:f>
        <x:v>46419</x:v>
      </x:c>
      <x:c r="E556" s="8" t="n">
        <x:f>L430</x:f>
        <x:v>0</x:v>
      </x:c>
      <x:c r="F556" s="8" t="n">
        <x:f>M430</x:f>
        <x:v>0</x:v>
      </x:c>
      <x:c r="G556" s="8" t="n">
        <x:f>N430</x:f>
        <x:v>237.01683778234087</x:v>
      </x:c>
      <x:c r="H556" s="8" t="n">
        <x:f>SUMIFS('PO detail'!$U$2:$U$672,'PO detail'!$A$2:$A$672,B556,'PO detail'!$B$2:$B$672,C556,'PO detail'!$G$2:$G$672,"&gt;="&amp;D556,'PO detail'!$G$2:$G$672,"&lt;"&amp;A556)</x:f>
        <x:v>0</x:v>
      </x:c>
      <x:c r="I556" s="8" t="n">
        <x:f>SUMIFS('PO detail'!$V$2:$V$672,'PO detail'!$A$2:$A$672,B556,'PO detail'!$B$2:$B$672,C556,'PO detail'!$G$2:$G$672,"&gt;="&amp;D556,'PO detail'!$G$2:$G$672,"&lt;"&amp;A556)</x:f>
        <x:v>0</x:v>
      </x:c>
      <x:c r="J556" s="8" t="n">
        <x:f>SUMIFS('PO detail'!$W$2:$W$672,'PO detail'!$A$2:$A$672,B556,'PO detail'!$B$2:$B$672,C556,'PO detail'!$G$2:$G$672,"&gt;="&amp;D556,'PO detail'!$G$2:$G$672,"&lt;"&amp;A556)</x:f>
        <x:v>0</x:v>
      </x:c>
      <x:c r="K556" s="8" t="n">
        <x:f>'Current inventory'!E52*Summary!$D$6*(A556-D556)/30.4375</x:f>
        <x:v>15.335030800821357</x:v>
      </x:c>
      <x:c r="L556" s="8" t="n">
        <x:f>MAX(0,E556+H556-K556)</x:f>
        <x:v>0</x:v>
      </x:c>
      <x:c r="M556" s="8" t="n">
        <x:f>MAX(0,F556+I556-MAX(0,K556-E556-H556))</x:f>
        <x:v>0</x:v>
      </x:c>
      <x:c r="N556" s="8" t="n">
        <x:f>MAX(0,G556+J556-K556)</x:f>
        <x:v>221.68180698151951</x:v>
      </x:c>
      <x:c r="O556" s="8" t="n">
        <x:f>SUM(L556:N556)</x:f>
        <x:v>221.68180698151951</x:v>
      </x:c>
      <x:c r="P556" s="14" t="n">
        <x:f>'Current inventory'!V52</x:f>
        <x:v>0.1383</x:v>
      </x:c>
      <x:c r="Q556" s="14" t="str">
        <x:f>'Current inventory'!W52</x:f>
        <x:v>n.a.</x:v>
      </x:c>
      <x:c r="R556" s="10" t="n">
        <x:f>L556*P556</x:f>
        <x:v>0</x:v>
      </x:c>
      <x:c r="S556" s="10" t="n">
        <x:f>M556*P556</x:f>
        <x:v>0</x:v>
      </x:c>
      <x:c r="T556" s="10" t="n">
        <x:f>N556*P556</x:f>
        <x:v>30.65859390554415</x:v>
      </x:c>
      <x:c r="U556" s="10" t="n">
        <x:f>O556*P556</x:f>
        <x:v>30.65859390554415</x:v>
      </x:c>
      <x:c r="V556" s="10" t="str">
        <x:f>IF(ISNUMBER(Q556),O556*(Q556-P556),"n.a.")</x:f>
        <x:v>n.a.</x:v>
      </x:c>
      <x:c r="W556" s="10" t="n">
        <x:f>IF(ISNUMBER(Q556),U556,0)</x:f>
        <x:v>0</x:v>
      </x:c>
      <x:c r="X556" s="8" t="n">
        <x:f>MAX(0,K556-SUM(E556:J556))</x:f>
        <x:v>0</x:v>
      </x:c>
      <x:c r="Y556" s="1" t="str">
        <x:f>IF(AND(O556&gt;0,NOT(ISNUMBER(Q556))),"No proposed replacement standard",IF(X556&gt;0,"Demand exceeds available stock",""))</x:f>
        <x:v>No proposed replacement standard</x:v>
      </x:c>
      <x:c r="Z556" s="1" t="n">
        <x:f>IF(ISNUMBER(Q556),1,0)</x:f>
        <x:v>0</x:v>
      </x:c>
    </x:row>
    <x:row r="557" ht="21" customHeight="1">
      <x:c r="A557" s="17" t="n">
        <x:f>Summary!B19</x:f>
        <x:v>46447</x:v>
      </x:c>
      <x:c r="B557" s="1" t="str">
        <x:f>'Current inventory'!A53</x:f>
        <x:v>10</x:v>
      </x:c>
      <x:c r="C557" s="1" t="str">
        <x:f>'Current inventory'!B53</x:f>
        <x:v>800WNAVASC</x:v>
      </x:c>
      <x:c r="D557" s="7" t="n">
        <x:f>A431</x:f>
        <x:v>46419</x:v>
      </x:c>
      <x:c r="E557" s="8" t="n">
        <x:f>L431</x:f>
        <x:v>0</x:v>
      </x:c>
      <x:c r="F557" s="8" t="n">
        <x:f>M431</x:f>
        <x:v>0</x:v>
      </x:c>
      <x:c r="G557" s="8" t="n">
        <x:f>N431</x:f>
        <x:v>637.0168377823408</x:v>
      </x:c>
      <x:c r="H557" s="8" t="n">
        <x:f>SUMIFS('PO detail'!$U$2:$U$672,'PO detail'!$A$2:$A$672,B557,'PO detail'!$B$2:$B$672,C557,'PO detail'!$G$2:$G$672,"&gt;="&amp;D557,'PO detail'!$G$2:$G$672,"&lt;"&amp;A557)</x:f>
        <x:v>0</x:v>
      </x:c>
      <x:c r="I557" s="8" t="n">
        <x:f>SUMIFS('PO detail'!$V$2:$V$672,'PO detail'!$A$2:$A$672,B557,'PO detail'!$B$2:$B$672,C557,'PO detail'!$G$2:$G$672,"&gt;="&amp;D557,'PO detail'!$G$2:$G$672,"&lt;"&amp;A557)</x:f>
        <x:v>0</x:v>
      </x:c>
      <x:c r="J557" s="8" t="n">
        <x:f>SUMIFS('PO detail'!$W$2:$W$672,'PO detail'!$A$2:$A$672,B557,'PO detail'!$B$2:$B$672,C557,'PO detail'!$G$2:$G$672,"&gt;="&amp;D557,'PO detail'!$G$2:$G$672,"&lt;"&amp;A557)</x:f>
        <x:v>0</x:v>
      </x:c>
      <x:c r="K557" s="8" t="n">
        <x:f>'Current inventory'!E53*Summary!$D$6*(A557-D557)/30.4375</x:f>
        <x:v>15.335030800821357</x:v>
      </x:c>
      <x:c r="L557" s="8" t="n">
        <x:f>MAX(0,E557+H557-K557)</x:f>
        <x:v>0</x:v>
      </x:c>
      <x:c r="M557" s="8" t="n">
        <x:f>MAX(0,F557+I557-MAX(0,K557-E557-H557))</x:f>
        <x:v>0</x:v>
      </x:c>
      <x:c r="N557" s="8" t="n">
        <x:f>MAX(0,G557+J557-K557)</x:f>
        <x:v>621.6818069815195</x:v>
      </x:c>
      <x:c r="O557" s="8" t="n">
        <x:f>SUM(L557:N557)</x:f>
        <x:v>621.6818069815195</x:v>
      </x:c>
      <x:c r="P557" s="14" t="n">
        <x:f>'Current inventory'!V53</x:f>
        <x:v>0.13570000000000002</x:v>
      </x:c>
      <x:c r="Q557" s="14" t="str">
        <x:f>'Current inventory'!W53</x:f>
        <x:v>n.a.</x:v>
      </x:c>
      <x:c r="R557" s="10" t="n">
        <x:f>L557*P557</x:f>
        <x:v>0</x:v>
      </x:c>
      <x:c r="S557" s="10" t="n">
        <x:f>M557*P557</x:f>
        <x:v>0</x:v>
      </x:c>
      <x:c r="T557" s="10" t="n">
        <x:f>N557*P557</x:f>
        <x:v>84.3622212073922</x:v>
      </x:c>
      <x:c r="U557" s="10" t="n">
        <x:f>O557*P557</x:f>
        <x:v>84.3622212073922</x:v>
      </x:c>
      <x:c r="V557" s="10" t="str">
        <x:f>IF(ISNUMBER(Q557),O557*(Q557-P557),"n.a.")</x:f>
        <x:v>n.a.</x:v>
      </x:c>
      <x:c r="W557" s="10" t="n">
        <x:f>IF(ISNUMBER(Q557),U557,0)</x:f>
        <x:v>0</x:v>
      </x:c>
      <x:c r="X557" s="8" t="n">
        <x:f>MAX(0,K557-SUM(E557:J557))</x:f>
        <x:v>0</x:v>
      </x:c>
      <x:c r="Y557" s="1" t="str">
        <x:f>IF(AND(O557&gt;0,NOT(ISNUMBER(Q557))),"No proposed replacement standard",IF(X557&gt;0,"Demand exceeds available stock",""))</x:f>
        <x:v>No proposed replacement standard</x:v>
      </x:c>
      <x:c r="Z557" s="1" t="n">
        <x:f>IF(ISNUMBER(Q557),1,0)</x:f>
        <x:v>0</x:v>
      </x:c>
    </x:row>
    <x:row r="558" ht="21" customHeight="1">
      <x:c r="A558" s="17" t="n">
        <x:f>Summary!B19</x:f>
        <x:v>46447</x:v>
      </x:c>
      <x:c r="B558" s="1" t="str">
        <x:f>'Current inventory'!A54</x:f>
        <x:v>30</x:v>
      </x:c>
      <x:c r="C558" s="1" t="str">
        <x:f>'Current inventory'!B54</x:f>
        <x:v>800BMARDSC</x:v>
      </x:c>
      <x:c r="D558" s="7" t="n">
        <x:f>A432</x:f>
        <x:v>46419</x:v>
      </x:c>
      <x:c r="E558" s="8" t="n">
        <x:f>L432</x:f>
        <x:v>0</x:v>
      </x:c>
      <x:c r="F558" s="8" t="n">
        <x:f>M432</x:f>
        <x:v>0</x:v>
      </x:c>
      <x:c r="G558" s="8" t="n">
        <x:f>N432</x:f>
        <x:v>2637.0168377823416</x:v>
      </x:c>
      <x:c r="H558" s="8" t="n">
        <x:f>SUMIFS('PO detail'!$U$2:$U$672,'PO detail'!$A$2:$A$672,B558,'PO detail'!$B$2:$B$672,C558,'PO detail'!$G$2:$G$672,"&gt;="&amp;D558,'PO detail'!$G$2:$G$672,"&lt;"&amp;A558)</x:f>
        <x:v>0</x:v>
      </x:c>
      <x:c r="I558" s="8" t="n">
        <x:f>SUMIFS('PO detail'!$V$2:$V$672,'PO detail'!$A$2:$A$672,B558,'PO detail'!$B$2:$B$672,C558,'PO detail'!$G$2:$G$672,"&gt;="&amp;D558,'PO detail'!$G$2:$G$672,"&lt;"&amp;A558)</x:f>
        <x:v>0</x:v>
      </x:c>
      <x:c r="J558" s="8" t="n">
        <x:f>SUMIFS('PO detail'!$W$2:$W$672,'PO detail'!$A$2:$A$672,B558,'PO detail'!$B$2:$B$672,C558,'PO detail'!$G$2:$G$672,"&gt;="&amp;D558,'PO detail'!$G$2:$G$672,"&lt;"&amp;A558)</x:f>
        <x:v>0</x:v>
      </x:c>
      <x:c r="K558" s="8" t="n">
        <x:f>'Current inventory'!E54*Summary!$D$6*(A558-D558)/30.4375</x:f>
        <x:v>15.335030800821357</x:v>
      </x:c>
      <x:c r="L558" s="8" t="n">
        <x:f>MAX(0,E558+H558-K558)</x:f>
        <x:v>0</x:v>
      </x:c>
      <x:c r="M558" s="8" t="n">
        <x:f>MAX(0,F558+I558-MAX(0,K558-E558-H558))</x:f>
        <x:v>0</x:v>
      </x:c>
      <x:c r="N558" s="8" t="n">
        <x:f>MAX(0,G558+J558-K558)</x:f>
        <x:v>2621.6818069815204</x:v>
      </x:c>
      <x:c r="O558" s="8" t="n">
        <x:f>SUM(L558:N558)</x:f>
        <x:v>2621.6818069815204</x:v>
      </x:c>
      <x:c r="P558" s="14" t="n">
        <x:f>'Current inventory'!V54</x:f>
        <x:v>0.3998</x:v>
      </x:c>
      <x:c r="Q558" s="14" t="str">
        <x:f>'Current inventory'!W54</x:f>
        <x:v>n.a.</x:v>
      </x:c>
      <x:c r="R558" s="10" t="n">
        <x:f>L558*P558</x:f>
        <x:v>0</x:v>
      </x:c>
      <x:c r="S558" s="10" t="n">
        <x:f>M558*P558</x:f>
        <x:v>0</x:v>
      </x:c>
      <x:c r="T558" s="10" t="n">
        <x:f>N558*P558</x:f>
        <x:v>1048.1483864312117</x:v>
      </x:c>
      <x:c r="U558" s="10" t="n">
        <x:f>O558*P558</x:f>
        <x:v>1048.1483864312117</x:v>
      </x:c>
      <x:c r="V558" s="10" t="str">
        <x:f>IF(ISNUMBER(Q558),O558*(Q558-P558),"n.a.")</x:f>
        <x:v>n.a.</x:v>
      </x:c>
      <x:c r="W558" s="10" t="n">
        <x:f>IF(ISNUMBER(Q558),U558,0)</x:f>
        <x:v>0</x:v>
      </x:c>
      <x:c r="X558" s="8" t="n">
        <x:f>MAX(0,K558-SUM(E558:J558))</x:f>
        <x:v>0</x:v>
      </x:c>
      <x:c r="Y558" s="1" t="str">
        <x:f>IF(AND(O558&gt;0,NOT(ISNUMBER(Q558))),"No proposed replacement standard",IF(X558&gt;0,"Demand exceeds available stock",""))</x:f>
        <x:v>No proposed replacement standard</x:v>
      </x:c>
      <x:c r="Z558" s="1" t="n">
        <x:f>IF(ISNUMBER(Q558),1,0)</x:f>
        <x:v>0</x:v>
      </x:c>
    </x:row>
    <x:row r="559" ht="21" customHeight="1">
      <x:c r="A559" s="17" t="n">
        <x:f>Summary!B19</x:f>
        <x:v>46447</x:v>
      </x:c>
      <x:c r="B559" s="1" t="str">
        <x:f>'Current inventory'!A55</x:f>
        <x:v>60</x:v>
      </x:c>
      <x:c r="C559" s="1" t="str">
        <x:f>'Current inventory'!B55</x:f>
        <x:v>800WNAVASC</x:v>
      </x:c>
      <x:c r="D559" s="7" t="n">
        <x:f>A433</x:f>
        <x:v>46419</x:v>
      </x:c>
      <x:c r="E559" s="8" t="n">
        <x:f>L433</x:f>
        <x:v>0</x:v>
      </x:c>
      <x:c r="F559" s="8" t="n">
        <x:f>M433</x:f>
        <x:v>0</x:v>
      </x:c>
      <x:c r="G559" s="8" t="n">
        <x:f>N433</x:f>
        <x:v>937.0168377823408</x:v>
      </x:c>
      <x:c r="H559" s="8" t="n">
        <x:f>SUMIFS('PO detail'!$U$2:$U$672,'PO detail'!$A$2:$A$672,B559,'PO detail'!$B$2:$B$672,C559,'PO detail'!$G$2:$G$672,"&gt;="&amp;D559,'PO detail'!$G$2:$G$672,"&lt;"&amp;A559)</x:f>
        <x:v>0</x:v>
      </x:c>
      <x:c r="I559" s="8" t="n">
        <x:f>SUMIFS('PO detail'!$V$2:$V$672,'PO detail'!$A$2:$A$672,B559,'PO detail'!$B$2:$B$672,C559,'PO detail'!$G$2:$G$672,"&gt;="&amp;D559,'PO detail'!$G$2:$G$672,"&lt;"&amp;A559)</x:f>
        <x:v>0</x:v>
      </x:c>
      <x:c r="J559" s="8" t="n">
        <x:f>SUMIFS('PO detail'!$W$2:$W$672,'PO detail'!$A$2:$A$672,B559,'PO detail'!$B$2:$B$672,C559,'PO detail'!$G$2:$G$672,"&gt;="&amp;D559,'PO detail'!$G$2:$G$672,"&lt;"&amp;A559)</x:f>
        <x:v>0</x:v>
      </x:c>
      <x:c r="K559" s="8" t="n">
        <x:f>'Current inventory'!E55*Summary!$D$6*(A559-D559)/30.4375</x:f>
        <x:v>15.335030800821357</x:v>
      </x:c>
      <x:c r="L559" s="8" t="n">
        <x:f>MAX(0,E559+H559-K559)</x:f>
        <x:v>0</x:v>
      </x:c>
      <x:c r="M559" s="8" t="n">
        <x:f>MAX(0,F559+I559-MAX(0,K559-E559-H559))</x:f>
        <x:v>0</x:v>
      </x:c>
      <x:c r="N559" s="8" t="n">
        <x:f>MAX(0,G559+J559-K559)</x:f>
        <x:v>921.6818069815195</x:v>
      </x:c>
      <x:c r="O559" s="8" t="n">
        <x:f>SUM(L559:N559)</x:f>
        <x:v>921.6818069815195</x:v>
      </x:c>
      <x:c r="P559" s="14" t="n">
        <x:f>'Current inventory'!V55</x:f>
        <x:v>0.13570000000000002</x:v>
      </x:c>
      <x:c r="Q559" s="14" t="str">
        <x:f>'Current inventory'!W55</x:f>
        <x:v>n.a.</x:v>
      </x:c>
      <x:c r="R559" s="10" t="n">
        <x:f>L559*P559</x:f>
        <x:v>0</x:v>
      </x:c>
      <x:c r="S559" s="10" t="n">
        <x:f>M559*P559</x:f>
        <x:v>0</x:v>
      </x:c>
      <x:c r="T559" s="10" t="n">
        <x:f>N559*P559</x:f>
        <x:v>125.0722212073922</x:v>
      </x:c>
      <x:c r="U559" s="10" t="n">
        <x:f>O559*P559</x:f>
        <x:v>125.0722212073922</x:v>
      </x:c>
      <x:c r="V559" s="10" t="str">
        <x:f>IF(ISNUMBER(Q559),O559*(Q559-P559),"n.a.")</x:f>
        <x:v>n.a.</x:v>
      </x:c>
      <x:c r="W559" s="10" t="n">
        <x:f>IF(ISNUMBER(Q559),U559,0)</x:f>
        <x:v>0</x:v>
      </x:c>
      <x:c r="X559" s="8" t="n">
        <x:f>MAX(0,K559-SUM(E559:J559))</x:f>
        <x:v>0</x:v>
      </x:c>
      <x:c r="Y559" s="1" t="str">
        <x:f>IF(AND(O559&gt;0,NOT(ISNUMBER(Q559))),"No proposed replacement standard",IF(X559&gt;0,"Demand exceeds available stock",""))</x:f>
        <x:v>No proposed replacement standard</x:v>
      </x:c>
      <x:c r="Z559" s="1" t="n">
        <x:f>IF(ISNUMBER(Q559),1,0)</x:f>
        <x:v>0</x:v>
      </x:c>
    </x:row>
    <x:row r="560" ht="21" customHeight="1">
      <x:c r="A560" s="17" t="n">
        <x:f>Summary!B19</x:f>
        <x:v>46447</x:v>
      </x:c>
      <x:c r="B560" s="1" t="str">
        <x:f>'Current inventory'!A56</x:f>
        <x:v>60</x:v>
      </x:c>
      <x:c r="C560" s="1" t="str">
        <x:f>'Current inventory'!B56</x:f>
        <x:v>800BMARDSC</x:v>
      </x:c>
      <x:c r="D560" s="7" t="n">
        <x:f>A434</x:f>
        <x:v>46419</x:v>
      </x:c>
      <x:c r="E560" s="8" t="n">
        <x:f>L434</x:f>
        <x:v>0</x:v>
      </x:c>
      <x:c r="F560" s="8" t="n">
        <x:f>M434</x:f>
        <x:v>0</x:v>
      </x:c>
      <x:c r="G560" s="8" t="n">
        <x:f>N434</x:f>
        <x:v>568.5273100616017</x:v>
      </x:c>
      <x:c r="H560" s="8" t="n">
        <x:f>SUMIFS('PO detail'!$U$2:$U$672,'PO detail'!$A$2:$A$672,B560,'PO detail'!$B$2:$B$672,C560,'PO detail'!$G$2:$G$672,"&gt;="&amp;D560,'PO detail'!$G$2:$G$672,"&lt;"&amp;A560)</x:f>
        <x:v>0</x:v>
      </x:c>
      <x:c r="I560" s="8" t="n">
        <x:f>SUMIFS('PO detail'!$V$2:$V$672,'PO detail'!$A$2:$A$672,B560,'PO detail'!$B$2:$B$672,C560,'PO detail'!$G$2:$G$672,"&gt;="&amp;D560,'PO detail'!$G$2:$G$672,"&lt;"&amp;A560)</x:f>
        <x:v>0</x:v>
      </x:c>
      <x:c r="J560" s="8" t="n">
        <x:f>SUMIFS('PO detail'!$W$2:$W$672,'PO detail'!$A$2:$A$672,B560,'PO detail'!$B$2:$B$672,C560,'PO detail'!$G$2:$G$672,"&gt;="&amp;D560,'PO detail'!$G$2:$G$672,"&lt;"&amp;A560)</x:f>
        <x:v>0</x:v>
      </x:c>
      <x:c r="K560" s="8" t="n">
        <x:f>'Current inventory'!E56*Summary!$D$6*(A560-D560)/30.4375</x:f>
        <x:v>7.662915811088296</x:v>
      </x:c>
      <x:c r="L560" s="8" t="n">
        <x:f>MAX(0,E560+H560-K560)</x:f>
        <x:v>0</x:v>
      </x:c>
      <x:c r="M560" s="8" t="n">
        <x:f>MAX(0,F560+I560-MAX(0,K560-E560-H560))</x:f>
        <x:v>0</x:v>
      </x:c>
      <x:c r="N560" s="8" t="n">
        <x:f>MAX(0,G560+J560-K560)</x:f>
        <x:v>560.8643942505134</x:v>
      </x:c>
      <x:c r="O560" s="8" t="n">
        <x:f>SUM(L560:N560)</x:f>
        <x:v>560.8643942505134</x:v>
      </x:c>
      <x:c r="P560" s="14" t="n">
        <x:f>'Current inventory'!V56</x:f>
        <x:v>0.3998</x:v>
      </x:c>
      <x:c r="Q560" s="14" t="str">
        <x:f>'Current inventory'!W56</x:f>
        <x:v>n.a.</x:v>
      </x:c>
      <x:c r="R560" s="10" t="n">
        <x:f>L560*P560</x:f>
        <x:v>0</x:v>
      </x:c>
      <x:c r="S560" s="10" t="n">
        <x:f>M560*P560</x:f>
        <x:v>0</x:v>
      </x:c>
      <x:c r="T560" s="10" t="n">
        <x:f>N560*P560</x:f>
        <x:v>224.23358482135527</x:v>
      </x:c>
      <x:c r="U560" s="10" t="n">
        <x:f>O560*P560</x:f>
        <x:v>224.23358482135527</x:v>
      </x:c>
      <x:c r="V560" s="10" t="str">
        <x:f>IF(ISNUMBER(Q560),O560*(Q560-P560),"n.a.")</x:f>
        <x:v>n.a.</x:v>
      </x:c>
      <x:c r="W560" s="10" t="n">
        <x:f>IF(ISNUMBER(Q560),U560,0)</x:f>
        <x:v>0</x:v>
      </x:c>
      <x:c r="X560" s="8" t="n">
        <x:f>MAX(0,K560-SUM(E560:J560))</x:f>
        <x:v>0</x:v>
      </x:c>
      <x:c r="Y560" s="1" t="str">
        <x:f>IF(AND(O560&gt;0,NOT(ISNUMBER(Q560))),"No proposed replacement standard",IF(X560&gt;0,"Demand exceeds available stock",""))</x:f>
        <x:v>No proposed replacement standard</x:v>
      </x:c>
      <x:c r="Z560" s="1" t="n">
        <x:f>IF(ISNUMBER(Q560),1,0)</x:f>
        <x:v>0</x:v>
      </x:c>
    </x:row>
    <x:row r="561" ht="21" customHeight="1">
      <x:c r="A561" s="17" t="n">
        <x:f>Summary!B19</x:f>
        <x:v>46447</x:v>
      </x:c>
      <x:c r="B561" s="1" t="str">
        <x:f>'Current inventory'!A57</x:f>
        <x:v>10</x:v>
      </x:c>
      <x:c r="C561" s="1" t="str">
        <x:f>'Current inventory'!B57</x:f>
        <x:v>800BFGASC</x:v>
      </x:c>
      <x:c r="D561" s="7" t="n">
        <x:f>A435</x:f>
        <x:v>46419</x:v>
      </x:c>
      <x:c r="E561" s="8" t="n">
        <x:f>L435</x:f>
        <x:v>0</x:v>
      </x:c>
      <x:c r="F561" s="8" t="n">
        <x:f>M435</x:f>
        <x:v>0</x:v>
      </x:c>
      <x:c r="G561" s="8" t="n">
        <x:f>N435</x:f>
        <x:v>0</x:v>
      </x:c>
      <x:c r="H561" s="8" t="n">
        <x:f>SUMIFS('PO detail'!$U$2:$U$672,'PO detail'!$A$2:$A$672,B561,'PO detail'!$B$2:$B$672,C561,'PO detail'!$G$2:$G$672,"&gt;="&amp;D561,'PO detail'!$G$2:$G$672,"&lt;"&amp;A561)</x:f>
        <x:v>0</x:v>
      </x:c>
      <x:c r="I561" s="8" t="n">
        <x:f>SUMIFS('PO detail'!$V$2:$V$672,'PO detail'!$A$2:$A$672,B561,'PO detail'!$B$2:$B$672,C561,'PO detail'!$G$2:$G$672,"&gt;="&amp;D561,'PO detail'!$G$2:$G$672,"&lt;"&amp;A561)</x:f>
        <x:v>0</x:v>
      </x:c>
      <x:c r="J561" s="8" t="n">
        <x:f>SUMIFS('PO detail'!$W$2:$W$672,'PO detail'!$A$2:$A$672,B561,'PO detail'!$B$2:$B$672,C561,'PO detail'!$G$2:$G$672,"&gt;="&amp;D561,'PO detail'!$G$2:$G$672,"&lt;"&amp;A561)</x:f>
        <x:v>0</x:v>
      </x:c>
      <x:c r="K561" s="8" t="n">
        <x:f>'Current inventory'!E57*Summary!$D$6*(A561-D561)/30.4375</x:f>
        <x:v>0</x:v>
      </x:c>
      <x:c r="L561" s="8" t="n">
        <x:f>MAX(0,E561+H561-K561)</x:f>
        <x:v>0</x:v>
      </x:c>
      <x:c r="M561" s="8" t="n">
        <x:f>MAX(0,F561+I561-MAX(0,K561-E561-H561))</x:f>
        <x:v>0</x:v>
      </x:c>
      <x:c r="N561" s="8" t="n">
        <x:f>MAX(0,G561+J561-K561)</x:f>
        <x:v>0</x:v>
      </x:c>
      <x:c r="O561" s="8" t="n">
        <x:f>SUM(L561:N561)</x:f>
        <x:v>0</x:v>
      </x:c>
      <x:c r="P561" s="14" t="n">
        <x:f>'Current inventory'!V57</x:f>
        <x:v>0.1456</x:v>
      </x:c>
      <x:c r="Q561" s="14" t="str">
        <x:f>'Current inventory'!W57</x:f>
        <x:v>n.a.</x:v>
      </x:c>
      <x:c r="R561" s="10" t="n">
        <x:f>L561*P561</x:f>
        <x:v>0</x:v>
      </x:c>
      <x:c r="S561" s="10" t="n">
        <x:f>M561*P561</x:f>
        <x:v>0</x:v>
      </x:c>
      <x:c r="T561" s="10" t="n">
        <x:f>N561*P561</x:f>
        <x:v>0</x:v>
      </x:c>
      <x:c r="U561" s="10" t="n">
        <x:f>O561*P561</x:f>
        <x:v>0</x:v>
      </x:c>
      <x:c r="V561" s="10" t="str">
        <x:f>IF(ISNUMBER(Q561),O561*(Q561-P561),"n.a.")</x:f>
        <x:v>n.a.</x:v>
      </x:c>
      <x:c r="W561" s="10" t="n">
        <x:f>IF(ISNUMBER(Q561),U561,0)</x:f>
        <x:v>0</x:v>
      </x:c>
      <x:c r="X561" s="8" t="n">
        <x:f>MAX(0,K561-SUM(E561:J561))</x:f>
        <x:v>0</x:v>
      </x:c>
      <x:c r="Y561" s="1" t="str">
        <x:f>IF(AND(O561&gt;0,NOT(ISNUMBER(Q561))),"No proposed replacement standard",IF(X561&gt;0,"Demand exceeds available stock",""))</x:f>
      </x:c>
      <x:c r="Z561" s="1" t="n">
        <x:f>IF(ISNUMBER(Q561),1,0)</x:f>
        <x:v>0</x:v>
      </x:c>
    </x:row>
    <x:row r="562" ht="21" customHeight="1">
      <x:c r="A562" s="17" t="n">
        <x:f>Summary!B19</x:f>
        <x:v>46447</x:v>
      </x:c>
      <x:c r="B562" s="1" t="str">
        <x:f>'Current inventory'!A58</x:f>
        <x:v>10</x:v>
      </x:c>
      <x:c r="C562" s="1" t="str">
        <x:f>'Current inventory'!B58</x:f>
        <x:v>800BFGBRC</x:v>
      </x:c>
      <x:c r="D562" s="7" t="n">
        <x:f>A436</x:f>
        <x:v>46419</x:v>
      </x:c>
      <x:c r="E562" s="8" t="n">
        <x:f>L436</x:f>
        <x:v>0</x:v>
      </x:c>
      <x:c r="F562" s="8" t="n">
        <x:f>M436</x:f>
        <x:v>0</x:v>
      </x:c>
      <x:c r="G562" s="8" t="n">
        <x:f>N436</x:f>
        <x:v>0</x:v>
      </x:c>
      <x:c r="H562" s="8" t="n">
        <x:f>SUMIFS('PO detail'!$U$2:$U$672,'PO detail'!$A$2:$A$672,B562,'PO detail'!$B$2:$B$672,C562,'PO detail'!$G$2:$G$672,"&gt;="&amp;D562,'PO detail'!$G$2:$G$672,"&lt;"&amp;A562)</x:f>
        <x:v>0</x:v>
      </x:c>
      <x:c r="I562" s="8" t="n">
        <x:f>SUMIFS('PO detail'!$V$2:$V$672,'PO detail'!$A$2:$A$672,B562,'PO detail'!$B$2:$B$672,C562,'PO detail'!$G$2:$G$672,"&gt;="&amp;D562,'PO detail'!$G$2:$G$672,"&lt;"&amp;A562)</x:f>
        <x:v>0</x:v>
      </x:c>
      <x:c r="J562" s="8" t="n">
        <x:f>SUMIFS('PO detail'!$W$2:$W$672,'PO detail'!$A$2:$A$672,B562,'PO detail'!$B$2:$B$672,C562,'PO detail'!$G$2:$G$672,"&gt;="&amp;D562,'PO detail'!$G$2:$G$672,"&lt;"&amp;A562)</x:f>
        <x:v>0</x:v>
      </x:c>
      <x:c r="K562" s="8" t="n">
        <x:f>'Current inventory'!E58*Summary!$D$6*(A562-D562)/30.4375</x:f>
        <x:v>0</x:v>
      </x:c>
      <x:c r="L562" s="8" t="n">
        <x:f>MAX(0,E562+H562-K562)</x:f>
        <x:v>0</x:v>
      </x:c>
      <x:c r="M562" s="8" t="n">
        <x:f>MAX(0,F562+I562-MAX(0,K562-E562-H562))</x:f>
        <x:v>0</x:v>
      </x:c>
      <x:c r="N562" s="8" t="n">
        <x:f>MAX(0,G562+J562-K562)</x:f>
        <x:v>0</x:v>
      </x:c>
      <x:c r="O562" s="8" t="n">
        <x:f>SUM(L562:N562)</x:f>
        <x:v>0</x:v>
      </x:c>
      <x:c r="P562" s="14" t="n">
        <x:f>'Current inventory'!V58</x:f>
        <x:v>0.18469999999999998</x:v>
      </x:c>
      <x:c r="Q562" s="14" t="str">
        <x:f>'Current inventory'!W58</x:f>
        <x:v>n.a.</x:v>
      </x:c>
      <x:c r="R562" s="10" t="n">
        <x:f>L562*P562</x:f>
        <x:v>0</x:v>
      </x:c>
      <x:c r="S562" s="10" t="n">
        <x:f>M562*P562</x:f>
        <x:v>0</x:v>
      </x:c>
      <x:c r="T562" s="10" t="n">
        <x:f>N562*P562</x:f>
        <x:v>0</x:v>
      </x:c>
      <x:c r="U562" s="10" t="n">
        <x:f>O562*P562</x:f>
        <x:v>0</x:v>
      </x:c>
      <x:c r="V562" s="10" t="str">
        <x:f>IF(ISNUMBER(Q562),O562*(Q562-P562),"n.a.")</x:f>
        <x:v>n.a.</x:v>
      </x:c>
      <x:c r="W562" s="10" t="n">
        <x:f>IF(ISNUMBER(Q562),U562,0)</x:f>
        <x:v>0</x:v>
      </x:c>
      <x:c r="X562" s="8" t="n">
        <x:f>MAX(0,K562-SUM(E562:J562))</x:f>
        <x:v>0</x:v>
      </x:c>
      <x:c r="Y562" s="1" t="str">
        <x:f>IF(AND(O562&gt;0,NOT(ISNUMBER(Q562))),"No proposed replacement standard",IF(X562&gt;0,"Demand exceeds available stock",""))</x:f>
      </x:c>
      <x:c r="Z562" s="1" t="n">
        <x:f>IF(ISNUMBER(Q562),1,0)</x:f>
        <x:v>0</x:v>
      </x:c>
    </x:row>
    <x:row r="563" ht="21" customHeight="1">
      <x:c r="A563" s="17" t="n">
        <x:f>Summary!B19</x:f>
        <x:v>46447</x:v>
      </x:c>
      <x:c r="B563" s="1" t="str">
        <x:f>'Current inventory'!A59</x:f>
        <x:v>10</x:v>
      </x:c>
      <x:c r="C563" s="1" t="str">
        <x:f>'Current inventory'!B59</x:f>
        <x:v>800BFGCSC</x:v>
      </x:c>
      <x:c r="D563" s="7" t="n">
        <x:f>A437</x:f>
        <x:v>46419</x:v>
      </x:c>
      <x:c r="E563" s="8" t="n">
        <x:f>L437</x:f>
        <x:v>0</x:v>
      </x:c>
      <x:c r="F563" s="8" t="n">
        <x:f>M437</x:f>
        <x:v>0</x:v>
      </x:c>
      <x:c r="G563" s="8" t="n">
        <x:f>N437</x:f>
        <x:v>0</x:v>
      </x:c>
      <x:c r="H563" s="8" t="n">
        <x:f>SUMIFS('PO detail'!$U$2:$U$672,'PO detail'!$A$2:$A$672,B563,'PO detail'!$B$2:$B$672,C563,'PO detail'!$G$2:$G$672,"&gt;="&amp;D563,'PO detail'!$G$2:$G$672,"&lt;"&amp;A563)</x:f>
        <x:v>0</x:v>
      </x:c>
      <x:c r="I563" s="8" t="n">
        <x:f>SUMIFS('PO detail'!$V$2:$V$672,'PO detail'!$A$2:$A$672,B563,'PO detail'!$B$2:$B$672,C563,'PO detail'!$G$2:$G$672,"&gt;="&amp;D563,'PO detail'!$G$2:$G$672,"&lt;"&amp;A563)</x:f>
        <x:v>0</x:v>
      </x:c>
      <x:c r="J563" s="8" t="n">
        <x:f>SUMIFS('PO detail'!$W$2:$W$672,'PO detail'!$A$2:$A$672,B563,'PO detail'!$B$2:$B$672,C563,'PO detail'!$G$2:$G$672,"&gt;="&amp;D563,'PO detail'!$G$2:$G$672,"&lt;"&amp;A563)</x:f>
        <x:v>0</x:v>
      </x:c>
      <x:c r="K563" s="8" t="n">
        <x:f>'Current inventory'!E59*Summary!$D$6*(A563-D563)/30.4375</x:f>
        <x:v>0</x:v>
      </x:c>
      <x:c r="L563" s="8" t="n">
        <x:f>MAX(0,E563+H563-K563)</x:f>
        <x:v>0</x:v>
      </x:c>
      <x:c r="M563" s="8" t="n">
        <x:f>MAX(0,F563+I563-MAX(0,K563-E563-H563))</x:f>
        <x:v>0</x:v>
      </x:c>
      <x:c r="N563" s="8" t="n">
        <x:f>MAX(0,G563+J563-K563)</x:f>
        <x:v>0</x:v>
      </x:c>
      <x:c r="O563" s="8" t="n">
        <x:f>SUM(L563:N563)</x:f>
        <x:v>0</x:v>
      </x:c>
      <x:c r="P563" s="14" t="n">
        <x:f>'Current inventory'!V59</x:f>
        <x:v>0.21559999999999999</x:v>
      </x:c>
      <x:c r="Q563" s="14" t="str">
        <x:f>'Current inventory'!W59</x:f>
        <x:v>n.a.</x:v>
      </x:c>
      <x:c r="R563" s="10" t="n">
        <x:f>L563*P563</x:f>
        <x:v>0</x:v>
      </x:c>
      <x:c r="S563" s="10" t="n">
        <x:f>M563*P563</x:f>
        <x:v>0</x:v>
      </x:c>
      <x:c r="T563" s="10" t="n">
        <x:f>N563*P563</x:f>
        <x:v>0</x:v>
      </x:c>
      <x:c r="U563" s="10" t="n">
        <x:f>O563*P563</x:f>
        <x:v>0</x:v>
      </x:c>
      <x:c r="V563" s="10" t="str">
        <x:f>IF(ISNUMBER(Q563),O563*(Q563-P563),"n.a.")</x:f>
        <x:v>n.a.</x:v>
      </x:c>
      <x:c r="W563" s="10" t="n">
        <x:f>IF(ISNUMBER(Q563),U563,0)</x:f>
        <x:v>0</x:v>
      </x:c>
      <x:c r="X563" s="8" t="n">
        <x:f>MAX(0,K563-SUM(E563:J563))</x:f>
        <x:v>0</x:v>
      </x:c>
      <x:c r="Y563" s="1" t="str">
        <x:f>IF(AND(O563&gt;0,NOT(ISNUMBER(Q563))),"No proposed replacement standard",IF(X563&gt;0,"Demand exceeds available stock",""))</x:f>
      </x:c>
      <x:c r="Z563" s="1" t="n">
        <x:f>IF(ISNUMBER(Q563),1,0)</x:f>
        <x:v>0</x:v>
      </x:c>
    </x:row>
    <x:row r="564" ht="21" customHeight="1">
      <x:c r="A564" s="17" t="n">
        <x:f>Summary!B19</x:f>
        <x:v>46447</x:v>
      </x:c>
      <x:c r="B564" s="1" t="str">
        <x:f>'Current inventory'!A60</x:f>
        <x:v>10</x:v>
      </x:c>
      <x:c r="C564" s="1" t="str">
        <x:f>'Current inventory'!B60</x:f>
        <x:v>800BFGDSC</x:v>
      </x:c>
      <x:c r="D564" s="7" t="n">
        <x:f>A438</x:f>
        <x:v>46419</x:v>
      </x:c>
      <x:c r="E564" s="8" t="n">
        <x:f>L438</x:f>
        <x:v>0</x:v>
      </x:c>
      <x:c r="F564" s="8" t="n">
        <x:f>M438</x:f>
        <x:v>0</x:v>
      </x:c>
      <x:c r="G564" s="8" t="n">
        <x:f>N438</x:f>
        <x:v>0</x:v>
      </x:c>
      <x:c r="H564" s="8" t="n">
        <x:f>SUMIFS('PO detail'!$U$2:$U$672,'PO detail'!$A$2:$A$672,B564,'PO detail'!$B$2:$B$672,C564,'PO detail'!$G$2:$G$672,"&gt;="&amp;D564,'PO detail'!$G$2:$G$672,"&lt;"&amp;A564)</x:f>
        <x:v>0</x:v>
      </x:c>
      <x:c r="I564" s="8" t="n">
        <x:f>SUMIFS('PO detail'!$V$2:$V$672,'PO detail'!$A$2:$A$672,B564,'PO detail'!$B$2:$B$672,C564,'PO detail'!$G$2:$G$672,"&gt;="&amp;D564,'PO detail'!$G$2:$G$672,"&lt;"&amp;A564)</x:f>
        <x:v>0</x:v>
      </x:c>
      <x:c r="J564" s="8" t="n">
        <x:f>SUMIFS('PO detail'!$W$2:$W$672,'PO detail'!$A$2:$A$672,B564,'PO detail'!$B$2:$B$672,C564,'PO detail'!$G$2:$G$672,"&gt;="&amp;D564,'PO detail'!$G$2:$G$672,"&lt;"&amp;A564)</x:f>
        <x:v>0</x:v>
      </x:c>
      <x:c r="K564" s="8" t="n">
        <x:f>'Current inventory'!E60*Summary!$D$6*(A564-D564)/30.4375</x:f>
        <x:v>0</x:v>
      </x:c>
      <x:c r="L564" s="8" t="n">
        <x:f>MAX(0,E564+H564-K564)</x:f>
        <x:v>0</x:v>
      </x:c>
      <x:c r="M564" s="8" t="n">
        <x:f>MAX(0,F564+I564-MAX(0,K564-E564-H564))</x:f>
        <x:v>0</x:v>
      </x:c>
      <x:c r="N564" s="8" t="n">
        <x:f>MAX(0,G564+J564-K564)</x:f>
        <x:v>0</x:v>
      </x:c>
      <x:c r="O564" s="8" t="n">
        <x:f>SUM(L564:N564)</x:f>
        <x:v>0</x:v>
      </x:c>
      <x:c r="P564" s="14" t="n">
        <x:f>'Current inventory'!V60</x:f>
        <x:v>0.38</x:v>
      </x:c>
      <x:c r="Q564" s="14" t="str">
        <x:f>'Current inventory'!W60</x:f>
        <x:v>n.a.</x:v>
      </x:c>
      <x:c r="R564" s="10" t="n">
        <x:f>L564*P564</x:f>
        <x:v>0</x:v>
      </x:c>
      <x:c r="S564" s="10" t="n">
        <x:f>M564*P564</x:f>
        <x:v>0</x:v>
      </x:c>
      <x:c r="T564" s="10" t="n">
        <x:f>N564*P564</x:f>
        <x:v>0</x:v>
      </x:c>
      <x:c r="U564" s="10" t="n">
        <x:f>O564*P564</x:f>
        <x:v>0</x:v>
      </x:c>
      <x:c r="V564" s="10" t="str">
        <x:f>IF(ISNUMBER(Q564),O564*(Q564-P564),"n.a.")</x:f>
        <x:v>n.a.</x:v>
      </x:c>
      <x:c r="W564" s="10" t="n">
        <x:f>IF(ISNUMBER(Q564),U564,0)</x:f>
        <x:v>0</x:v>
      </x:c>
      <x:c r="X564" s="8" t="n">
        <x:f>MAX(0,K564-SUM(E564:J564))</x:f>
        <x:v>0</x:v>
      </x:c>
      <x:c r="Y564" s="1" t="str">
        <x:f>IF(AND(O564&gt;0,NOT(ISNUMBER(Q564))),"No proposed replacement standard",IF(X564&gt;0,"Demand exceeds available stock",""))</x:f>
      </x:c>
      <x:c r="Z564" s="1" t="n">
        <x:f>IF(ISNUMBER(Q564),1,0)</x:f>
        <x:v>0</x:v>
      </x:c>
    </x:row>
    <x:row r="565" ht="21" customHeight="1">
      <x:c r="A565" s="17" t="n">
        <x:f>Summary!B19</x:f>
        <x:v>46447</x:v>
      </x:c>
      <x:c r="B565" s="1" t="str">
        <x:f>'Current inventory'!A61</x:f>
        <x:v>10</x:v>
      </x:c>
      <x:c r="C565" s="1" t="str">
        <x:f>'Current inventory'!B61</x:f>
        <x:v>800BFGISC</x:v>
      </x:c>
      <x:c r="D565" s="7" t="n">
        <x:f>A439</x:f>
        <x:v>46419</x:v>
      </x:c>
      <x:c r="E565" s="8" t="n">
        <x:f>L439</x:f>
        <x:v>0</x:v>
      </x:c>
      <x:c r="F565" s="8" t="n">
        <x:f>M439</x:f>
        <x:v>0</x:v>
      </x:c>
      <x:c r="G565" s="8" t="n">
        <x:f>N439</x:f>
        <x:v>0</x:v>
      </x:c>
      <x:c r="H565" s="8" t="n">
        <x:f>SUMIFS('PO detail'!$U$2:$U$672,'PO detail'!$A$2:$A$672,B565,'PO detail'!$B$2:$B$672,C565,'PO detail'!$G$2:$G$672,"&gt;="&amp;D565,'PO detail'!$G$2:$G$672,"&lt;"&amp;A565)</x:f>
        <x:v>0</x:v>
      </x:c>
      <x:c r="I565" s="8" t="n">
        <x:f>SUMIFS('PO detail'!$V$2:$V$672,'PO detail'!$A$2:$A$672,B565,'PO detail'!$B$2:$B$672,C565,'PO detail'!$G$2:$G$672,"&gt;="&amp;D565,'PO detail'!$G$2:$G$672,"&lt;"&amp;A565)</x:f>
        <x:v>0</x:v>
      </x:c>
      <x:c r="J565" s="8" t="n">
        <x:f>SUMIFS('PO detail'!$W$2:$W$672,'PO detail'!$A$2:$A$672,B565,'PO detail'!$B$2:$B$672,C565,'PO detail'!$G$2:$G$672,"&gt;="&amp;D565,'PO detail'!$G$2:$G$672,"&lt;"&amp;A565)</x:f>
        <x:v>0</x:v>
      </x:c>
      <x:c r="K565" s="8" t="n">
        <x:f>'Current inventory'!E61*Summary!$D$6*(A565-D565)/30.4375</x:f>
        <x:v>0</x:v>
      </x:c>
      <x:c r="L565" s="8" t="n">
        <x:f>MAX(0,E565+H565-K565)</x:f>
        <x:v>0</x:v>
      </x:c>
      <x:c r="M565" s="8" t="n">
        <x:f>MAX(0,F565+I565-MAX(0,K565-E565-H565))</x:f>
        <x:v>0</x:v>
      </x:c>
      <x:c r="N565" s="8" t="n">
        <x:f>MAX(0,G565+J565-K565)</x:f>
        <x:v>0</x:v>
      </x:c>
      <x:c r="O565" s="8" t="n">
        <x:f>SUM(L565:N565)</x:f>
        <x:v>0</x:v>
      </x:c>
      <x:c r="P565" s="14" t="n">
        <x:f>'Current inventory'!V61</x:f>
        <x:v>0.1797</x:v>
      </x:c>
      <x:c r="Q565" s="14" t="str">
        <x:f>'Current inventory'!W61</x:f>
        <x:v>n.a.</x:v>
      </x:c>
      <x:c r="R565" s="10" t="n">
        <x:f>L565*P565</x:f>
        <x:v>0</x:v>
      </x:c>
      <x:c r="S565" s="10" t="n">
        <x:f>M565*P565</x:f>
        <x:v>0</x:v>
      </x:c>
      <x:c r="T565" s="10" t="n">
        <x:f>N565*P565</x:f>
        <x:v>0</x:v>
      </x:c>
      <x:c r="U565" s="10" t="n">
        <x:f>O565*P565</x:f>
        <x:v>0</x:v>
      </x:c>
      <x:c r="V565" s="10" t="str">
        <x:f>IF(ISNUMBER(Q565),O565*(Q565-P565),"n.a.")</x:f>
        <x:v>n.a.</x:v>
      </x:c>
      <x:c r="W565" s="10" t="n">
        <x:f>IF(ISNUMBER(Q565),U565,0)</x:f>
        <x:v>0</x:v>
      </x:c>
      <x:c r="X565" s="8" t="n">
        <x:f>MAX(0,K565-SUM(E565:J565))</x:f>
        <x:v>0</x:v>
      </x:c>
      <x:c r="Y565" s="1" t="str">
        <x:f>IF(AND(O565&gt;0,NOT(ISNUMBER(Q565))),"No proposed replacement standard",IF(X565&gt;0,"Demand exceeds available stock",""))</x:f>
      </x:c>
      <x:c r="Z565" s="1" t="n">
        <x:f>IF(ISNUMBER(Q565),1,0)</x:f>
        <x:v>0</x:v>
      </x:c>
    </x:row>
    <x:row r="566" ht="21" customHeight="1">
      <x:c r="A566" s="17" t="n">
        <x:f>Summary!B19</x:f>
        <x:v>46447</x:v>
      </x:c>
      <x:c r="B566" s="1" t="str">
        <x:f>'Current inventory'!A62</x:f>
        <x:v>10</x:v>
      </x:c>
      <x:c r="C566" s="1" t="str">
        <x:f>'Current inventory'!B62</x:f>
        <x:v>800BLKF</x:v>
      </x:c>
      <x:c r="D566" s="7" t="n">
        <x:f>A440</x:f>
        <x:v>46419</x:v>
      </x:c>
      <x:c r="E566" s="8" t="n">
        <x:f>L440</x:f>
        <x:v>0</x:v>
      </x:c>
      <x:c r="F566" s="8" t="n">
        <x:f>M440</x:f>
        <x:v>0</x:v>
      </x:c>
      <x:c r="G566" s="8" t="n">
        <x:f>N440</x:f>
        <x:v>0</x:v>
      </x:c>
      <x:c r="H566" s="8" t="n">
        <x:f>SUMIFS('PO detail'!$U$2:$U$672,'PO detail'!$A$2:$A$672,B566,'PO detail'!$B$2:$B$672,C566,'PO detail'!$G$2:$G$672,"&gt;="&amp;D566,'PO detail'!$G$2:$G$672,"&lt;"&amp;A566)</x:f>
        <x:v>0</x:v>
      </x:c>
      <x:c r="I566" s="8" t="n">
        <x:f>SUMIFS('PO detail'!$V$2:$V$672,'PO detail'!$A$2:$A$672,B566,'PO detail'!$B$2:$B$672,C566,'PO detail'!$G$2:$G$672,"&gt;="&amp;D566,'PO detail'!$G$2:$G$672,"&lt;"&amp;A566)</x:f>
        <x:v>0</x:v>
      </x:c>
      <x:c r="J566" s="8" t="n">
        <x:f>SUMIFS('PO detail'!$W$2:$W$672,'PO detail'!$A$2:$A$672,B566,'PO detail'!$B$2:$B$672,C566,'PO detail'!$G$2:$G$672,"&gt;="&amp;D566,'PO detail'!$G$2:$G$672,"&lt;"&amp;A566)</x:f>
        <x:v>0</x:v>
      </x:c>
      <x:c r="K566" s="8" t="n">
        <x:f>'Current inventory'!E62*Summary!$D$6*(A566-D566)/30.4375</x:f>
        <x:v>0</x:v>
      </x:c>
      <x:c r="L566" s="8" t="n">
        <x:f>MAX(0,E566+H566-K566)</x:f>
        <x:v>0</x:v>
      </x:c>
      <x:c r="M566" s="8" t="n">
        <x:f>MAX(0,F566+I566-MAX(0,K566-E566-H566))</x:f>
        <x:v>0</x:v>
      </x:c>
      <x:c r="N566" s="8" t="n">
        <x:f>MAX(0,G566+J566-K566)</x:f>
        <x:v>0</x:v>
      </x:c>
      <x:c r="O566" s="8" t="n">
        <x:f>SUM(L566:N566)</x:f>
        <x:v>0</x:v>
      </x:c>
      <x:c r="P566" s="14" t="n">
        <x:f>'Current inventory'!V62</x:f>
        <x:v>7.03</x:v>
      </x:c>
      <x:c r="Q566" s="14" t="str">
        <x:f>'Current inventory'!W62</x:f>
        <x:v>n.a.</x:v>
      </x:c>
      <x:c r="R566" s="10" t="n">
        <x:f>L566*P566</x:f>
        <x:v>0</x:v>
      </x:c>
      <x:c r="S566" s="10" t="n">
        <x:f>M566*P566</x:f>
        <x:v>0</x:v>
      </x:c>
      <x:c r="T566" s="10" t="n">
        <x:f>N566*P566</x:f>
        <x:v>0</x:v>
      </x:c>
      <x:c r="U566" s="10" t="n">
        <x:f>O566*P566</x:f>
        <x:v>0</x:v>
      </x:c>
      <x:c r="V566" s="10" t="str">
        <x:f>IF(ISNUMBER(Q566),O566*(Q566-P566),"n.a.")</x:f>
        <x:v>n.a.</x:v>
      </x:c>
      <x:c r="W566" s="10" t="n">
        <x:f>IF(ISNUMBER(Q566),U566,0)</x:f>
        <x:v>0</x:v>
      </x:c>
      <x:c r="X566" s="8" t="n">
        <x:f>MAX(0,K566-SUM(E566:J566))</x:f>
        <x:v>0</x:v>
      </x:c>
      <x:c r="Y566" s="1" t="str">
        <x:f>IF(AND(O566&gt;0,NOT(ISNUMBER(Q566))),"No proposed replacement standard",IF(X566&gt;0,"Demand exceeds available stock",""))</x:f>
      </x:c>
      <x:c r="Z566" s="1" t="n">
        <x:f>IF(ISNUMBER(Q566),1,0)</x:f>
        <x:v>0</x:v>
      </x:c>
    </x:row>
    <x:row r="567" ht="21" customHeight="1">
      <x:c r="A567" s="17" t="n">
        <x:f>Summary!B19</x:f>
        <x:v>46447</x:v>
      </x:c>
      <x:c r="B567" s="1" t="str">
        <x:f>'Current inventory'!A63</x:f>
        <x:v>10</x:v>
      </x:c>
      <x:c r="C567" s="1" t="str">
        <x:f>'Current inventory'!B63</x:f>
        <x:v>800BWHTASC</x:v>
      </x:c>
      <x:c r="D567" s="7" t="n">
        <x:f>A441</x:f>
        <x:v>46419</x:v>
      </x:c>
      <x:c r="E567" s="8" t="n">
        <x:f>L441</x:f>
        <x:v>0</x:v>
      </x:c>
      <x:c r="F567" s="8" t="n">
        <x:f>M441</x:f>
        <x:v>0</x:v>
      </x:c>
      <x:c r="G567" s="8" t="n">
        <x:f>N441</x:f>
        <x:v>0</x:v>
      </x:c>
      <x:c r="H567" s="8" t="n">
        <x:f>SUMIFS('PO detail'!$U$2:$U$672,'PO detail'!$A$2:$A$672,B567,'PO detail'!$B$2:$B$672,C567,'PO detail'!$G$2:$G$672,"&gt;="&amp;D567,'PO detail'!$G$2:$G$672,"&lt;"&amp;A567)</x:f>
        <x:v>0</x:v>
      </x:c>
      <x:c r="I567" s="8" t="n">
        <x:f>SUMIFS('PO detail'!$V$2:$V$672,'PO detail'!$A$2:$A$672,B567,'PO detail'!$B$2:$B$672,C567,'PO detail'!$G$2:$G$672,"&gt;="&amp;D567,'PO detail'!$G$2:$G$672,"&lt;"&amp;A567)</x:f>
        <x:v>0</x:v>
      </x:c>
      <x:c r="J567" s="8" t="n">
        <x:f>SUMIFS('PO detail'!$W$2:$W$672,'PO detail'!$A$2:$A$672,B567,'PO detail'!$B$2:$B$672,C567,'PO detail'!$G$2:$G$672,"&gt;="&amp;D567,'PO detail'!$G$2:$G$672,"&lt;"&amp;A567)</x:f>
        <x:v>0</x:v>
      </x:c>
      <x:c r="K567" s="8" t="n">
        <x:f>'Current inventory'!E63*Summary!$D$6*(A567-D567)/30.4375</x:f>
        <x:v>0</x:v>
      </x:c>
      <x:c r="L567" s="8" t="n">
        <x:f>MAX(0,E567+H567-K567)</x:f>
        <x:v>0</x:v>
      </x:c>
      <x:c r="M567" s="8" t="n">
        <x:f>MAX(0,F567+I567-MAX(0,K567-E567-H567))</x:f>
        <x:v>0</x:v>
      </x:c>
      <x:c r="N567" s="8" t="n">
        <x:f>MAX(0,G567+J567-K567)</x:f>
        <x:v>0</x:v>
      </x:c>
      <x:c r="O567" s="8" t="n">
        <x:f>SUM(L567:N567)</x:f>
        <x:v>0</x:v>
      </x:c>
      <x:c r="P567" s="14" t="n">
        <x:f>'Current inventory'!V63</x:f>
        <x:v>0.1456</x:v>
      </x:c>
      <x:c r="Q567" s="14" t="str">
        <x:f>'Current inventory'!W63</x:f>
        <x:v>n.a.</x:v>
      </x:c>
      <x:c r="R567" s="10" t="n">
        <x:f>L567*P567</x:f>
        <x:v>0</x:v>
      </x:c>
      <x:c r="S567" s="10" t="n">
        <x:f>M567*P567</x:f>
        <x:v>0</x:v>
      </x:c>
      <x:c r="T567" s="10" t="n">
        <x:f>N567*P567</x:f>
        <x:v>0</x:v>
      </x:c>
      <x:c r="U567" s="10" t="n">
        <x:f>O567*P567</x:f>
        <x:v>0</x:v>
      </x:c>
      <x:c r="V567" s="10" t="str">
        <x:f>IF(ISNUMBER(Q567),O567*(Q567-P567),"n.a.")</x:f>
        <x:v>n.a.</x:v>
      </x:c>
      <x:c r="W567" s="10" t="n">
        <x:f>IF(ISNUMBER(Q567),U567,0)</x:f>
        <x:v>0</x:v>
      </x:c>
      <x:c r="X567" s="8" t="n">
        <x:f>MAX(0,K567-SUM(E567:J567))</x:f>
        <x:v>0</x:v>
      </x:c>
      <x:c r="Y567" s="1" t="str">
        <x:f>IF(AND(O567&gt;0,NOT(ISNUMBER(Q567))),"No proposed replacement standard",IF(X567&gt;0,"Demand exceeds available stock",""))</x:f>
      </x:c>
      <x:c r="Z567" s="1" t="n">
        <x:f>IF(ISNUMBER(Q567),1,0)</x:f>
        <x:v>0</x:v>
      </x:c>
    </x:row>
    <x:row r="568" ht="21" customHeight="1">
      <x:c r="A568" s="17" t="n">
        <x:f>Summary!B19</x:f>
        <x:v>46447</x:v>
      </x:c>
      <x:c r="B568" s="1" t="str">
        <x:f>'Current inventory'!A64</x:f>
        <x:v>10</x:v>
      </x:c>
      <x:c r="C568" s="1" t="str">
        <x:f>'Current inventory'!B64</x:f>
        <x:v>800BWHTBRC</x:v>
      </x:c>
      <x:c r="D568" s="7" t="n">
        <x:f>A442</x:f>
        <x:v>46419</x:v>
      </x:c>
      <x:c r="E568" s="8" t="n">
        <x:f>L442</x:f>
        <x:v>0</x:v>
      </x:c>
      <x:c r="F568" s="8" t="n">
        <x:f>M442</x:f>
        <x:v>0</x:v>
      </x:c>
      <x:c r="G568" s="8" t="n">
        <x:f>N442</x:f>
        <x:v>0</x:v>
      </x:c>
      <x:c r="H568" s="8" t="n">
        <x:f>SUMIFS('PO detail'!$U$2:$U$672,'PO detail'!$A$2:$A$672,B568,'PO detail'!$B$2:$B$672,C568,'PO detail'!$G$2:$G$672,"&gt;="&amp;D568,'PO detail'!$G$2:$G$672,"&lt;"&amp;A568)</x:f>
        <x:v>0</x:v>
      </x:c>
      <x:c r="I568" s="8" t="n">
        <x:f>SUMIFS('PO detail'!$V$2:$V$672,'PO detail'!$A$2:$A$672,B568,'PO detail'!$B$2:$B$672,C568,'PO detail'!$G$2:$G$672,"&gt;="&amp;D568,'PO detail'!$G$2:$G$672,"&lt;"&amp;A568)</x:f>
        <x:v>0</x:v>
      </x:c>
      <x:c r="J568" s="8" t="n">
        <x:f>SUMIFS('PO detail'!$W$2:$W$672,'PO detail'!$A$2:$A$672,B568,'PO detail'!$B$2:$B$672,C568,'PO detail'!$G$2:$G$672,"&gt;="&amp;D568,'PO detail'!$G$2:$G$672,"&lt;"&amp;A568)</x:f>
        <x:v>0</x:v>
      </x:c>
      <x:c r="K568" s="8" t="n">
        <x:f>'Current inventory'!E64*Summary!$D$6*(A568-D568)/30.4375</x:f>
        <x:v>0</x:v>
      </x:c>
      <x:c r="L568" s="8" t="n">
        <x:f>MAX(0,E568+H568-K568)</x:f>
        <x:v>0</x:v>
      </x:c>
      <x:c r="M568" s="8" t="n">
        <x:f>MAX(0,F568+I568-MAX(0,K568-E568-H568))</x:f>
        <x:v>0</x:v>
      </x:c>
      <x:c r="N568" s="8" t="n">
        <x:f>MAX(0,G568+J568-K568)</x:f>
        <x:v>0</x:v>
      </x:c>
      <x:c r="O568" s="8" t="n">
        <x:f>SUM(L568:N568)</x:f>
        <x:v>0</x:v>
      </x:c>
      <x:c r="P568" s="14" t="n">
        <x:f>'Current inventory'!V64</x:f>
        <x:v>0.18469999999999998</x:v>
      </x:c>
      <x:c r="Q568" s="14" t="str">
        <x:f>'Current inventory'!W64</x:f>
        <x:v>n.a.</x:v>
      </x:c>
      <x:c r="R568" s="10" t="n">
        <x:f>L568*P568</x:f>
        <x:v>0</x:v>
      </x:c>
      <x:c r="S568" s="10" t="n">
        <x:f>M568*P568</x:f>
        <x:v>0</x:v>
      </x:c>
      <x:c r="T568" s="10" t="n">
        <x:f>N568*P568</x:f>
        <x:v>0</x:v>
      </x:c>
      <x:c r="U568" s="10" t="n">
        <x:f>O568*P568</x:f>
        <x:v>0</x:v>
      </x:c>
      <x:c r="V568" s="10" t="str">
        <x:f>IF(ISNUMBER(Q568),O568*(Q568-P568),"n.a.")</x:f>
        <x:v>n.a.</x:v>
      </x:c>
      <x:c r="W568" s="10" t="n">
        <x:f>IF(ISNUMBER(Q568),U568,0)</x:f>
        <x:v>0</x:v>
      </x:c>
      <x:c r="X568" s="8" t="n">
        <x:f>MAX(0,K568-SUM(E568:J568))</x:f>
        <x:v>0</x:v>
      </x:c>
      <x:c r="Y568" s="1" t="str">
        <x:f>IF(AND(O568&gt;0,NOT(ISNUMBER(Q568))),"No proposed replacement standard",IF(X568&gt;0,"Demand exceeds available stock",""))</x:f>
      </x:c>
      <x:c r="Z568" s="1" t="n">
        <x:f>IF(ISNUMBER(Q568),1,0)</x:f>
        <x:v>0</x:v>
      </x:c>
    </x:row>
    <x:row r="569" ht="21" customHeight="1">
      <x:c r="A569" s="17" t="n">
        <x:f>Summary!B19</x:f>
        <x:v>46447</x:v>
      </x:c>
      <x:c r="B569" s="1" t="str">
        <x:f>'Current inventory'!A65</x:f>
        <x:v>10</x:v>
      </x:c>
      <x:c r="C569" s="1" t="str">
        <x:f>'Current inventory'!B65</x:f>
        <x:v>800BWHTCSC</x:v>
      </x:c>
      <x:c r="D569" s="7" t="n">
        <x:f>A443</x:f>
        <x:v>46419</x:v>
      </x:c>
      <x:c r="E569" s="8" t="n">
        <x:f>L443</x:f>
        <x:v>0</x:v>
      </x:c>
      <x:c r="F569" s="8" t="n">
        <x:f>M443</x:f>
        <x:v>0</x:v>
      </x:c>
      <x:c r="G569" s="8" t="n">
        <x:f>N443</x:f>
        <x:v>0</x:v>
      </x:c>
      <x:c r="H569" s="8" t="n">
        <x:f>SUMIFS('PO detail'!$U$2:$U$672,'PO detail'!$A$2:$A$672,B569,'PO detail'!$B$2:$B$672,C569,'PO detail'!$G$2:$G$672,"&gt;="&amp;D569,'PO detail'!$G$2:$G$672,"&lt;"&amp;A569)</x:f>
        <x:v>0</x:v>
      </x:c>
      <x:c r="I569" s="8" t="n">
        <x:f>SUMIFS('PO detail'!$V$2:$V$672,'PO detail'!$A$2:$A$672,B569,'PO detail'!$B$2:$B$672,C569,'PO detail'!$G$2:$G$672,"&gt;="&amp;D569,'PO detail'!$G$2:$G$672,"&lt;"&amp;A569)</x:f>
        <x:v>0</x:v>
      </x:c>
      <x:c r="J569" s="8" t="n">
        <x:f>SUMIFS('PO detail'!$W$2:$W$672,'PO detail'!$A$2:$A$672,B569,'PO detail'!$B$2:$B$672,C569,'PO detail'!$G$2:$G$672,"&gt;="&amp;D569,'PO detail'!$G$2:$G$672,"&lt;"&amp;A569)</x:f>
        <x:v>0</x:v>
      </x:c>
      <x:c r="K569" s="8" t="n">
        <x:f>'Current inventory'!E65*Summary!$D$6*(A569-D569)/30.4375</x:f>
        <x:v>0</x:v>
      </x:c>
      <x:c r="L569" s="8" t="n">
        <x:f>MAX(0,E569+H569-K569)</x:f>
        <x:v>0</x:v>
      </x:c>
      <x:c r="M569" s="8" t="n">
        <x:f>MAX(0,F569+I569-MAX(0,K569-E569-H569))</x:f>
        <x:v>0</x:v>
      </x:c>
      <x:c r="N569" s="8" t="n">
        <x:f>MAX(0,G569+J569-K569)</x:f>
        <x:v>0</x:v>
      </x:c>
      <x:c r="O569" s="8" t="n">
        <x:f>SUM(L569:N569)</x:f>
        <x:v>0</x:v>
      </x:c>
      <x:c r="P569" s="14" t="n">
        <x:f>'Current inventory'!V65</x:f>
        <x:v>0.21559999999999999</x:v>
      </x:c>
      <x:c r="Q569" s="14" t="str">
        <x:f>'Current inventory'!W65</x:f>
        <x:v>n.a.</x:v>
      </x:c>
      <x:c r="R569" s="10" t="n">
        <x:f>L569*P569</x:f>
        <x:v>0</x:v>
      </x:c>
      <x:c r="S569" s="10" t="n">
        <x:f>M569*P569</x:f>
        <x:v>0</x:v>
      </x:c>
      <x:c r="T569" s="10" t="n">
        <x:f>N569*P569</x:f>
        <x:v>0</x:v>
      </x:c>
      <x:c r="U569" s="10" t="n">
        <x:f>O569*P569</x:f>
        <x:v>0</x:v>
      </x:c>
      <x:c r="V569" s="10" t="str">
        <x:f>IF(ISNUMBER(Q569),O569*(Q569-P569),"n.a.")</x:f>
        <x:v>n.a.</x:v>
      </x:c>
      <x:c r="W569" s="10" t="n">
        <x:f>IF(ISNUMBER(Q569),U569,0)</x:f>
        <x:v>0</x:v>
      </x:c>
      <x:c r="X569" s="8" t="n">
        <x:f>MAX(0,K569-SUM(E569:J569))</x:f>
        <x:v>0</x:v>
      </x:c>
      <x:c r="Y569" s="1" t="str">
        <x:f>IF(AND(O569&gt;0,NOT(ISNUMBER(Q569))),"No proposed replacement standard",IF(X569&gt;0,"Demand exceeds available stock",""))</x:f>
      </x:c>
      <x:c r="Z569" s="1" t="n">
        <x:f>IF(ISNUMBER(Q569),1,0)</x:f>
        <x:v>0</x:v>
      </x:c>
    </x:row>
    <x:row r="570" ht="21" customHeight="1">
      <x:c r="A570" s="17" t="n">
        <x:f>Summary!B19</x:f>
        <x:v>46447</x:v>
      </x:c>
      <x:c r="B570" s="1" t="str">
        <x:f>'Current inventory'!A66</x:f>
        <x:v>10</x:v>
      </x:c>
      <x:c r="C570" s="1" t="str">
        <x:f>'Current inventory'!B66</x:f>
        <x:v>800BWHTDSC</x:v>
      </x:c>
      <x:c r="D570" s="7" t="n">
        <x:f>A444</x:f>
        <x:v>46419</x:v>
      </x:c>
      <x:c r="E570" s="8" t="n">
        <x:f>L444</x:f>
        <x:v>0</x:v>
      </x:c>
      <x:c r="F570" s="8" t="n">
        <x:f>M444</x:f>
        <x:v>0</x:v>
      </x:c>
      <x:c r="G570" s="8" t="n">
        <x:f>N444</x:f>
        <x:v>0</x:v>
      </x:c>
      <x:c r="H570" s="8" t="n">
        <x:f>SUMIFS('PO detail'!$U$2:$U$672,'PO detail'!$A$2:$A$672,B570,'PO detail'!$B$2:$B$672,C570,'PO detail'!$G$2:$G$672,"&gt;="&amp;D570,'PO detail'!$G$2:$G$672,"&lt;"&amp;A570)</x:f>
        <x:v>0</x:v>
      </x:c>
      <x:c r="I570" s="8" t="n">
        <x:f>SUMIFS('PO detail'!$V$2:$V$672,'PO detail'!$A$2:$A$672,B570,'PO detail'!$B$2:$B$672,C570,'PO detail'!$G$2:$G$672,"&gt;="&amp;D570,'PO detail'!$G$2:$G$672,"&lt;"&amp;A570)</x:f>
        <x:v>0</x:v>
      </x:c>
      <x:c r="J570" s="8" t="n">
        <x:f>SUMIFS('PO detail'!$W$2:$W$672,'PO detail'!$A$2:$A$672,B570,'PO detail'!$B$2:$B$672,C570,'PO detail'!$G$2:$G$672,"&gt;="&amp;D570,'PO detail'!$G$2:$G$672,"&lt;"&amp;A570)</x:f>
        <x:v>0</x:v>
      </x:c>
      <x:c r="K570" s="8" t="n">
        <x:f>'Current inventory'!E66*Summary!$D$6*(A570-D570)/30.4375</x:f>
        <x:v>0</x:v>
      </x:c>
      <x:c r="L570" s="8" t="n">
        <x:f>MAX(0,E570+H570-K570)</x:f>
        <x:v>0</x:v>
      </x:c>
      <x:c r="M570" s="8" t="n">
        <x:f>MAX(0,F570+I570-MAX(0,K570-E570-H570))</x:f>
        <x:v>0</x:v>
      </x:c>
      <x:c r="N570" s="8" t="n">
        <x:f>MAX(0,G570+J570-K570)</x:f>
        <x:v>0</x:v>
      </x:c>
      <x:c r="O570" s="8" t="n">
        <x:f>SUM(L570:N570)</x:f>
        <x:v>0</x:v>
      </x:c>
      <x:c r="P570" s="14" t="n">
        <x:f>'Current inventory'!V66</x:f>
        <x:v>0.38</x:v>
      </x:c>
      <x:c r="Q570" s="14" t="str">
        <x:f>'Current inventory'!W66</x:f>
        <x:v>n.a.</x:v>
      </x:c>
      <x:c r="R570" s="10" t="n">
        <x:f>L570*P570</x:f>
        <x:v>0</x:v>
      </x:c>
      <x:c r="S570" s="10" t="n">
        <x:f>M570*P570</x:f>
        <x:v>0</x:v>
      </x:c>
      <x:c r="T570" s="10" t="n">
        <x:f>N570*P570</x:f>
        <x:v>0</x:v>
      </x:c>
      <x:c r="U570" s="10" t="n">
        <x:f>O570*P570</x:f>
        <x:v>0</x:v>
      </x:c>
      <x:c r="V570" s="10" t="str">
        <x:f>IF(ISNUMBER(Q570),O570*(Q570-P570),"n.a.")</x:f>
        <x:v>n.a.</x:v>
      </x:c>
      <x:c r="W570" s="10" t="n">
        <x:f>IF(ISNUMBER(Q570),U570,0)</x:f>
        <x:v>0</x:v>
      </x:c>
      <x:c r="X570" s="8" t="n">
        <x:f>MAX(0,K570-SUM(E570:J570))</x:f>
        <x:v>0</x:v>
      </x:c>
      <x:c r="Y570" s="1" t="str">
        <x:f>IF(AND(O570&gt;0,NOT(ISNUMBER(Q570))),"No proposed replacement standard",IF(X570&gt;0,"Demand exceeds available stock",""))</x:f>
      </x:c>
      <x:c r="Z570" s="1" t="n">
        <x:f>IF(ISNUMBER(Q570),1,0)</x:f>
        <x:v>0</x:v>
      </x:c>
    </x:row>
    <x:row r="571" ht="21" customHeight="1">
      <x:c r="A571" s="17" t="n">
        <x:f>Summary!B19</x:f>
        <x:v>46447</x:v>
      </x:c>
      <x:c r="B571" s="1" t="str">
        <x:f>'Current inventory'!A67</x:f>
        <x:v>10</x:v>
      </x:c>
      <x:c r="C571" s="1" t="str">
        <x:f>'Current inventory'!B67</x:f>
        <x:v>800BWHTISC</x:v>
      </x:c>
      <x:c r="D571" s="7" t="n">
        <x:f>A445</x:f>
        <x:v>46419</x:v>
      </x:c>
      <x:c r="E571" s="8" t="n">
        <x:f>L445</x:f>
        <x:v>0</x:v>
      </x:c>
      <x:c r="F571" s="8" t="n">
        <x:f>M445</x:f>
        <x:v>0</x:v>
      </x:c>
      <x:c r="G571" s="8" t="n">
        <x:f>N445</x:f>
        <x:v>0</x:v>
      </x:c>
      <x:c r="H571" s="8" t="n">
        <x:f>SUMIFS('PO detail'!$U$2:$U$672,'PO detail'!$A$2:$A$672,B571,'PO detail'!$B$2:$B$672,C571,'PO detail'!$G$2:$G$672,"&gt;="&amp;D571,'PO detail'!$G$2:$G$672,"&lt;"&amp;A571)</x:f>
        <x:v>0</x:v>
      </x:c>
      <x:c r="I571" s="8" t="n">
        <x:f>SUMIFS('PO detail'!$V$2:$V$672,'PO detail'!$A$2:$A$672,B571,'PO detail'!$B$2:$B$672,C571,'PO detail'!$G$2:$G$672,"&gt;="&amp;D571,'PO detail'!$G$2:$G$672,"&lt;"&amp;A571)</x:f>
        <x:v>0</x:v>
      </x:c>
      <x:c r="J571" s="8" t="n">
        <x:f>SUMIFS('PO detail'!$W$2:$W$672,'PO detail'!$A$2:$A$672,B571,'PO detail'!$B$2:$B$672,C571,'PO detail'!$G$2:$G$672,"&gt;="&amp;D571,'PO detail'!$G$2:$G$672,"&lt;"&amp;A571)</x:f>
        <x:v>0</x:v>
      </x:c>
      <x:c r="K571" s="8" t="n">
        <x:f>'Current inventory'!E67*Summary!$D$6*(A571-D571)/30.4375</x:f>
        <x:v>0</x:v>
      </x:c>
      <x:c r="L571" s="8" t="n">
        <x:f>MAX(0,E571+H571-K571)</x:f>
        <x:v>0</x:v>
      </x:c>
      <x:c r="M571" s="8" t="n">
        <x:f>MAX(0,F571+I571-MAX(0,K571-E571-H571))</x:f>
        <x:v>0</x:v>
      </x:c>
      <x:c r="N571" s="8" t="n">
        <x:f>MAX(0,G571+J571-K571)</x:f>
        <x:v>0</x:v>
      </x:c>
      <x:c r="O571" s="8" t="n">
        <x:f>SUM(L571:N571)</x:f>
        <x:v>0</x:v>
      </x:c>
      <x:c r="P571" s="14" t="n">
        <x:f>'Current inventory'!V67</x:f>
        <x:v>0.1797</x:v>
      </x:c>
      <x:c r="Q571" s="14" t="str">
        <x:f>'Current inventory'!W67</x:f>
        <x:v>n.a.</x:v>
      </x:c>
      <x:c r="R571" s="10" t="n">
        <x:f>L571*P571</x:f>
        <x:v>0</x:v>
      </x:c>
      <x:c r="S571" s="10" t="n">
        <x:f>M571*P571</x:f>
        <x:v>0</x:v>
      </x:c>
      <x:c r="T571" s="10" t="n">
        <x:f>N571*P571</x:f>
        <x:v>0</x:v>
      </x:c>
      <x:c r="U571" s="10" t="n">
        <x:f>O571*P571</x:f>
        <x:v>0</x:v>
      </x:c>
      <x:c r="V571" s="10" t="str">
        <x:f>IF(ISNUMBER(Q571),O571*(Q571-P571),"n.a.")</x:f>
        <x:v>n.a.</x:v>
      </x:c>
      <x:c r="W571" s="10" t="n">
        <x:f>IF(ISNUMBER(Q571),U571,0)</x:f>
        <x:v>0</x:v>
      </x:c>
      <x:c r="X571" s="8" t="n">
        <x:f>MAX(0,K571-SUM(E571:J571))</x:f>
        <x:v>0</x:v>
      </x:c>
      <x:c r="Y571" s="1" t="str">
        <x:f>IF(AND(O571&gt;0,NOT(ISNUMBER(Q571))),"No proposed replacement standard",IF(X571&gt;0,"Demand exceeds available stock",""))</x:f>
      </x:c>
      <x:c r="Z571" s="1" t="n">
        <x:f>IF(ISNUMBER(Q571),1,0)</x:f>
        <x:v>0</x:v>
      </x:c>
    </x:row>
    <x:row r="572" ht="21" customHeight="1">
      <x:c r="A572" s="17" t="n">
        <x:f>Summary!B19</x:f>
        <x:v>46447</x:v>
      </x:c>
      <x:c r="B572" s="1" t="str">
        <x:f>'Current inventory'!A68</x:f>
        <x:v>10</x:v>
      </x:c>
      <x:c r="C572" s="1" t="str">
        <x:f>'Current inventory'!B68</x:f>
        <x:v>800FGE</x:v>
      </x:c>
      <x:c r="D572" s="7" t="n">
        <x:f>A446</x:f>
        <x:v>46419</x:v>
      </x:c>
      <x:c r="E572" s="8" t="n">
        <x:f>L446</x:f>
        <x:v>0</x:v>
      </x:c>
      <x:c r="F572" s="8" t="n">
        <x:f>M446</x:f>
        <x:v>0</x:v>
      </x:c>
      <x:c r="G572" s="8" t="n">
        <x:f>N446</x:f>
        <x:v>0</x:v>
      </x:c>
      <x:c r="H572" s="8" t="n">
        <x:f>SUMIFS('PO detail'!$U$2:$U$672,'PO detail'!$A$2:$A$672,B572,'PO detail'!$B$2:$B$672,C572,'PO detail'!$G$2:$G$672,"&gt;="&amp;D572,'PO detail'!$G$2:$G$672,"&lt;"&amp;A572)</x:f>
        <x:v>0</x:v>
      </x:c>
      <x:c r="I572" s="8" t="n">
        <x:f>SUMIFS('PO detail'!$V$2:$V$672,'PO detail'!$A$2:$A$672,B572,'PO detail'!$B$2:$B$672,C572,'PO detail'!$G$2:$G$672,"&gt;="&amp;D572,'PO detail'!$G$2:$G$672,"&lt;"&amp;A572)</x:f>
        <x:v>0</x:v>
      </x:c>
      <x:c r="J572" s="8" t="n">
        <x:f>SUMIFS('PO detail'!$W$2:$W$672,'PO detail'!$A$2:$A$672,B572,'PO detail'!$B$2:$B$672,C572,'PO detail'!$G$2:$G$672,"&gt;="&amp;D572,'PO detail'!$G$2:$G$672,"&lt;"&amp;A572)</x:f>
        <x:v>0</x:v>
      </x:c>
      <x:c r="K572" s="8" t="n">
        <x:f>'Current inventory'!E68*Summary!$D$6*(A572-D572)/30.4375</x:f>
        <x:v>0</x:v>
      </x:c>
      <x:c r="L572" s="8" t="n">
        <x:f>MAX(0,E572+H572-K572)</x:f>
        <x:v>0</x:v>
      </x:c>
      <x:c r="M572" s="8" t="n">
        <x:f>MAX(0,F572+I572-MAX(0,K572-E572-H572))</x:f>
        <x:v>0</x:v>
      </x:c>
      <x:c r="N572" s="8" t="n">
        <x:f>MAX(0,G572+J572-K572)</x:f>
        <x:v>0</x:v>
      </x:c>
      <x:c r="O572" s="8" t="n">
        <x:f>SUM(L572:N572)</x:f>
        <x:v>0</x:v>
      </x:c>
      <x:c r="P572" s="14" t="n">
        <x:f>'Current inventory'!V68</x:f>
        <x:v>10.78</x:v>
      </x:c>
      <x:c r="Q572" s="14" t="str">
        <x:f>'Current inventory'!W68</x:f>
        <x:v>n.a.</x:v>
      </x:c>
      <x:c r="R572" s="10" t="n">
        <x:f>L572*P572</x:f>
        <x:v>0</x:v>
      </x:c>
      <x:c r="S572" s="10" t="n">
        <x:f>M572*P572</x:f>
        <x:v>0</x:v>
      </x:c>
      <x:c r="T572" s="10" t="n">
        <x:f>N572*P572</x:f>
        <x:v>0</x:v>
      </x:c>
      <x:c r="U572" s="10" t="n">
        <x:f>O572*P572</x:f>
        <x:v>0</x:v>
      </x:c>
      <x:c r="V572" s="10" t="str">
        <x:f>IF(ISNUMBER(Q572),O572*(Q572-P572),"n.a.")</x:f>
        <x:v>n.a.</x:v>
      </x:c>
      <x:c r="W572" s="10" t="n">
        <x:f>IF(ISNUMBER(Q572),U572,0)</x:f>
        <x:v>0</x:v>
      </x:c>
      <x:c r="X572" s="8" t="n">
        <x:f>MAX(0,K572-SUM(E572:J572))</x:f>
        <x:v>0</x:v>
      </x:c>
      <x:c r="Y572" s="1" t="str">
        <x:f>IF(AND(O572&gt;0,NOT(ISNUMBER(Q572))),"No proposed replacement standard",IF(X572&gt;0,"Demand exceeds available stock",""))</x:f>
      </x:c>
      <x:c r="Z572" s="1" t="n">
        <x:f>IF(ISNUMBER(Q572),1,0)</x:f>
        <x:v>0</x:v>
      </x:c>
    </x:row>
    <x:row r="573" ht="21" customHeight="1">
      <x:c r="A573" s="17" t="n">
        <x:f>Summary!B19</x:f>
        <x:v>46447</x:v>
      </x:c>
      <x:c r="B573" s="1" t="str">
        <x:f>'Current inventory'!A69</x:f>
        <x:v>10</x:v>
      </x:c>
      <x:c r="C573" s="1" t="str">
        <x:f>'Current inventory'!B69</x:f>
        <x:v>800NAVF</x:v>
      </x:c>
      <x:c r="D573" s="7" t="n">
        <x:f>A447</x:f>
        <x:v>46419</x:v>
      </x:c>
      <x:c r="E573" s="8" t="n">
        <x:f>L447</x:f>
        <x:v>0</x:v>
      </x:c>
      <x:c r="F573" s="8" t="n">
        <x:f>M447</x:f>
        <x:v>0</x:v>
      </x:c>
      <x:c r="G573" s="8" t="n">
        <x:f>N447</x:f>
        <x:v>0</x:v>
      </x:c>
      <x:c r="H573" s="8" t="n">
        <x:f>SUMIFS('PO detail'!$U$2:$U$672,'PO detail'!$A$2:$A$672,B573,'PO detail'!$B$2:$B$672,C573,'PO detail'!$G$2:$G$672,"&gt;="&amp;D573,'PO detail'!$G$2:$G$672,"&lt;"&amp;A573)</x:f>
        <x:v>0</x:v>
      </x:c>
      <x:c r="I573" s="8" t="n">
        <x:f>SUMIFS('PO detail'!$V$2:$V$672,'PO detail'!$A$2:$A$672,B573,'PO detail'!$B$2:$B$672,C573,'PO detail'!$G$2:$G$672,"&gt;="&amp;D573,'PO detail'!$G$2:$G$672,"&lt;"&amp;A573)</x:f>
        <x:v>0</x:v>
      </x:c>
      <x:c r="J573" s="8" t="n">
        <x:f>SUMIFS('PO detail'!$W$2:$W$672,'PO detail'!$A$2:$A$672,B573,'PO detail'!$B$2:$B$672,C573,'PO detail'!$G$2:$G$672,"&gt;="&amp;D573,'PO detail'!$G$2:$G$672,"&lt;"&amp;A573)</x:f>
        <x:v>0</x:v>
      </x:c>
      <x:c r="K573" s="8" t="n">
        <x:f>'Current inventory'!E69*Summary!$D$6*(A573-D573)/30.4375</x:f>
        <x:v>0</x:v>
      </x:c>
      <x:c r="L573" s="8" t="n">
        <x:f>MAX(0,E573+H573-K573)</x:f>
        <x:v>0</x:v>
      </x:c>
      <x:c r="M573" s="8" t="n">
        <x:f>MAX(0,F573+I573-MAX(0,K573-E573-H573))</x:f>
        <x:v>0</x:v>
      </x:c>
      <x:c r="N573" s="8" t="n">
        <x:f>MAX(0,G573+J573-K573)</x:f>
        <x:v>0</x:v>
      </x:c>
      <x:c r="O573" s="8" t="n">
        <x:f>SUM(L573:N573)</x:f>
        <x:v>0</x:v>
      </x:c>
      <x:c r="P573" s="14" t="n">
        <x:f>'Current inventory'!V69</x:f>
        <x:v>7.03</x:v>
      </x:c>
      <x:c r="Q573" s="14" t="str">
        <x:f>'Current inventory'!W69</x:f>
        <x:v>n.a.</x:v>
      </x:c>
      <x:c r="R573" s="10" t="n">
        <x:f>L573*P573</x:f>
        <x:v>0</x:v>
      </x:c>
      <x:c r="S573" s="10" t="n">
        <x:f>M573*P573</x:f>
        <x:v>0</x:v>
      </x:c>
      <x:c r="T573" s="10" t="n">
        <x:f>N573*P573</x:f>
        <x:v>0</x:v>
      </x:c>
      <x:c r="U573" s="10" t="n">
        <x:f>O573*P573</x:f>
        <x:v>0</x:v>
      </x:c>
      <x:c r="V573" s="10" t="str">
        <x:f>IF(ISNUMBER(Q573),O573*(Q573-P573),"n.a.")</x:f>
        <x:v>n.a.</x:v>
      </x:c>
      <x:c r="W573" s="10" t="n">
        <x:f>IF(ISNUMBER(Q573),U573,0)</x:f>
        <x:v>0</x:v>
      </x:c>
      <x:c r="X573" s="8" t="n">
        <x:f>MAX(0,K573-SUM(E573:J573))</x:f>
        <x:v>0</x:v>
      </x:c>
      <x:c r="Y573" s="1" t="str">
        <x:f>IF(AND(O573&gt;0,NOT(ISNUMBER(Q573))),"No proposed replacement standard",IF(X573&gt;0,"Demand exceeds available stock",""))</x:f>
      </x:c>
      <x:c r="Z573" s="1" t="n">
        <x:f>IF(ISNUMBER(Q573),1,0)</x:f>
        <x:v>0</x:v>
      </x:c>
    </x:row>
    <x:row r="574" ht="21" customHeight="1">
      <x:c r="A574" s="17" t="n">
        <x:f>Summary!B19</x:f>
        <x:v>46447</x:v>
      </x:c>
      <x:c r="B574" s="1" t="str">
        <x:f>'Current inventory'!A70</x:f>
        <x:v>10</x:v>
      </x:c>
      <x:c r="C574" s="1" t="str">
        <x:f>'Current inventory'!B70</x:f>
        <x:v>800WHTE</x:v>
      </x:c>
      <x:c r="D574" s="7" t="n">
        <x:f>A448</x:f>
        <x:v>46419</x:v>
      </x:c>
      <x:c r="E574" s="8" t="n">
        <x:f>L448</x:f>
        <x:v>0</x:v>
      </x:c>
      <x:c r="F574" s="8" t="n">
        <x:f>M448</x:f>
        <x:v>0</x:v>
      </x:c>
      <x:c r="G574" s="8" t="n">
        <x:f>N448</x:f>
        <x:v>0</x:v>
      </x:c>
      <x:c r="H574" s="8" t="n">
        <x:f>SUMIFS('PO detail'!$U$2:$U$672,'PO detail'!$A$2:$A$672,B574,'PO detail'!$B$2:$B$672,C574,'PO detail'!$G$2:$G$672,"&gt;="&amp;D574,'PO detail'!$G$2:$G$672,"&lt;"&amp;A574)</x:f>
        <x:v>0</x:v>
      </x:c>
      <x:c r="I574" s="8" t="n">
        <x:f>SUMIFS('PO detail'!$V$2:$V$672,'PO detail'!$A$2:$A$672,B574,'PO detail'!$B$2:$B$672,C574,'PO detail'!$G$2:$G$672,"&gt;="&amp;D574,'PO detail'!$G$2:$G$672,"&lt;"&amp;A574)</x:f>
        <x:v>0</x:v>
      </x:c>
      <x:c r="J574" s="8" t="n">
        <x:f>SUMIFS('PO detail'!$W$2:$W$672,'PO detail'!$A$2:$A$672,B574,'PO detail'!$B$2:$B$672,C574,'PO detail'!$G$2:$G$672,"&gt;="&amp;D574,'PO detail'!$G$2:$G$672,"&lt;"&amp;A574)</x:f>
        <x:v>0</x:v>
      </x:c>
      <x:c r="K574" s="8" t="n">
        <x:f>'Current inventory'!E70*Summary!$D$6*(A574-D574)/30.4375</x:f>
        <x:v>0</x:v>
      </x:c>
      <x:c r="L574" s="8" t="n">
        <x:f>MAX(0,E574+H574-K574)</x:f>
        <x:v>0</x:v>
      </x:c>
      <x:c r="M574" s="8" t="n">
        <x:f>MAX(0,F574+I574-MAX(0,K574-E574-H574))</x:f>
        <x:v>0</x:v>
      </x:c>
      <x:c r="N574" s="8" t="n">
        <x:f>MAX(0,G574+J574-K574)</x:f>
        <x:v>0</x:v>
      </x:c>
      <x:c r="O574" s="8" t="n">
        <x:f>SUM(L574:N574)</x:f>
        <x:v>0</x:v>
      </x:c>
      <x:c r="P574" s="14" t="n">
        <x:f>'Current inventory'!V70</x:f>
        <x:v>11.44</x:v>
      </x:c>
      <x:c r="Q574" s="14" t="str">
        <x:f>'Current inventory'!W70</x:f>
        <x:v>n.a.</x:v>
      </x:c>
      <x:c r="R574" s="10" t="n">
        <x:f>L574*P574</x:f>
        <x:v>0</x:v>
      </x:c>
      <x:c r="S574" s="10" t="n">
        <x:f>M574*P574</x:f>
        <x:v>0</x:v>
      </x:c>
      <x:c r="T574" s="10" t="n">
        <x:f>N574*P574</x:f>
        <x:v>0</x:v>
      </x:c>
      <x:c r="U574" s="10" t="n">
        <x:f>O574*P574</x:f>
        <x:v>0</x:v>
      </x:c>
      <x:c r="V574" s="10" t="str">
        <x:f>IF(ISNUMBER(Q574),O574*(Q574-P574),"n.a.")</x:f>
        <x:v>n.a.</x:v>
      </x:c>
      <x:c r="W574" s="10" t="n">
        <x:f>IF(ISNUMBER(Q574),U574,0)</x:f>
        <x:v>0</x:v>
      </x:c>
      <x:c r="X574" s="8" t="n">
        <x:f>MAX(0,K574-SUM(E574:J574))</x:f>
        <x:v>0</x:v>
      </x:c>
      <x:c r="Y574" s="1" t="str">
        <x:f>IF(AND(O574&gt;0,NOT(ISNUMBER(Q574))),"No proposed replacement standard",IF(X574&gt;0,"Demand exceeds available stock",""))</x:f>
      </x:c>
      <x:c r="Z574" s="1" t="n">
        <x:f>IF(ISNUMBER(Q574),1,0)</x:f>
        <x:v>0</x:v>
      </x:c>
    </x:row>
    <x:row r="575" ht="21" customHeight="1">
      <x:c r="A575" s="17" t="n">
        <x:f>Summary!B19</x:f>
        <x:v>46447</x:v>
      </x:c>
      <x:c r="B575" s="1" t="str">
        <x:f>'Current inventory'!A71</x:f>
        <x:v>10</x:v>
      </x:c>
      <x:c r="C575" s="1" t="str">
        <x:f>'Current inventory'!B71</x:f>
        <x:v>880BLKE</x:v>
      </x:c>
      <x:c r="D575" s="7" t="n">
        <x:f>A449</x:f>
        <x:v>46419</x:v>
      </x:c>
      <x:c r="E575" s="8" t="n">
        <x:f>L449</x:f>
        <x:v>0</x:v>
      </x:c>
      <x:c r="F575" s="8" t="n">
        <x:f>M449</x:f>
        <x:v>0</x:v>
      </x:c>
      <x:c r="G575" s="8" t="n">
        <x:f>N449</x:f>
        <x:v>0</x:v>
      </x:c>
      <x:c r="H575" s="8" t="n">
        <x:f>SUMIFS('PO detail'!$U$2:$U$672,'PO detail'!$A$2:$A$672,B575,'PO detail'!$B$2:$B$672,C575,'PO detail'!$G$2:$G$672,"&gt;="&amp;D575,'PO detail'!$G$2:$G$672,"&lt;"&amp;A575)</x:f>
        <x:v>0</x:v>
      </x:c>
      <x:c r="I575" s="8" t="n">
        <x:f>SUMIFS('PO detail'!$V$2:$V$672,'PO detail'!$A$2:$A$672,B575,'PO detail'!$B$2:$B$672,C575,'PO detail'!$G$2:$G$672,"&gt;="&amp;D575,'PO detail'!$G$2:$G$672,"&lt;"&amp;A575)</x:f>
        <x:v>0</x:v>
      </x:c>
      <x:c r="J575" s="8" t="n">
        <x:f>SUMIFS('PO detail'!$W$2:$W$672,'PO detail'!$A$2:$A$672,B575,'PO detail'!$B$2:$B$672,C575,'PO detail'!$G$2:$G$672,"&gt;="&amp;D575,'PO detail'!$G$2:$G$672,"&lt;"&amp;A575)</x:f>
        <x:v>0</x:v>
      </x:c>
      <x:c r="K575" s="8" t="n">
        <x:f>'Current inventory'!E71*Summary!$D$6*(A575-D575)/30.4375</x:f>
        <x:v>0</x:v>
      </x:c>
      <x:c r="L575" s="8" t="n">
        <x:f>MAX(0,E575+H575-K575)</x:f>
        <x:v>0</x:v>
      </x:c>
      <x:c r="M575" s="8" t="n">
        <x:f>MAX(0,F575+I575-MAX(0,K575-E575-H575))</x:f>
        <x:v>0</x:v>
      </x:c>
      <x:c r="N575" s="8" t="n">
        <x:f>MAX(0,G575+J575-K575)</x:f>
        <x:v>0</x:v>
      </x:c>
      <x:c r="O575" s="8" t="n">
        <x:f>SUM(L575:N575)</x:f>
        <x:v>0</x:v>
      </x:c>
      <x:c r="P575" s="14" t="n">
        <x:f>'Current inventory'!V71</x:f>
        <x:v>21.34</x:v>
      </x:c>
      <x:c r="Q575" s="14" t="str">
        <x:f>'Current inventory'!W71</x:f>
        <x:v>n.a.</x:v>
      </x:c>
      <x:c r="R575" s="10" t="n">
        <x:f>L575*P575</x:f>
        <x:v>0</x:v>
      </x:c>
      <x:c r="S575" s="10" t="n">
        <x:f>M575*P575</x:f>
        <x:v>0</x:v>
      </x:c>
      <x:c r="T575" s="10" t="n">
        <x:f>N575*P575</x:f>
        <x:v>0</x:v>
      </x:c>
      <x:c r="U575" s="10" t="n">
        <x:f>O575*P575</x:f>
        <x:v>0</x:v>
      </x:c>
      <x:c r="V575" s="10" t="str">
        <x:f>IF(ISNUMBER(Q575),O575*(Q575-P575),"n.a.")</x:f>
        <x:v>n.a.</x:v>
      </x:c>
      <x:c r="W575" s="10" t="n">
        <x:f>IF(ISNUMBER(Q575),U575,0)</x:f>
        <x:v>0</x:v>
      </x:c>
      <x:c r="X575" s="8" t="n">
        <x:f>MAX(0,K575-SUM(E575:J575))</x:f>
        <x:v>0</x:v>
      </x:c>
      <x:c r="Y575" s="1" t="str">
        <x:f>IF(AND(O575&gt;0,NOT(ISNUMBER(Q575))),"No proposed replacement standard",IF(X575&gt;0,"Demand exceeds available stock",""))</x:f>
      </x:c>
      <x:c r="Z575" s="1" t="n">
        <x:f>IF(ISNUMBER(Q575),1,0)</x:f>
        <x:v>0</x:v>
      </x:c>
    </x:row>
    <x:row r="576" ht="21" customHeight="1">
      <x:c r="A576" s="17" t="n">
        <x:f>Summary!B19</x:f>
        <x:v>46447</x:v>
      </x:c>
      <x:c r="B576" s="1" t="str">
        <x:f>'Current inventory'!A72</x:f>
        <x:v>10</x:v>
      </x:c>
      <x:c r="C576" s="1" t="str">
        <x:f>'Current inventory'!B72</x:f>
        <x:v>880NAVE</x:v>
      </x:c>
      <x:c r="D576" s="7" t="n">
        <x:f>A450</x:f>
        <x:v>46419</x:v>
      </x:c>
      <x:c r="E576" s="8" t="n">
        <x:f>L450</x:f>
        <x:v>0</x:v>
      </x:c>
      <x:c r="F576" s="8" t="n">
        <x:f>M450</x:f>
        <x:v>0</x:v>
      </x:c>
      <x:c r="G576" s="8" t="n">
        <x:f>N450</x:f>
        <x:v>0</x:v>
      </x:c>
      <x:c r="H576" s="8" t="n">
        <x:f>SUMIFS('PO detail'!$U$2:$U$672,'PO detail'!$A$2:$A$672,B576,'PO detail'!$B$2:$B$672,C576,'PO detail'!$G$2:$G$672,"&gt;="&amp;D576,'PO detail'!$G$2:$G$672,"&lt;"&amp;A576)</x:f>
        <x:v>0</x:v>
      </x:c>
      <x:c r="I576" s="8" t="n">
        <x:f>SUMIFS('PO detail'!$V$2:$V$672,'PO detail'!$A$2:$A$672,B576,'PO detail'!$B$2:$B$672,C576,'PO detail'!$G$2:$G$672,"&gt;="&amp;D576,'PO detail'!$G$2:$G$672,"&lt;"&amp;A576)</x:f>
        <x:v>0</x:v>
      </x:c>
      <x:c r="J576" s="8" t="n">
        <x:f>SUMIFS('PO detail'!$W$2:$W$672,'PO detail'!$A$2:$A$672,B576,'PO detail'!$B$2:$B$672,C576,'PO detail'!$G$2:$G$672,"&gt;="&amp;D576,'PO detail'!$G$2:$G$672,"&lt;"&amp;A576)</x:f>
        <x:v>0</x:v>
      </x:c>
      <x:c r="K576" s="8" t="n">
        <x:f>'Current inventory'!E72*Summary!$D$6*(A576-D576)/30.4375</x:f>
        <x:v>0</x:v>
      </x:c>
      <x:c r="L576" s="8" t="n">
        <x:f>MAX(0,E576+H576-K576)</x:f>
        <x:v>0</x:v>
      </x:c>
      <x:c r="M576" s="8" t="n">
        <x:f>MAX(0,F576+I576-MAX(0,K576-E576-H576))</x:f>
        <x:v>0</x:v>
      </x:c>
      <x:c r="N576" s="8" t="n">
        <x:f>MAX(0,G576+J576-K576)</x:f>
        <x:v>0</x:v>
      </x:c>
      <x:c r="O576" s="8" t="n">
        <x:f>SUM(L576:N576)</x:f>
        <x:v>0</x:v>
      </x:c>
      <x:c r="P576" s="14" t="n">
        <x:f>'Current inventory'!V72</x:f>
        <x:v>21.34</x:v>
      </x:c>
      <x:c r="Q576" s="14" t="str">
        <x:f>'Current inventory'!W72</x:f>
        <x:v>n.a.</x:v>
      </x:c>
      <x:c r="R576" s="10" t="n">
        <x:f>L576*P576</x:f>
        <x:v>0</x:v>
      </x:c>
      <x:c r="S576" s="10" t="n">
        <x:f>M576*P576</x:f>
        <x:v>0</x:v>
      </x:c>
      <x:c r="T576" s="10" t="n">
        <x:f>N576*P576</x:f>
        <x:v>0</x:v>
      </x:c>
      <x:c r="U576" s="10" t="n">
        <x:f>O576*P576</x:f>
        <x:v>0</x:v>
      </x:c>
      <x:c r="V576" s="10" t="str">
        <x:f>IF(ISNUMBER(Q576),O576*(Q576-P576),"n.a.")</x:f>
        <x:v>n.a.</x:v>
      </x:c>
      <x:c r="W576" s="10" t="n">
        <x:f>IF(ISNUMBER(Q576),U576,0)</x:f>
        <x:v>0</x:v>
      </x:c>
      <x:c r="X576" s="8" t="n">
        <x:f>MAX(0,K576-SUM(E576:J576))</x:f>
        <x:v>0</x:v>
      </x:c>
      <x:c r="Y576" s="1" t="str">
        <x:f>IF(AND(O576&gt;0,NOT(ISNUMBER(Q576))),"No proposed replacement standard",IF(X576&gt;0,"Demand exceeds available stock",""))</x:f>
      </x:c>
      <x:c r="Z576" s="1" t="n">
        <x:f>IF(ISNUMBER(Q576),1,0)</x:f>
        <x:v>0</x:v>
      </x:c>
    </x:row>
    <x:row r="577" ht="21" customHeight="1">
      <x:c r="A577" s="17" t="n">
        <x:f>Summary!B19</x:f>
        <x:v>46447</x:v>
      </x:c>
      <x:c r="B577" s="1" t="str">
        <x:f>'Current inventory'!A73</x:f>
        <x:v>10</x:v>
      </x:c>
      <x:c r="C577" s="1" t="str">
        <x:f>'Current inventory'!B73</x:f>
        <x:v>800BLKTB</x:v>
      </x:c>
      <x:c r="D577" s="7" t="n">
        <x:f>A451</x:f>
        <x:v>46419</x:v>
      </x:c>
      <x:c r="E577" s="8" t="n">
        <x:f>L451</x:f>
        <x:v>0</x:v>
      </x:c>
      <x:c r="F577" s="8" t="n">
        <x:f>M451</x:f>
        <x:v>0</x:v>
      </x:c>
      <x:c r="G577" s="8" t="n">
        <x:f>N451</x:f>
        <x:v>1050</x:v>
      </x:c>
      <x:c r="H577" s="8" t="n">
        <x:f>SUMIFS('PO detail'!$U$2:$U$672,'PO detail'!$A$2:$A$672,B577,'PO detail'!$B$2:$B$672,C577,'PO detail'!$G$2:$G$672,"&gt;="&amp;D577,'PO detail'!$G$2:$G$672,"&lt;"&amp;A577)</x:f>
        <x:v>0</x:v>
      </x:c>
      <x:c r="I577" s="8" t="n">
        <x:f>SUMIFS('PO detail'!$V$2:$V$672,'PO detail'!$A$2:$A$672,B577,'PO detail'!$B$2:$B$672,C577,'PO detail'!$G$2:$G$672,"&gt;="&amp;D577,'PO detail'!$G$2:$G$672,"&lt;"&amp;A577)</x:f>
        <x:v>0</x:v>
      </x:c>
      <x:c r="J577" s="8" t="n">
        <x:f>SUMIFS('PO detail'!$W$2:$W$672,'PO detail'!$A$2:$A$672,B577,'PO detail'!$B$2:$B$672,C577,'PO detail'!$G$2:$G$672,"&gt;="&amp;D577,'PO detail'!$G$2:$G$672,"&lt;"&amp;A577)</x:f>
        <x:v>0</x:v>
      </x:c>
      <x:c r="K577" s="8" t="n">
        <x:f>'Current inventory'!E73*Summary!$D$6*(A577-D577)/30.4375</x:f>
        <x:v>0</x:v>
      </x:c>
      <x:c r="L577" s="8" t="n">
        <x:f>MAX(0,E577+H577-K577)</x:f>
        <x:v>0</x:v>
      </x:c>
      <x:c r="M577" s="8" t="n">
        <x:f>MAX(0,F577+I577-MAX(0,K577-E577-H577))</x:f>
        <x:v>0</x:v>
      </x:c>
      <x:c r="N577" s="8" t="n">
        <x:f>MAX(0,G577+J577-K577)</x:f>
        <x:v>1050</x:v>
      </x:c>
      <x:c r="O577" s="8" t="n">
        <x:f>SUM(L577:N577)</x:f>
        <x:v>1050</x:v>
      </x:c>
      <x:c r="P577" s="14" t="n">
        <x:f>'Current inventory'!V73</x:f>
        <x:v>0.532</x:v>
      </x:c>
      <x:c r="Q577" s="14" t="str">
        <x:f>'Current inventory'!W73</x:f>
        <x:v>n.a.</x:v>
      </x:c>
      <x:c r="R577" s="10" t="n">
        <x:f>L577*P577</x:f>
        <x:v>0</x:v>
      </x:c>
      <x:c r="S577" s="10" t="n">
        <x:f>M577*P577</x:f>
        <x:v>0</x:v>
      </x:c>
      <x:c r="T577" s="10" t="n">
        <x:f>N577*P577</x:f>
        <x:v>558.6</x:v>
      </x:c>
      <x:c r="U577" s="10" t="n">
        <x:f>O577*P577</x:f>
        <x:v>558.6</x:v>
      </x:c>
      <x:c r="V577" s="10" t="str">
        <x:f>IF(ISNUMBER(Q577),O577*(Q577-P577),"n.a.")</x:f>
        <x:v>n.a.</x:v>
      </x:c>
      <x:c r="W577" s="10" t="n">
        <x:f>IF(ISNUMBER(Q577),U577,0)</x:f>
        <x:v>0</x:v>
      </x:c>
      <x:c r="X577" s="8" t="n">
        <x:f>MAX(0,K577-SUM(E577:J577))</x:f>
        <x:v>0</x:v>
      </x:c>
      <x:c r="Y577" s="1" t="str">
        <x:f>IF(AND(O577&gt;0,NOT(ISNUMBER(Q577))),"No proposed replacement standard",IF(X577&gt;0,"Demand exceeds available stock",""))</x:f>
        <x:v>No proposed replacement standard</x:v>
      </x:c>
      <x:c r="Z577" s="1" t="n">
        <x:f>IF(ISNUMBER(Q577),1,0)</x:f>
        <x:v>0</x:v>
      </x:c>
    </x:row>
    <x:row r="578" ht="21" customHeight="1">
      <x:c r="A578" s="17" t="n">
        <x:f>Summary!B19</x:f>
        <x:v>46447</x:v>
      </x:c>
      <x:c r="B578" s="1" t="str">
        <x:f>'Current inventory'!A74</x:f>
        <x:v>10</x:v>
      </x:c>
      <x:c r="C578" s="1" t="str">
        <x:f>'Current inventory'!B74</x:f>
        <x:v>800BREDASC</x:v>
      </x:c>
      <x:c r="D578" s="7" t="n">
        <x:f>A452</x:f>
        <x:v>46419</x:v>
      </x:c>
      <x:c r="E578" s="8" t="n">
        <x:f>L452</x:f>
        <x:v>0</x:v>
      </x:c>
      <x:c r="F578" s="8" t="n">
        <x:f>M452</x:f>
        <x:v>0</x:v>
      </x:c>
      <x:c r="G578" s="8" t="n">
        <x:f>N452</x:f>
        <x:v>0</x:v>
      </x:c>
      <x:c r="H578" s="8" t="n">
        <x:f>SUMIFS('PO detail'!$U$2:$U$672,'PO detail'!$A$2:$A$672,B578,'PO detail'!$B$2:$B$672,C578,'PO detail'!$G$2:$G$672,"&gt;="&amp;D578,'PO detail'!$G$2:$G$672,"&lt;"&amp;A578)</x:f>
        <x:v>0</x:v>
      </x:c>
      <x:c r="I578" s="8" t="n">
        <x:f>SUMIFS('PO detail'!$V$2:$V$672,'PO detail'!$A$2:$A$672,B578,'PO detail'!$B$2:$B$672,C578,'PO detail'!$G$2:$G$672,"&gt;="&amp;D578,'PO detail'!$G$2:$G$672,"&lt;"&amp;A578)</x:f>
        <x:v>0</x:v>
      </x:c>
      <x:c r="J578" s="8" t="n">
        <x:f>SUMIFS('PO detail'!$W$2:$W$672,'PO detail'!$A$2:$A$672,B578,'PO detail'!$B$2:$B$672,C578,'PO detail'!$G$2:$G$672,"&gt;="&amp;D578,'PO detail'!$G$2:$G$672,"&lt;"&amp;A578)</x:f>
        <x:v>0</x:v>
      </x:c>
      <x:c r="K578" s="8" t="n">
        <x:f>'Current inventory'!E74*Summary!$D$6*(A578-D578)/30.4375</x:f>
        <x:v>0</x:v>
      </x:c>
      <x:c r="L578" s="8" t="n">
        <x:f>MAX(0,E578+H578-K578)</x:f>
        <x:v>0</x:v>
      </x:c>
      <x:c r="M578" s="8" t="n">
        <x:f>MAX(0,F578+I578-MAX(0,K578-E578-H578))</x:f>
        <x:v>0</x:v>
      </x:c>
      <x:c r="N578" s="8" t="n">
        <x:f>MAX(0,G578+J578-K578)</x:f>
        <x:v>0</x:v>
      </x:c>
      <x:c r="O578" s="8" t="n">
        <x:f>SUM(L578:N578)</x:f>
        <x:v>0</x:v>
      </x:c>
      <x:c r="P578" s="14" t="n">
        <x:f>'Current inventory'!V74</x:f>
        <x:v>0.07919999999999999</x:v>
      </x:c>
      <x:c r="Q578" s="14" t="str">
        <x:f>'Current inventory'!W74</x:f>
        <x:v>n.a.</x:v>
      </x:c>
      <x:c r="R578" s="10" t="n">
        <x:f>L578*P578</x:f>
        <x:v>0</x:v>
      </x:c>
      <x:c r="S578" s="10" t="n">
        <x:f>M578*P578</x:f>
        <x:v>0</x:v>
      </x:c>
      <x:c r="T578" s="10" t="n">
        <x:f>N578*P578</x:f>
        <x:v>0</x:v>
      </x:c>
      <x:c r="U578" s="10" t="n">
        <x:f>O578*P578</x:f>
        <x:v>0</x:v>
      </x:c>
      <x:c r="V578" s="10" t="str">
        <x:f>IF(ISNUMBER(Q578),O578*(Q578-P578),"n.a.")</x:f>
        <x:v>n.a.</x:v>
      </x:c>
      <x:c r="W578" s="10" t="n">
        <x:f>IF(ISNUMBER(Q578),U578,0)</x:f>
        <x:v>0</x:v>
      </x:c>
      <x:c r="X578" s="8" t="n">
        <x:f>MAX(0,K578-SUM(E578:J578))</x:f>
        <x:v>0</x:v>
      </x:c>
      <x:c r="Y578" s="1" t="str">
        <x:f>IF(AND(O578&gt;0,NOT(ISNUMBER(Q578))),"No proposed replacement standard",IF(X578&gt;0,"Demand exceeds available stock",""))</x:f>
      </x:c>
      <x:c r="Z578" s="1" t="n">
        <x:f>IF(ISNUMBER(Q578),1,0)</x:f>
        <x:v>0</x:v>
      </x:c>
    </x:row>
    <x:row r="579" ht="21" customHeight="1">
      <x:c r="A579" s="17" t="n">
        <x:f>Summary!B19</x:f>
        <x:v>46447</x:v>
      </x:c>
      <x:c r="B579" s="1" t="str">
        <x:f>'Current inventory'!A75</x:f>
        <x:v>10</x:v>
      </x:c>
      <x:c r="C579" s="1" t="str">
        <x:f>'Current inventory'!B75</x:f>
        <x:v>800BREDBRC</x:v>
      </x:c>
      <x:c r="D579" s="7" t="n">
        <x:f>A453</x:f>
        <x:v>46419</x:v>
      </x:c>
      <x:c r="E579" s="8" t="n">
        <x:f>L453</x:f>
        <x:v>0</x:v>
      </x:c>
      <x:c r="F579" s="8" t="n">
        <x:f>M453</x:f>
        <x:v>0</x:v>
      </x:c>
      <x:c r="G579" s="8" t="n">
        <x:f>N453</x:f>
        <x:v>0</x:v>
      </x:c>
      <x:c r="H579" s="8" t="n">
        <x:f>SUMIFS('PO detail'!$U$2:$U$672,'PO detail'!$A$2:$A$672,B579,'PO detail'!$B$2:$B$672,C579,'PO detail'!$G$2:$G$672,"&gt;="&amp;D579,'PO detail'!$G$2:$G$672,"&lt;"&amp;A579)</x:f>
        <x:v>0</x:v>
      </x:c>
      <x:c r="I579" s="8" t="n">
        <x:f>SUMIFS('PO detail'!$V$2:$V$672,'PO detail'!$A$2:$A$672,B579,'PO detail'!$B$2:$B$672,C579,'PO detail'!$G$2:$G$672,"&gt;="&amp;D579,'PO detail'!$G$2:$G$672,"&lt;"&amp;A579)</x:f>
        <x:v>0</x:v>
      </x:c>
      <x:c r="J579" s="8" t="n">
        <x:f>SUMIFS('PO detail'!$W$2:$W$672,'PO detail'!$A$2:$A$672,B579,'PO detail'!$B$2:$B$672,C579,'PO detail'!$G$2:$G$672,"&gt;="&amp;D579,'PO detail'!$G$2:$G$672,"&lt;"&amp;A579)</x:f>
        <x:v>0</x:v>
      </x:c>
      <x:c r="K579" s="8" t="n">
        <x:f>'Current inventory'!E75*Summary!$D$6*(A579-D579)/30.4375</x:f>
        <x:v>0</x:v>
      </x:c>
      <x:c r="L579" s="8" t="n">
        <x:f>MAX(0,E579+H579-K579)</x:f>
        <x:v>0</x:v>
      </x:c>
      <x:c r="M579" s="8" t="n">
        <x:f>MAX(0,F579+I579-MAX(0,K579-E579-H579))</x:f>
        <x:v>0</x:v>
      </x:c>
      <x:c r="N579" s="8" t="n">
        <x:f>MAX(0,G579+J579-K579)</x:f>
        <x:v>0</x:v>
      </x:c>
      <x:c r="O579" s="8" t="n">
        <x:f>SUM(L579:N579)</x:f>
        <x:v>0</x:v>
      </x:c>
      <x:c r="P579" s="14" t="n">
        <x:f>'Current inventory'!V75</x:f>
        <x:v>0.0898</x:v>
      </x:c>
      <x:c r="Q579" s="14" t="str">
        <x:f>'Current inventory'!W75</x:f>
        <x:v>n.a.</x:v>
      </x:c>
      <x:c r="R579" s="10" t="n">
        <x:f>L579*P579</x:f>
        <x:v>0</x:v>
      </x:c>
      <x:c r="S579" s="10" t="n">
        <x:f>M579*P579</x:f>
        <x:v>0</x:v>
      </x:c>
      <x:c r="T579" s="10" t="n">
        <x:f>N579*P579</x:f>
        <x:v>0</x:v>
      </x:c>
      <x:c r="U579" s="10" t="n">
        <x:f>O579*P579</x:f>
        <x:v>0</x:v>
      </x:c>
      <x:c r="V579" s="10" t="str">
        <x:f>IF(ISNUMBER(Q579),O579*(Q579-P579),"n.a.")</x:f>
        <x:v>n.a.</x:v>
      </x:c>
      <x:c r="W579" s="10" t="n">
        <x:f>IF(ISNUMBER(Q579),U579,0)</x:f>
        <x:v>0</x:v>
      </x:c>
      <x:c r="X579" s="8" t="n">
        <x:f>MAX(0,K579-SUM(E579:J579))</x:f>
        <x:v>0</x:v>
      </x:c>
      <x:c r="Y579" s="1" t="str">
        <x:f>IF(AND(O579&gt;0,NOT(ISNUMBER(Q579))),"No proposed replacement standard",IF(X579&gt;0,"Demand exceeds available stock",""))</x:f>
      </x:c>
      <x:c r="Z579" s="1" t="n">
        <x:f>IF(ISNUMBER(Q579),1,0)</x:f>
        <x:v>0</x:v>
      </x:c>
    </x:row>
    <x:row r="580" ht="21" customHeight="1">
      <x:c r="A580" s="17" t="n">
        <x:f>Summary!B19</x:f>
        <x:v>46447</x:v>
      </x:c>
      <x:c r="B580" s="1" t="str">
        <x:f>'Current inventory'!A76</x:f>
        <x:v>10</x:v>
      </x:c>
      <x:c r="C580" s="1" t="str">
        <x:f>'Current inventory'!B76</x:f>
        <x:v>800WBLKBRC</x:v>
      </x:c>
      <x:c r="D580" s="7" t="n">
        <x:f>A454</x:f>
        <x:v>46419</x:v>
      </x:c>
      <x:c r="E580" s="8" t="n">
        <x:f>L454</x:f>
        <x:v>0</x:v>
      </x:c>
      <x:c r="F580" s="8" t="n">
        <x:f>M454</x:f>
        <x:v>0</x:v>
      </x:c>
      <x:c r="G580" s="8" t="n">
        <x:f>N454</x:f>
        <x:v>200</x:v>
      </x:c>
      <x:c r="H580" s="8" t="n">
        <x:f>SUMIFS('PO detail'!$U$2:$U$672,'PO detail'!$A$2:$A$672,B580,'PO detail'!$B$2:$B$672,C580,'PO detail'!$G$2:$G$672,"&gt;="&amp;D580,'PO detail'!$G$2:$G$672,"&lt;"&amp;A580)</x:f>
        <x:v>0</x:v>
      </x:c>
      <x:c r="I580" s="8" t="n">
        <x:f>SUMIFS('PO detail'!$V$2:$V$672,'PO detail'!$A$2:$A$672,B580,'PO detail'!$B$2:$B$672,C580,'PO detail'!$G$2:$G$672,"&gt;="&amp;D580,'PO detail'!$G$2:$G$672,"&lt;"&amp;A580)</x:f>
        <x:v>0</x:v>
      </x:c>
      <x:c r="J580" s="8" t="n">
        <x:f>SUMIFS('PO detail'!$W$2:$W$672,'PO detail'!$A$2:$A$672,B580,'PO detail'!$B$2:$B$672,C580,'PO detail'!$G$2:$G$672,"&gt;="&amp;D580,'PO detail'!$G$2:$G$672,"&lt;"&amp;A580)</x:f>
        <x:v>0</x:v>
      </x:c>
      <x:c r="K580" s="8" t="n">
        <x:f>'Current inventory'!E76*Summary!$D$6*(A580-D580)/30.4375</x:f>
        <x:v>0</x:v>
      </x:c>
      <x:c r="L580" s="8" t="n">
        <x:f>MAX(0,E580+H580-K580)</x:f>
        <x:v>0</x:v>
      </x:c>
      <x:c r="M580" s="8" t="n">
        <x:f>MAX(0,F580+I580-MAX(0,K580-E580-H580))</x:f>
        <x:v>0</x:v>
      </x:c>
      <x:c r="N580" s="8" t="n">
        <x:f>MAX(0,G580+J580-K580)</x:f>
        <x:v>200</x:v>
      </x:c>
      <x:c r="O580" s="8" t="n">
        <x:f>SUM(L580:N580)</x:f>
        <x:v>200</x:v>
      </x:c>
      <x:c r="P580" s="14" t="n">
        <x:f>'Current inventory'!V76</x:f>
        <x:v>0.14150000000000001</x:v>
      </x:c>
      <x:c r="Q580" s="14" t="str">
        <x:f>'Current inventory'!W76</x:f>
        <x:v>n.a.</x:v>
      </x:c>
      <x:c r="R580" s="10" t="n">
        <x:f>L580*P580</x:f>
        <x:v>0</x:v>
      </x:c>
      <x:c r="S580" s="10" t="n">
        <x:f>M580*P580</x:f>
        <x:v>0</x:v>
      </x:c>
      <x:c r="T580" s="10" t="n">
        <x:f>N580*P580</x:f>
        <x:v>28.300000000000004</x:v>
      </x:c>
      <x:c r="U580" s="10" t="n">
        <x:f>O580*P580</x:f>
        <x:v>28.300000000000004</x:v>
      </x:c>
      <x:c r="V580" s="10" t="str">
        <x:f>IF(ISNUMBER(Q580),O580*(Q580-P580),"n.a.")</x:f>
        <x:v>n.a.</x:v>
      </x:c>
      <x:c r="W580" s="10" t="n">
        <x:f>IF(ISNUMBER(Q580),U580,0)</x:f>
        <x:v>0</x:v>
      </x:c>
      <x:c r="X580" s="8" t="n">
        <x:f>MAX(0,K580-SUM(E580:J580))</x:f>
        <x:v>0</x:v>
      </x:c>
      <x:c r="Y580" s="1" t="str">
        <x:f>IF(AND(O580&gt;0,NOT(ISNUMBER(Q580))),"No proposed replacement standard",IF(X580&gt;0,"Demand exceeds available stock",""))</x:f>
        <x:v>No proposed replacement standard</x:v>
      </x:c>
      <x:c r="Z580" s="1" t="n">
        <x:f>IF(ISNUMBER(Q580),1,0)</x:f>
        <x:v>0</x:v>
      </x:c>
    </x:row>
    <x:row r="581" ht="21" customHeight="1">
      <x:c r="A581" s="17" t="n">
        <x:f>Summary!B19</x:f>
        <x:v>46447</x:v>
      </x:c>
      <x:c r="B581" s="1" t="str">
        <x:f>'Current inventory'!A77</x:f>
        <x:v>10</x:v>
      </x:c>
      <x:c r="C581" s="1" t="str">
        <x:f>'Current inventory'!B77</x:f>
        <x:v>800WFGASC</x:v>
      </x:c>
      <x:c r="D581" s="7" t="n">
        <x:f>A455</x:f>
        <x:v>46419</x:v>
      </x:c>
      <x:c r="E581" s="8" t="n">
        <x:f>L455</x:f>
        <x:v>0</x:v>
      </x:c>
      <x:c r="F581" s="8" t="n">
        <x:f>M455</x:f>
        <x:v>0</x:v>
      </x:c>
      <x:c r="G581" s="8" t="n">
        <x:f>N455</x:f>
        <x:v>0</x:v>
      </x:c>
      <x:c r="H581" s="8" t="n">
        <x:f>SUMIFS('PO detail'!$U$2:$U$672,'PO detail'!$A$2:$A$672,B581,'PO detail'!$B$2:$B$672,C581,'PO detail'!$G$2:$G$672,"&gt;="&amp;D581,'PO detail'!$G$2:$G$672,"&lt;"&amp;A581)</x:f>
        <x:v>0</x:v>
      </x:c>
      <x:c r="I581" s="8" t="n">
        <x:f>SUMIFS('PO detail'!$V$2:$V$672,'PO detail'!$A$2:$A$672,B581,'PO detail'!$B$2:$B$672,C581,'PO detail'!$G$2:$G$672,"&gt;="&amp;D581,'PO detail'!$G$2:$G$672,"&lt;"&amp;A581)</x:f>
        <x:v>0</x:v>
      </x:c>
      <x:c r="J581" s="8" t="n">
        <x:f>SUMIFS('PO detail'!$W$2:$W$672,'PO detail'!$A$2:$A$672,B581,'PO detail'!$B$2:$B$672,C581,'PO detail'!$G$2:$G$672,"&gt;="&amp;D581,'PO detail'!$G$2:$G$672,"&lt;"&amp;A581)</x:f>
        <x:v>0</x:v>
      </x:c>
      <x:c r="K581" s="8" t="n">
        <x:f>'Current inventory'!E77*Summary!$D$6*(A581-D581)/30.4375</x:f>
        <x:v>0</x:v>
      </x:c>
      <x:c r="L581" s="8" t="n">
        <x:f>MAX(0,E581+H581-K581)</x:f>
        <x:v>0</x:v>
      </x:c>
      <x:c r="M581" s="8" t="n">
        <x:f>MAX(0,F581+I581-MAX(0,K581-E581-H581))</x:f>
        <x:v>0</x:v>
      </x:c>
      <x:c r="N581" s="8" t="n">
        <x:f>MAX(0,G581+J581-K581)</x:f>
        <x:v>0</x:v>
      </x:c>
      <x:c r="O581" s="8" t="n">
        <x:f>SUM(L581:N581)</x:f>
        <x:v>0</x:v>
      </x:c>
      <x:c r="P581" s="14" t="n">
        <x:f>'Current inventory'!V77</x:f>
        <x:v>0.1456</x:v>
      </x:c>
      <x:c r="Q581" s="14" t="str">
        <x:f>'Current inventory'!W77</x:f>
        <x:v>n.a.</x:v>
      </x:c>
      <x:c r="R581" s="10" t="n">
        <x:f>L581*P581</x:f>
        <x:v>0</x:v>
      </x:c>
      <x:c r="S581" s="10" t="n">
        <x:f>M581*P581</x:f>
        <x:v>0</x:v>
      </x:c>
      <x:c r="T581" s="10" t="n">
        <x:f>N581*P581</x:f>
        <x:v>0</x:v>
      </x:c>
      <x:c r="U581" s="10" t="n">
        <x:f>O581*P581</x:f>
        <x:v>0</x:v>
      </x:c>
      <x:c r="V581" s="10" t="str">
        <x:f>IF(ISNUMBER(Q581),O581*(Q581-P581),"n.a.")</x:f>
        <x:v>n.a.</x:v>
      </x:c>
      <x:c r="W581" s="10" t="n">
        <x:f>IF(ISNUMBER(Q581),U581,0)</x:f>
        <x:v>0</x:v>
      </x:c>
      <x:c r="X581" s="8" t="n">
        <x:f>MAX(0,K581-SUM(E581:J581))</x:f>
        <x:v>0</x:v>
      </x:c>
      <x:c r="Y581" s="1" t="str">
        <x:f>IF(AND(O581&gt;0,NOT(ISNUMBER(Q581))),"No proposed replacement standard",IF(X581&gt;0,"Demand exceeds available stock",""))</x:f>
      </x:c>
      <x:c r="Z581" s="1" t="n">
        <x:f>IF(ISNUMBER(Q581),1,0)</x:f>
        <x:v>0</x:v>
      </x:c>
    </x:row>
    <x:row r="582" ht="21" customHeight="1">
      <x:c r="A582" s="17" t="n">
        <x:f>Summary!B19</x:f>
        <x:v>46447</x:v>
      </x:c>
      <x:c r="B582" s="1" t="str">
        <x:f>'Current inventory'!A78</x:f>
        <x:v>10</x:v>
      </x:c>
      <x:c r="C582" s="1" t="str">
        <x:f>'Current inventory'!B78</x:f>
        <x:v>800WFGBRC</x:v>
      </x:c>
      <x:c r="D582" s="7" t="n">
        <x:f>A456</x:f>
        <x:v>46419</x:v>
      </x:c>
      <x:c r="E582" s="8" t="n">
        <x:f>L456</x:f>
        <x:v>0</x:v>
      </x:c>
      <x:c r="F582" s="8" t="n">
        <x:f>M456</x:f>
        <x:v>0</x:v>
      </x:c>
      <x:c r="G582" s="8" t="n">
        <x:f>N456</x:f>
        <x:v>0</x:v>
      </x:c>
      <x:c r="H582" s="8" t="n">
        <x:f>SUMIFS('PO detail'!$U$2:$U$672,'PO detail'!$A$2:$A$672,B582,'PO detail'!$B$2:$B$672,C582,'PO detail'!$G$2:$G$672,"&gt;="&amp;D582,'PO detail'!$G$2:$G$672,"&lt;"&amp;A582)</x:f>
        <x:v>0</x:v>
      </x:c>
      <x:c r="I582" s="8" t="n">
        <x:f>SUMIFS('PO detail'!$V$2:$V$672,'PO detail'!$A$2:$A$672,B582,'PO detail'!$B$2:$B$672,C582,'PO detail'!$G$2:$G$672,"&gt;="&amp;D582,'PO detail'!$G$2:$G$672,"&lt;"&amp;A582)</x:f>
        <x:v>0</x:v>
      </x:c>
      <x:c r="J582" s="8" t="n">
        <x:f>SUMIFS('PO detail'!$W$2:$W$672,'PO detail'!$A$2:$A$672,B582,'PO detail'!$B$2:$B$672,C582,'PO detail'!$G$2:$G$672,"&gt;="&amp;D582,'PO detail'!$G$2:$G$672,"&lt;"&amp;A582)</x:f>
        <x:v>0</x:v>
      </x:c>
      <x:c r="K582" s="8" t="n">
        <x:f>'Current inventory'!E78*Summary!$D$6*(A582-D582)/30.4375</x:f>
        <x:v>0</x:v>
      </x:c>
      <x:c r="L582" s="8" t="n">
        <x:f>MAX(0,E582+H582-K582)</x:f>
        <x:v>0</x:v>
      </x:c>
      <x:c r="M582" s="8" t="n">
        <x:f>MAX(0,F582+I582-MAX(0,K582-E582-H582))</x:f>
        <x:v>0</x:v>
      </x:c>
      <x:c r="N582" s="8" t="n">
        <x:f>MAX(0,G582+J582-K582)</x:f>
        <x:v>0</x:v>
      </x:c>
      <x:c r="O582" s="8" t="n">
        <x:f>SUM(L582:N582)</x:f>
        <x:v>0</x:v>
      </x:c>
      <x:c r="P582" s="14" t="n">
        <x:f>'Current inventory'!V78</x:f>
        <x:v>0.18469999999999998</x:v>
      </x:c>
      <x:c r="Q582" s="14" t="str">
        <x:f>'Current inventory'!W78</x:f>
        <x:v>n.a.</x:v>
      </x:c>
      <x:c r="R582" s="10" t="n">
        <x:f>L582*P582</x:f>
        <x:v>0</x:v>
      </x:c>
      <x:c r="S582" s="10" t="n">
        <x:f>M582*P582</x:f>
        <x:v>0</x:v>
      </x:c>
      <x:c r="T582" s="10" t="n">
        <x:f>N582*P582</x:f>
        <x:v>0</x:v>
      </x:c>
      <x:c r="U582" s="10" t="n">
        <x:f>O582*P582</x:f>
        <x:v>0</x:v>
      </x:c>
      <x:c r="V582" s="10" t="str">
        <x:f>IF(ISNUMBER(Q582),O582*(Q582-P582),"n.a.")</x:f>
        <x:v>n.a.</x:v>
      </x:c>
      <x:c r="W582" s="10" t="n">
        <x:f>IF(ISNUMBER(Q582),U582,0)</x:f>
        <x:v>0</x:v>
      </x:c>
      <x:c r="X582" s="8" t="n">
        <x:f>MAX(0,K582-SUM(E582:J582))</x:f>
        <x:v>0</x:v>
      </x:c>
      <x:c r="Y582" s="1" t="str">
        <x:f>IF(AND(O582&gt;0,NOT(ISNUMBER(Q582))),"No proposed replacement standard",IF(X582&gt;0,"Demand exceeds available stock",""))</x:f>
      </x:c>
      <x:c r="Z582" s="1" t="n">
        <x:f>IF(ISNUMBER(Q582),1,0)</x:f>
        <x:v>0</x:v>
      </x:c>
    </x:row>
    <x:row r="583" ht="21" customHeight="1">
      <x:c r="A583" s="17" t="n">
        <x:f>Summary!B19</x:f>
        <x:v>46447</x:v>
      </x:c>
      <x:c r="B583" s="1" t="str">
        <x:f>'Current inventory'!A79</x:f>
        <x:v>10</x:v>
      </x:c>
      <x:c r="C583" s="1" t="str">
        <x:f>'Current inventory'!B79</x:f>
        <x:v>800WMARBRC</x:v>
      </x:c>
      <x:c r="D583" s="7" t="n">
        <x:f>A457</x:f>
        <x:v>46419</x:v>
      </x:c>
      <x:c r="E583" s="8" t="n">
        <x:f>L457</x:f>
        <x:v>0</x:v>
      </x:c>
      <x:c r="F583" s="8" t="n">
        <x:f>M457</x:f>
        <x:v>0</x:v>
      </x:c>
      <x:c r="G583" s="8" t="n">
        <x:f>N457</x:f>
        <x:v>900</x:v>
      </x:c>
      <x:c r="H583" s="8" t="n">
        <x:f>SUMIFS('PO detail'!$U$2:$U$672,'PO detail'!$A$2:$A$672,B583,'PO detail'!$B$2:$B$672,C583,'PO detail'!$G$2:$G$672,"&gt;="&amp;D583,'PO detail'!$G$2:$G$672,"&lt;"&amp;A583)</x:f>
        <x:v>0</x:v>
      </x:c>
      <x:c r="I583" s="8" t="n">
        <x:f>SUMIFS('PO detail'!$V$2:$V$672,'PO detail'!$A$2:$A$672,B583,'PO detail'!$B$2:$B$672,C583,'PO detail'!$G$2:$G$672,"&gt;="&amp;D583,'PO detail'!$G$2:$G$672,"&lt;"&amp;A583)</x:f>
        <x:v>0</x:v>
      </x:c>
      <x:c r="J583" s="8" t="n">
        <x:f>SUMIFS('PO detail'!$W$2:$W$672,'PO detail'!$A$2:$A$672,B583,'PO detail'!$B$2:$B$672,C583,'PO detail'!$G$2:$G$672,"&gt;="&amp;D583,'PO detail'!$G$2:$G$672,"&lt;"&amp;A583)</x:f>
        <x:v>0</x:v>
      </x:c>
      <x:c r="K583" s="8" t="n">
        <x:f>'Current inventory'!E79*Summary!$D$6*(A583-D583)/30.4375</x:f>
        <x:v>0</x:v>
      </x:c>
      <x:c r="L583" s="8" t="n">
        <x:f>MAX(0,E583+H583-K583)</x:f>
        <x:v>0</x:v>
      </x:c>
      <x:c r="M583" s="8" t="n">
        <x:f>MAX(0,F583+I583-MAX(0,K583-E583-H583))</x:f>
        <x:v>0</x:v>
      </x:c>
      <x:c r="N583" s="8" t="n">
        <x:f>MAX(0,G583+J583-K583)</x:f>
        <x:v>900</x:v>
      </x:c>
      <x:c r="O583" s="8" t="n">
        <x:f>SUM(L583:N583)</x:f>
        <x:v>900</x:v>
      </x:c>
      <x:c r="P583" s="14" t="n">
        <x:f>'Current inventory'!V79</x:f>
        <x:v>0.17350000000000002</x:v>
      </x:c>
      <x:c r="Q583" s="14" t="str">
        <x:f>'Current inventory'!W79</x:f>
        <x:v>n.a.</x:v>
      </x:c>
      <x:c r="R583" s="10" t="n">
        <x:f>L583*P583</x:f>
        <x:v>0</x:v>
      </x:c>
      <x:c r="S583" s="10" t="n">
        <x:f>M583*P583</x:f>
        <x:v>0</x:v>
      </x:c>
      <x:c r="T583" s="10" t="n">
        <x:f>N583*P583</x:f>
        <x:v>156.15</x:v>
      </x:c>
      <x:c r="U583" s="10" t="n">
        <x:f>O583*P583</x:f>
        <x:v>156.15</x:v>
      </x:c>
      <x:c r="V583" s="10" t="str">
        <x:f>IF(ISNUMBER(Q583),O583*(Q583-P583),"n.a.")</x:f>
        <x:v>n.a.</x:v>
      </x:c>
      <x:c r="W583" s="10" t="n">
        <x:f>IF(ISNUMBER(Q583),U583,0)</x:f>
        <x:v>0</x:v>
      </x:c>
      <x:c r="X583" s="8" t="n">
        <x:f>MAX(0,K583-SUM(E583:J583))</x:f>
        <x:v>0</x:v>
      </x:c>
      <x:c r="Y583" s="1" t="str">
        <x:f>IF(AND(O583&gt;0,NOT(ISNUMBER(Q583))),"No proposed replacement standard",IF(X583&gt;0,"Demand exceeds available stock",""))</x:f>
        <x:v>No proposed replacement standard</x:v>
      </x:c>
      <x:c r="Z583" s="1" t="n">
        <x:f>IF(ISNUMBER(Q583),1,0)</x:f>
        <x:v>0</x:v>
      </x:c>
    </x:row>
    <x:row r="584" ht="21" customHeight="1">
      <x:c r="A584" s="17" t="n">
        <x:f>Summary!B19</x:f>
        <x:v>46447</x:v>
      </x:c>
      <x:c r="B584" s="1" t="str">
        <x:f>'Current inventory'!A80</x:f>
        <x:v>10</x:v>
      </x:c>
      <x:c r="C584" s="1" t="str">
        <x:f>'Current inventory'!B80</x:f>
        <x:v>800WNAVBRC</x:v>
      </x:c>
      <x:c r="D584" s="7" t="n">
        <x:f>A458</x:f>
        <x:v>46419</x:v>
      </x:c>
      <x:c r="E584" s="8" t="n">
        <x:f>L458</x:f>
        <x:v>0</x:v>
      </x:c>
      <x:c r="F584" s="8" t="n">
        <x:f>M458</x:f>
        <x:v>0</x:v>
      </x:c>
      <x:c r="G584" s="8" t="n">
        <x:f>N458</x:f>
        <x:v>600</x:v>
      </x:c>
      <x:c r="H584" s="8" t="n">
        <x:f>SUMIFS('PO detail'!$U$2:$U$672,'PO detail'!$A$2:$A$672,B584,'PO detail'!$B$2:$B$672,C584,'PO detail'!$G$2:$G$672,"&gt;="&amp;D584,'PO detail'!$G$2:$G$672,"&lt;"&amp;A584)</x:f>
        <x:v>0</x:v>
      </x:c>
      <x:c r="I584" s="8" t="n">
        <x:f>SUMIFS('PO detail'!$V$2:$V$672,'PO detail'!$A$2:$A$672,B584,'PO detail'!$B$2:$B$672,C584,'PO detail'!$G$2:$G$672,"&gt;="&amp;D584,'PO detail'!$G$2:$G$672,"&lt;"&amp;A584)</x:f>
        <x:v>0</x:v>
      </x:c>
      <x:c r="J584" s="8" t="n">
        <x:f>SUMIFS('PO detail'!$W$2:$W$672,'PO detail'!$A$2:$A$672,B584,'PO detail'!$B$2:$B$672,C584,'PO detail'!$G$2:$G$672,"&gt;="&amp;D584,'PO detail'!$G$2:$G$672,"&lt;"&amp;A584)</x:f>
        <x:v>0</x:v>
      </x:c>
      <x:c r="K584" s="8" t="n">
        <x:f>'Current inventory'!E80*Summary!$D$6*(A584-D584)/30.4375</x:f>
        <x:v>0</x:v>
      </x:c>
      <x:c r="L584" s="8" t="n">
        <x:f>MAX(0,E584+H584-K584)</x:f>
        <x:v>0</x:v>
      </x:c>
      <x:c r="M584" s="8" t="n">
        <x:f>MAX(0,F584+I584-MAX(0,K584-E584-H584))</x:f>
        <x:v>0</x:v>
      </x:c>
      <x:c r="N584" s="8" t="n">
        <x:f>MAX(0,G584+J584-K584)</x:f>
        <x:v>600</x:v>
      </x:c>
      <x:c r="O584" s="8" t="n">
        <x:f>SUM(L584:N584)</x:f>
        <x:v>600</x:v>
      </x:c>
      <x:c r="P584" s="14" t="n">
        <x:f>'Current inventory'!V80</x:f>
        <x:v>0.17350000000000002</x:v>
      </x:c>
      <x:c r="Q584" s="14" t="str">
        <x:f>'Current inventory'!W80</x:f>
        <x:v>n.a.</x:v>
      </x:c>
      <x:c r="R584" s="10" t="n">
        <x:f>L584*P584</x:f>
        <x:v>0</x:v>
      </x:c>
      <x:c r="S584" s="10" t="n">
        <x:f>M584*P584</x:f>
        <x:v>0</x:v>
      </x:c>
      <x:c r="T584" s="10" t="n">
        <x:f>N584*P584</x:f>
        <x:v>104.10000000000001</x:v>
      </x:c>
      <x:c r="U584" s="10" t="n">
        <x:f>O584*P584</x:f>
        <x:v>104.10000000000001</x:v>
      </x:c>
      <x:c r="V584" s="10" t="str">
        <x:f>IF(ISNUMBER(Q584),O584*(Q584-P584),"n.a.")</x:f>
        <x:v>n.a.</x:v>
      </x:c>
      <x:c r="W584" s="10" t="n">
        <x:f>IF(ISNUMBER(Q584),U584,0)</x:f>
        <x:v>0</x:v>
      </x:c>
      <x:c r="X584" s="8" t="n">
        <x:f>MAX(0,K584-SUM(E584:J584))</x:f>
        <x:v>0</x:v>
      </x:c>
      <x:c r="Y584" s="1" t="str">
        <x:f>IF(AND(O584&gt;0,NOT(ISNUMBER(Q584))),"No proposed replacement standard",IF(X584&gt;0,"Demand exceeds available stock",""))</x:f>
        <x:v>No proposed replacement standard</x:v>
      </x:c>
      <x:c r="Z584" s="1" t="n">
        <x:f>IF(ISNUMBER(Q584),1,0)</x:f>
        <x:v>0</x:v>
      </x:c>
    </x:row>
    <x:row r="585" ht="21" customHeight="1">
      <x:c r="A585" s="17" t="n">
        <x:f>Summary!B19</x:f>
        <x:v>46447</x:v>
      </x:c>
      <x:c r="B585" s="1" t="str">
        <x:f>'Current inventory'!A81</x:f>
        <x:v>10</x:v>
      </x:c>
      <x:c r="C585" s="1" t="str">
        <x:f>'Current inventory'!B81</x:f>
        <x:v>800WREDASC</x:v>
      </x:c>
      <x:c r="D585" s="7" t="n">
        <x:f>A459</x:f>
        <x:v>46419</x:v>
      </x:c>
      <x:c r="E585" s="8" t="n">
        <x:f>L459</x:f>
        <x:v>0</x:v>
      </x:c>
      <x:c r="F585" s="8" t="n">
        <x:f>M459</x:f>
        <x:v>0</x:v>
      </x:c>
      <x:c r="G585" s="8" t="n">
        <x:f>N459</x:f>
        <x:v>0</x:v>
      </x:c>
      <x:c r="H585" s="8" t="n">
        <x:f>SUMIFS('PO detail'!$U$2:$U$672,'PO detail'!$A$2:$A$672,B585,'PO detail'!$B$2:$B$672,C585,'PO detail'!$G$2:$G$672,"&gt;="&amp;D585,'PO detail'!$G$2:$G$672,"&lt;"&amp;A585)</x:f>
        <x:v>0</x:v>
      </x:c>
      <x:c r="I585" s="8" t="n">
        <x:f>SUMIFS('PO detail'!$V$2:$V$672,'PO detail'!$A$2:$A$672,B585,'PO detail'!$B$2:$B$672,C585,'PO detail'!$G$2:$G$672,"&gt;="&amp;D585,'PO detail'!$G$2:$G$672,"&lt;"&amp;A585)</x:f>
        <x:v>0</x:v>
      </x:c>
      <x:c r="J585" s="8" t="n">
        <x:f>SUMIFS('PO detail'!$W$2:$W$672,'PO detail'!$A$2:$A$672,B585,'PO detail'!$B$2:$B$672,C585,'PO detail'!$G$2:$G$672,"&gt;="&amp;D585,'PO detail'!$G$2:$G$672,"&lt;"&amp;A585)</x:f>
        <x:v>0</x:v>
      </x:c>
      <x:c r="K585" s="8" t="n">
        <x:f>'Current inventory'!E81*Summary!$D$6*(A585-D585)/30.4375</x:f>
        <x:v>0</x:v>
      </x:c>
      <x:c r="L585" s="8" t="n">
        <x:f>MAX(0,E585+H585-K585)</x:f>
        <x:v>0</x:v>
      </x:c>
      <x:c r="M585" s="8" t="n">
        <x:f>MAX(0,F585+I585-MAX(0,K585-E585-H585))</x:f>
        <x:v>0</x:v>
      </x:c>
      <x:c r="N585" s="8" t="n">
        <x:f>MAX(0,G585+J585-K585)</x:f>
        <x:v>0</x:v>
      </x:c>
      <x:c r="O585" s="8" t="n">
        <x:f>SUM(L585:N585)</x:f>
        <x:v>0</x:v>
      </x:c>
      <x:c r="P585" s="14" t="n">
        <x:f>'Current inventory'!V81</x:f>
        <x:v>0.07919999999999999</x:v>
      </x:c>
      <x:c r="Q585" s="14" t="str">
        <x:f>'Current inventory'!W81</x:f>
        <x:v>n.a.</x:v>
      </x:c>
      <x:c r="R585" s="10" t="n">
        <x:f>L585*P585</x:f>
        <x:v>0</x:v>
      </x:c>
      <x:c r="S585" s="10" t="n">
        <x:f>M585*P585</x:f>
        <x:v>0</x:v>
      </x:c>
      <x:c r="T585" s="10" t="n">
        <x:f>N585*P585</x:f>
        <x:v>0</x:v>
      </x:c>
      <x:c r="U585" s="10" t="n">
        <x:f>O585*P585</x:f>
        <x:v>0</x:v>
      </x:c>
      <x:c r="V585" s="10" t="str">
        <x:f>IF(ISNUMBER(Q585),O585*(Q585-P585),"n.a.")</x:f>
        <x:v>n.a.</x:v>
      </x:c>
      <x:c r="W585" s="10" t="n">
        <x:f>IF(ISNUMBER(Q585),U585,0)</x:f>
        <x:v>0</x:v>
      </x:c>
      <x:c r="X585" s="8" t="n">
        <x:f>MAX(0,K585-SUM(E585:J585))</x:f>
        <x:v>0</x:v>
      </x:c>
      <x:c r="Y585" s="1" t="str">
        <x:f>IF(AND(O585&gt;0,NOT(ISNUMBER(Q585))),"No proposed replacement standard",IF(X585&gt;0,"Demand exceeds available stock",""))</x:f>
      </x:c>
      <x:c r="Z585" s="1" t="n">
        <x:f>IF(ISNUMBER(Q585),1,0)</x:f>
        <x:v>0</x:v>
      </x:c>
    </x:row>
    <x:row r="586" ht="21" customHeight="1">
      <x:c r="A586" s="17" t="n">
        <x:f>Summary!B19</x:f>
        <x:v>46447</x:v>
      </x:c>
      <x:c r="B586" s="1" t="str">
        <x:f>'Current inventory'!A82</x:f>
        <x:v>10</x:v>
      </x:c>
      <x:c r="C586" s="1" t="str">
        <x:f>'Current inventory'!B82</x:f>
        <x:v>800WREDBRC</x:v>
      </x:c>
      <x:c r="D586" s="7" t="n">
        <x:f>A460</x:f>
        <x:v>46419</x:v>
      </x:c>
      <x:c r="E586" s="8" t="n">
        <x:f>L460</x:f>
        <x:v>0</x:v>
      </x:c>
      <x:c r="F586" s="8" t="n">
        <x:f>M460</x:f>
        <x:v>0</x:v>
      </x:c>
      <x:c r="G586" s="8" t="n">
        <x:f>N460</x:f>
        <x:v>0</x:v>
      </x:c>
      <x:c r="H586" s="8" t="n">
        <x:f>SUMIFS('PO detail'!$U$2:$U$672,'PO detail'!$A$2:$A$672,B586,'PO detail'!$B$2:$B$672,C586,'PO detail'!$G$2:$G$672,"&gt;="&amp;D586,'PO detail'!$G$2:$G$672,"&lt;"&amp;A586)</x:f>
        <x:v>0</x:v>
      </x:c>
      <x:c r="I586" s="8" t="n">
        <x:f>SUMIFS('PO detail'!$V$2:$V$672,'PO detail'!$A$2:$A$672,B586,'PO detail'!$B$2:$B$672,C586,'PO detail'!$G$2:$G$672,"&gt;="&amp;D586,'PO detail'!$G$2:$G$672,"&lt;"&amp;A586)</x:f>
        <x:v>0</x:v>
      </x:c>
      <x:c r="J586" s="8" t="n">
        <x:f>SUMIFS('PO detail'!$W$2:$W$672,'PO detail'!$A$2:$A$672,B586,'PO detail'!$B$2:$B$672,C586,'PO detail'!$G$2:$G$672,"&gt;="&amp;D586,'PO detail'!$G$2:$G$672,"&lt;"&amp;A586)</x:f>
        <x:v>0</x:v>
      </x:c>
      <x:c r="K586" s="8" t="n">
        <x:f>'Current inventory'!E82*Summary!$D$6*(A586-D586)/30.4375</x:f>
        <x:v>0</x:v>
      </x:c>
      <x:c r="L586" s="8" t="n">
        <x:f>MAX(0,E586+H586-K586)</x:f>
        <x:v>0</x:v>
      </x:c>
      <x:c r="M586" s="8" t="n">
        <x:f>MAX(0,F586+I586-MAX(0,K586-E586-H586))</x:f>
        <x:v>0</x:v>
      </x:c>
      <x:c r="N586" s="8" t="n">
        <x:f>MAX(0,G586+J586-K586)</x:f>
        <x:v>0</x:v>
      </x:c>
      <x:c r="O586" s="8" t="n">
        <x:f>SUM(L586:N586)</x:f>
        <x:v>0</x:v>
      </x:c>
      <x:c r="P586" s="14" t="n">
        <x:f>'Current inventory'!V82</x:f>
        <x:v>0.0898</x:v>
      </x:c>
      <x:c r="Q586" s="14" t="str">
        <x:f>'Current inventory'!W82</x:f>
        <x:v>n.a.</x:v>
      </x:c>
      <x:c r="R586" s="10" t="n">
        <x:f>L586*P586</x:f>
        <x:v>0</x:v>
      </x:c>
      <x:c r="S586" s="10" t="n">
        <x:f>M586*P586</x:f>
        <x:v>0</x:v>
      </x:c>
      <x:c r="T586" s="10" t="n">
        <x:f>N586*P586</x:f>
        <x:v>0</x:v>
      </x:c>
      <x:c r="U586" s="10" t="n">
        <x:f>O586*P586</x:f>
        <x:v>0</x:v>
      </x:c>
      <x:c r="V586" s="10" t="str">
        <x:f>IF(ISNUMBER(Q586),O586*(Q586-P586),"n.a.")</x:f>
        <x:v>n.a.</x:v>
      </x:c>
      <x:c r="W586" s="10" t="n">
        <x:f>IF(ISNUMBER(Q586),U586,0)</x:f>
        <x:v>0</x:v>
      </x:c>
      <x:c r="X586" s="8" t="n">
        <x:f>MAX(0,K586-SUM(E586:J586))</x:f>
        <x:v>0</x:v>
      </x:c>
      <x:c r="Y586" s="1" t="str">
        <x:f>IF(AND(O586&gt;0,NOT(ISNUMBER(Q586))),"No proposed replacement standard",IF(X586&gt;0,"Demand exceeds available stock",""))</x:f>
      </x:c>
      <x:c r="Z586" s="1" t="n">
        <x:f>IF(ISNUMBER(Q586),1,0)</x:f>
        <x:v>0</x:v>
      </x:c>
    </x:row>
    <x:row r="587" ht="21" customHeight="1">
      <x:c r="A587" s="17" t="n">
        <x:f>Summary!B19</x:f>
        <x:v>46447</x:v>
      </x:c>
      <x:c r="B587" s="1" t="str">
        <x:f>'Current inventory'!A83</x:f>
        <x:v>10</x:v>
      </x:c>
      <x:c r="C587" s="1" t="str">
        <x:f>'Current inventory'!B83</x:f>
        <x:v>800WWHTASC</x:v>
      </x:c>
      <x:c r="D587" s="7" t="n">
        <x:f>A461</x:f>
        <x:v>46419</x:v>
      </x:c>
      <x:c r="E587" s="8" t="n">
        <x:f>L461</x:f>
        <x:v>0</x:v>
      </x:c>
      <x:c r="F587" s="8" t="n">
        <x:f>M461</x:f>
        <x:v>0</x:v>
      </x:c>
      <x:c r="G587" s="8" t="n">
        <x:f>N461</x:f>
        <x:v>0</x:v>
      </x:c>
      <x:c r="H587" s="8" t="n">
        <x:f>SUMIFS('PO detail'!$U$2:$U$672,'PO detail'!$A$2:$A$672,B587,'PO detail'!$B$2:$B$672,C587,'PO detail'!$G$2:$G$672,"&gt;="&amp;D587,'PO detail'!$G$2:$G$672,"&lt;"&amp;A587)</x:f>
        <x:v>0</x:v>
      </x:c>
      <x:c r="I587" s="8" t="n">
        <x:f>SUMIFS('PO detail'!$V$2:$V$672,'PO detail'!$A$2:$A$672,B587,'PO detail'!$B$2:$B$672,C587,'PO detail'!$G$2:$G$672,"&gt;="&amp;D587,'PO detail'!$G$2:$G$672,"&lt;"&amp;A587)</x:f>
        <x:v>0</x:v>
      </x:c>
      <x:c r="J587" s="8" t="n">
        <x:f>SUMIFS('PO detail'!$W$2:$W$672,'PO detail'!$A$2:$A$672,B587,'PO detail'!$B$2:$B$672,C587,'PO detail'!$G$2:$G$672,"&gt;="&amp;D587,'PO detail'!$G$2:$G$672,"&lt;"&amp;A587)</x:f>
        <x:v>0</x:v>
      </x:c>
      <x:c r="K587" s="8" t="n">
        <x:f>'Current inventory'!E83*Summary!$D$6*(A587-D587)/30.4375</x:f>
        <x:v>0</x:v>
      </x:c>
      <x:c r="L587" s="8" t="n">
        <x:f>MAX(0,E587+H587-K587)</x:f>
        <x:v>0</x:v>
      </x:c>
      <x:c r="M587" s="8" t="n">
        <x:f>MAX(0,F587+I587-MAX(0,K587-E587-H587))</x:f>
        <x:v>0</x:v>
      </x:c>
      <x:c r="N587" s="8" t="n">
        <x:f>MAX(0,G587+J587-K587)</x:f>
        <x:v>0</x:v>
      </x:c>
      <x:c r="O587" s="8" t="n">
        <x:f>SUM(L587:N587)</x:f>
        <x:v>0</x:v>
      </x:c>
      <x:c r="P587" s="14" t="n">
        <x:f>'Current inventory'!V83</x:f>
        <x:v>0.1456</x:v>
      </x:c>
      <x:c r="Q587" s="14" t="str">
        <x:f>'Current inventory'!W83</x:f>
        <x:v>n.a.</x:v>
      </x:c>
      <x:c r="R587" s="10" t="n">
        <x:f>L587*P587</x:f>
        <x:v>0</x:v>
      </x:c>
      <x:c r="S587" s="10" t="n">
        <x:f>M587*P587</x:f>
        <x:v>0</x:v>
      </x:c>
      <x:c r="T587" s="10" t="n">
        <x:f>N587*P587</x:f>
        <x:v>0</x:v>
      </x:c>
      <x:c r="U587" s="10" t="n">
        <x:f>O587*P587</x:f>
        <x:v>0</x:v>
      </x:c>
      <x:c r="V587" s="10" t="str">
        <x:f>IF(ISNUMBER(Q587),O587*(Q587-P587),"n.a.")</x:f>
        <x:v>n.a.</x:v>
      </x:c>
      <x:c r="W587" s="10" t="n">
        <x:f>IF(ISNUMBER(Q587),U587,0)</x:f>
        <x:v>0</x:v>
      </x:c>
      <x:c r="X587" s="8" t="n">
        <x:f>MAX(0,K587-SUM(E587:J587))</x:f>
        <x:v>0</x:v>
      </x:c>
      <x:c r="Y587" s="1" t="str">
        <x:f>IF(AND(O587&gt;0,NOT(ISNUMBER(Q587))),"No proposed replacement standard",IF(X587&gt;0,"Demand exceeds available stock",""))</x:f>
      </x:c>
      <x:c r="Z587" s="1" t="n">
        <x:f>IF(ISNUMBER(Q587),1,0)</x:f>
        <x:v>0</x:v>
      </x:c>
    </x:row>
    <x:row r="588" ht="21" customHeight="1">
      <x:c r="A588" s="17" t="n">
        <x:f>Summary!B19</x:f>
        <x:v>46447</x:v>
      </x:c>
      <x:c r="B588" s="1" t="str">
        <x:f>'Current inventory'!A84</x:f>
        <x:v>10</x:v>
      </x:c>
      <x:c r="C588" s="1" t="str">
        <x:f>'Current inventory'!B84</x:f>
        <x:v>800WWHTBRC</x:v>
      </x:c>
      <x:c r="D588" s="7" t="n">
        <x:f>A462</x:f>
        <x:v>46419</x:v>
      </x:c>
      <x:c r="E588" s="8" t="n">
        <x:f>L462</x:f>
        <x:v>0</x:v>
      </x:c>
      <x:c r="F588" s="8" t="n">
        <x:f>M462</x:f>
        <x:v>0</x:v>
      </x:c>
      <x:c r="G588" s="8" t="n">
        <x:f>N462</x:f>
        <x:v>0</x:v>
      </x:c>
      <x:c r="H588" s="8" t="n">
        <x:f>SUMIFS('PO detail'!$U$2:$U$672,'PO detail'!$A$2:$A$672,B588,'PO detail'!$B$2:$B$672,C588,'PO detail'!$G$2:$G$672,"&gt;="&amp;D588,'PO detail'!$G$2:$G$672,"&lt;"&amp;A588)</x:f>
        <x:v>0</x:v>
      </x:c>
      <x:c r="I588" s="8" t="n">
        <x:f>SUMIFS('PO detail'!$V$2:$V$672,'PO detail'!$A$2:$A$672,B588,'PO detail'!$B$2:$B$672,C588,'PO detail'!$G$2:$G$672,"&gt;="&amp;D588,'PO detail'!$G$2:$G$672,"&lt;"&amp;A588)</x:f>
        <x:v>0</x:v>
      </x:c>
      <x:c r="J588" s="8" t="n">
        <x:f>SUMIFS('PO detail'!$W$2:$W$672,'PO detail'!$A$2:$A$672,B588,'PO detail'!$B$2:$B$672,C588,'PO detail'!$G$2:$G$672,"&gt;="&amp;D588,'PO detail'!$G$2:$G$672,"&lt;"&amp;A588)</x:f>
        <x:v>0</x:v>
      </x:c>
      <x:c r="K588" s="8" t="n">
        <x:f>'Current inventory'!E84*Summary!$D$6*(A588-D588)/30.4375</x:f>
        <x:v>0</x:v>
      </x:c>
      <x:c r="L588" s="8" t="n">
        <x:f>MAX(0,E588+H588-K588)</x:f>
        <x:v>0</x:v>
      </x:c>
      <x:c r="M588" s="8" t="n">
        <x:f>MAX(0,F588+I588-MAX(0,K588-E588-H588))</x:f>
        <x:v>0</x:v>
      </x:c>
      <x:c r="N588" s="8" t="n">
        <x:f>MAX(0,G588+J588-K588)</x:f>
        <x:v>0</x:v>
      </x:c>
      <x:c r="O588" s="8" t="n">
        <x:f>SUM(L588:N588)</x:f>
        <x:v>0</x:v>
      </x:c>
      <x:c r="P588" s="14" t="n">
        <x:f>'Current inventory'!V84</x:f>
        <x:v>0.18469999999999998</x:v>
      </x:c>
      <x:c r="Q588" s="14" t="str">
        <x:f>'Current inventory'!W84</x:f>
        <x:v>n.a.</x:v>
      </x:c>
      <x:c r="R588" s="10" t="n">
        <x:f>L588*P588</x:f>
        <x:v>0</x:v>
      </x:c>
      <x:c r="S588" s="10" t="n">
        <x:f>M588*P588</x:f>
        <x:v>0</x:v>
      </x:c>
      <x:c r="T588" s="10" t="n">
        <x:f>N588*P588</x:f>
        <x:v>0</x:v>
      </x:c>
      <x:c r="U588" s="10" t="n">
        <x:f>O588*P588</x:f>
        <x:v>0</x:v>
      </x:c>
      <x:c r="V588" s="10" t="str">
        <x:f>IF(ISNUMBER(Q588),O588*(Q588-P588),"n.a.")</x:f>
        <x:v>n.a.</x:v>
      </x:c>
      <x:c r="W588" s="10" t="n">
        <x:f>IF(ISNUMBER(Q588),U588,0)</x:f>
        <x:v>0</x:v>
      </x:c>
      <x:c r="X588" s="8" t="n">
        <x:f>MAX(0,K588-SUM(E588:J588))</x:f>
        <x:v>0</x:v>
      </x:c>
      <x:c r="Y588" s="1" t="str">
        <x:f>IF(AND(O588&gt;0,NOT(ISNUMBER(Q588))),"No proposed replacement standard",IF(X588&gt;0,"Demand exceeds available stock",""))</x:f>
      </x:c>
      <x:c r="Z588" s="1" t="n">
        <x:f>IF(ISNUMBER(Q588),1,0)</x:f>
        <x:v>0</x:v>
      </x:c>
    </x:row>
    <x:row r="589" ht="21" customHeight="1">
      <x:c r="A589" s="17" t="n">
        <x:f>Summary!B19</x:f>
        <x:v>46447</x:v>
      </x:c>
      <x:c r="B589" s="1" t="str">
        <x:f>'Current inventory'!A85</x:f>
        <x:v>30</x:v>
      </x:c>
      <x:c r="C589" s="1" t="str">
        <x:f>'Current inventory'!B85</x:f>
        <x:v>800BFGASC</x:v>
      </x:c>
      <x:c r="D589" s="7" t="n">
        <x:f>A463</x:f>
        <x:v>46419</x:v>
      </x:c>
      <x:c r="E589" s="8" t="n">
        <x:f>L463</x:f>
        <x:v>0</x:v>
      </x:c>
      <x:c r="F589" s="8" t="n">
        <x:f>M463</x:f>
        <x:v>0</x:v>
      </x:c>
      <x:c r="G589" s="8" t="n">
        <x:f>N463</x:f>
        <x:v>0</x:v>
      </x:c>
      <x:c r="H589" s="8" t="n">
        <x:f>SUMIFS('PO detail'!$U$2:$U$672,'PO detail'!$A$2:$A$672,B589,'PO detail'!$B$2:$B$672,C589,'PO detail'!$G$2:$G$672,"&gt;="&amp;D589,'PO detail'!$G$2:$G$672,"&lt;"&amp;A589)</x:f>
        <x:v>0</x:v>
      </x:c>
      <x:c r="I589" s="8" t="n">
        <x:f>SUMIFS('PO detail'!$V$2:$V$672,'PO detail'!$A$2:$A$672,B589,'PO detail'!$B$2:$B$672,C589,'PO detail'!$G$2:$G$672,"&gt;="&amp;D589,'PO detail'!$G$2:$G$672,"&lt;"&amp;A589)</x:f>
        <x:v>0</x:v>
      </x:c>
      <x:c r="J589" s="8" t="n">
        <x:f>SUMIFS('PO detail'!$W$2:$W$672,'PO detail'!$A$2:$A$672,B589,'PO detail'!$B$2:$B$672,C589,'PO detail'!$G$2:$G$672,"&gt;="&amp;D589,'PO detail'!$G$2:$G$672,"&lt;"&amp;A589)</x:f>
        <x:v>0</x:v>
      </x:c>
      <x:c r="K589" s="8" t="n">
        <x:f>'Current inventory'!E85*Summary!$D$6*(A589-D589)/30.4375</x:f>
        <x:v>0</x:v>
      </x:c>
      <x:c r="L589" s="8" t="n">
        <x:f>MAX(0,E589+H589-K589)</x:f>
        <x:v>0</x:v>
      </x:c>
      <x:c r="M589" s="8" t="n">
        <x:f>MAX(0,F589+I589-MAX(0,K589-E589-H589))</x:f>
        <x:v>0</x:v>
      </x:c>
      <x:c r="N589" s="8" t="n">
        <x:f>MAX(0,G589+J589-K589)</x:f>
        <x:v>0</x:v>
      </x:c>
      <x:c r="O589" s="8" t="n">
        <x:f>SUM(L589:N589)</x:f>
        <x:v>0</x:v>
      </x:c>
      <x:c r="P589" s="14" t="n">
        <x:f>'Current inventory'!V85</x:f>
        <x:v>0.1456</x:v>
      </x:c>
      <x:c r="Q589" s="14" t="str">
        <x:f>'Current inventory'!W85</x:f>
        <x:v>n.a.</x:v>
      </x:c>
      <x:c r="R589" s="10" t="n">
        <x:f>L589*P589</x:f>
        <x:v>0</x:v>
      </x:c>
      <x:c r="S589" s="10" t="n">
        <x:f>M589*P589</x:f>
        <x:v>0</x:v>
      </x:c>
      <x:c r="T589" s="10" t="n">
        <x:f>N589*P589</x:f>
        <x:v>0</x:v>
      </x:c>
      <x:c r="U589" s="10" t="n">
        <x:f>O589*P589</x:f>
        <x:v>0</x:v>
      </x:c>
      <x:c r="V589" s="10" t="str">
        <x:f>IF(ISNUMBER(Q589),O589*(Q589-P589),"n.a.")</x:f>
        <x:v>n.a.</x:v>
      </x:c>
      <x:c r="W589" s="10" t="n">
        <x:f>IF(ISNUMBER(Q589),U589,0)</x:f>
        <x:v>0</x:v>
      </x:c>
      <x:c r="X589" s="8" t="n">
        <x:f>MAX(0,K589-SUM(E589:J589))</x:f>
        <x:v>0</x:v>
      </x:c>
      <x:c r="Y589" s="1" t="str">
        <x:f>IF(AND(O589&gt;0,NOT(ISNUMBER(Q589))),"No proposed replacement standard",IF(X589&gt;0,"Demand exceeds available stock",""))</x:f>
      </x:c>
      <x:c r="Z589" s="1" t="n">
        <x:f>IF(ISNUMBER(Q589),1,0)</x:f>
        <x:v>0</x:v>
      </x:c>
    </x:row>
    <x:row r="590" ht="21" customHeight="1">
      <x:c r="A590" s="17" t="n">
        <x:f>Summary!B19</x:f>
        <x:v>46447</x:v>
      </x:c>
      <x:c r="B590" s="1" t="str">
        <x:f>'Current inventory'!A86</x:f>
        <x:v>30</x:v>
      </x:c>
      <x:c r="C590" s="1" t="str">
        <x:f>'Current inventory'!B86</x:f>
        <x:v>800BFGBRC</x:v>
      </x:c>
      <x:c r="D590" s="7" t="n">
        <x:f>A464</x:f>
        <x:v>46419</x:v>
      </x:c>
      <x:c r="E590" s="8" t="n">
        <x:f>L464</x:f>
        <x:v>0</x:v>
      </x:c>
      <x:c r="F590" s="8" t="n">
        <x:f>M464</x:f>
        <x:v>0</x:v>
      </x:c>
      <x:c r="G590" s="8" t="n">
        <x:f>N464</x:f>
        <x:v>0</x:v>
      </x:c>
      <x:c r="H590" s="8" t="n">
        <x:f>SUMIFS('PO detail'!$U$2:$U$672,'PO detail'!$A$2:$A$672,B590,'PO detail'!$B$2:$B$672,C590,'PO detail'!$G$2:$G$672,"&gt;="&amp;D590,'PO detail'!$G$2:$G$672,"&lt;"&amp;A590)</x:f>
        <x:v>0</x:v>
      </x:c>
      <x:c r="I590" s="8" t="n">
        <x:f>SUMIFS('PO detail'!$V$2:$V$672,'PO detail'!$A$2:$A$672,B590,'PO detail'!$B$2:$B$672,C590,'PO detail'!$G$2:$G$672,"&gt;="&amp;D590,'PO detail'!$G$2:$G$672,"&lt;"&amp;A590)</x:f>
        <x:v>0</x:v>
      </x:c>
      <x:c r="J590" s="8" t="n">
        <x:f>SUMIFS('PO detail'!$W$2:$W$672,'PO detail'!$A$2:$A$672,B590,'PO detail'!$B$2:$B$672,C590,'PO detail'!$G$2:$G$672,"&gt;="&amp;D590,'PO detail'!$G$2:$G$672,"&lt;"&amp;A590)</x:f>
        <x:v>0</x:v>
      </x:c>
      <x:c r="K590" s="8" t="n">
        <x:f>'Current inventory'!E86*Summary!$D$6*(A590-D590)/30.4375</x:f>
        <x:v>0</x:v>
      </x:c>
      <x:c r="L590" s="8" t="n">
        <x:f>MAX(0,E590+H590-K590)</x:f>
        <x:v>0</x:v>
      </x:c>
      <x:c r="M590" s="8" t="n">
        <x:f>MAX(0,F590+I590-MAX(0,K590-E590-H590))</x:f>
        <x:v>0</x:v>
      </x:c>
      <x:c r="N590" s="8" t="n">
        <x:f>MAX(0,G590+J590-K590)</x:f>
        <x:v>0</x:v>
      </x:c>
      <x:c r="O590" s="8" t="n">
        <x:f>SUM(L590:N590)</x:f>
        <x:v>0</x:v>
      </x:c>
      <x:c r="P590" s="14" t="n">
        <x:f>'Current inventory'!V86</x:f>
        <x:v>0.18469999999999998</x:v>
      </x:c>
      <x:c r="Q590" s="14" t="str">
        <x:f>'Current inventory'!W86</x:f>
        <x:v>n.a.</x:v>
      </x:c>
      <x:c r="R590" s="10" t="n">
        <x:f>L590*P590</x:f>
        <x:v>0</x:v>
      </x:c>
      <x:c r="S590" s="10" t="n">
        <x:f>M590*P590</x:f>
        <x:v>0</x:v>
      </x:c>
      <x:c r="T590" s="10" t="n">
        <x:f>N590*P590</x:f>
        <x:v>0</x:v>
      </x:c>
      <x:c r="U590" s="10" t="n">
        <x:f>O590*P590</x:f>
        <x:v>0</x:v>
      </x:c>
      <x:c r="V590" s="10" t="str">
        <x:f>IF(ISNUMBER(Q590),O590*(Q590-P590),"n.a.")</x:f>
        <x:v>n.a.</x:v>
      </x:c>
      <x:c r="W590" s="10" t="n">
        <x:f>IF(ISNUMBER(Q590),U590,0)</x:f>
        <x:v>0</x:v>
      </x:c>
      <x:c r="X590" s="8" t="n">
        <x:f>MAX(0,K590-SUM(E590:J590))</x:f>
        <x:v>0</x:v>
      </x:c>
      <x:c r="Y590" s="1" t="str">
        <x:f>IF(AND(O590&gt;0,NOT(ISNUMBER(Q590))),"No proposed replacement standard",IF(X590&gt;0,"Demand exceeds available stock",""))</x:f>
      </x:c>
      <x:c r="Z590" s="1" t="n">
        <x:f>IF(ISNUMBER(Q590),1,0)</x:f>
        <x:v>0</x:v>
      </x:c>
    </x:row>
    <x:row r="591" ht="21" customHeight="1">
      <x:c r="A591" s="17" t="n">
        <x:f>Summary!B19</x:f>
        <x:v>46447</x:v>
      </x:c>
      <x:c r="B591" s="1" t="str">
        <x:f>'Current inventory'!A87</x:f>
        <x:v>30</x:v>
      </x:c>
      <x:c r="C591" s="1" t="str">
        <x:f>'Current inventory'!B87</x:f>
        <x:v>800BFGCSC</x:v>
      </x:c>
      <x:c r="D591" s="7" t="n">
        <x:f>A465</x:f>
        <x:v>46419</x:v>
      </x:c>
      <x:c r="E591" s="8" t="n">
        <x:f>L465</x:f>
        <x:v>0</x:v>
      </x:c>
      <x:c r="F591" s="8" t="n">
        <x:f>M465</x:f>
        <x:v>0</x:v>
      </x:c>
      <x:c r="G591" s="8" t="n">
        <x:f>N465</x:f>
        <x:v>0</x:v>
      </x:c>
      <x:c r="H591" s="8" t="n">
        <x:f>SUMIFS('PO detail'!$U$2:$U$672,'PO detail'!$A$2:$A$672,B591,'PO detail'!$B$2:$B$672,C591,'PO detail'!$G$2:$G$672,"&gt;="&amp;D591,'PO detail'!$G$2:$G$672,"&lt;"&amp;A591)</x:f>
        <x:v>0</x:v>
      </x:c>
      <x:c r="I591" s="8" t="n">
        <x:f>SUMIFS('PO detail'!$V$2:$V$672,'PO detail'!$A$2:$A$672,B591,'PO detail'!$B$2:$B$672,C591,'PO detail'!$G$2:$G$672,"&gt;="&amp;D591,'PO detail'!$G$2:$G$672,"&lt;"&amp;A591)</x:f>
        <x:v>0</x:v>
      </x:c>
      <x:c r="J591" s="8" t="n">
        <x:f>SUMIFS('PO detail'!$W$2:$W$672,'PO detail'!$A$2:$A$672,B591,'PO detail'!$B$2:$B$672,C591,'PO detail'!$G$2:$G$672,"&gt;="&amp;D591,'PO detail'!$G$2:$G$672,"&lt;"&amp;A591)</x:f>
        <x:v>0</x:v>
      </x:c>
      <x:c r="K591" s="8" t="n">
        <x:f>'Current inventory'!E87*Summary!$D$6*(A591-D591)/30.4375</x:f>
        <x:v>0</x:v>
      </x:c>
      <x:c r="L591" s="8" t="n">
        <x:f>MAX(0,E591+H591-K591)</x:f>
        <x:v>0</x:v>
      </x:c>
      <x:c r="M591" s="8" t="n">
        <x:f>MAX(0,F591+I591-MAX(0,K591-E591-H591))</x:f>
        <x:v>0</x:v>
      </x:c>
      <x:c r="N591" s="8" t="n">
        <x:f>MAX(0,G591+J591-K591)</x:f>
        <x:v>0</x:v>
      </x:c>
      <x:c r="O591" s="8" t="n">
        <x:f>SUM(L591:N591)</x:f>
        <x:v>0</x:v>
      </x:c>
      <x:c r="P591" s="14" t="n">
        <x:f>'Current inventory'!V87</x:f>
        <x:v>0.21559999999999999</x:v>
      </x:c>
      <x:c r="Q591" s="14" t="str">
        <x:f>'Current inventory'!W87</x:f>
        <x:v>n.a.</x:v>
      </x:c>
      <x:c r="R591" s="10" t="n">
        <x:f>L591*P591</x:f>
        <x:v>0</x:v>
      </x:c>
      <x:c r="S591" s="10" t="n">
        <x:f>M591*P591</x:f>
        <x:v>0</x:v>
      </x:c>
      <x:c r="T591" s="10" t="n">
        <x:f>N591*P591</x:f>
        <x:v>0</x:v>
      </x:c>
      <x:c r="U591" s="10" t="n">
        <x:f>O591*P591</x:f>
        <x:v>0</x:v>
      </x:c>
      <x:c r="V591" s="10" t="str">
        <x:f>IF(ISNUMBER(Q591),O591*(Q591-P591),"n.a.")</x:f>
        <x:v>n.a.</x:v>
      </x:c>
      <x:c r="W591" s="10" t="n">
        <x:f>IF(ISNUMBER(Q591),U591,0)</x:f>
        <x:v>0</x:v>
      </x:c>
      <x:c r="X591" s="8" t="n">
        <x:f>MAX(0,K591-SUM(E591:J591))</x:f>
        <x:v>0</x:v>
      </x:c>
      <x:c r="Y591" s="1" t="str">
        <x:f>IF(AND(O591&gt;0,NOT(ISNUMBER(Q591))),"No proposed replacement standard",IF(X591&gt;0,"Demand exceeds available stock",""))</x:f>
      </x:c>
      <x:c r="Z591" s="1" t="n">
        <x:f>IF(ISNUMBER(Q591),1,0)</x:f>
        <x:v>0</x:v>
      </x:c>
    </x:row>
    <x:row r="592" ht="21" customHeight="1">
      <x:c r="A592" s="17" t="n">
        <x:f>Summary!B19</x:f>
        <x:v>46447</x:v>
      </x:c>
      <x:c r="B592" s="1" t="str">
        <x:f>'Current inventory'!A88</x:f>
        <x:v>30</x:v>
      </x:c>
      <x:c r="C592" s="1" t="str">
        <x:f>'Current inventory'!B88</x:f>
        <x:v>800BFGDSC</x:v>
      </x:c>
      <x:c r="D592" s="7" t="n">
        <x:f>A466</x:f>
        <x:v>46419</x:v>
      </x:c>
      <x:c r="E592" s="8" t="n">
        <x:f>L466</x:f>
        <x:v>0</x:v>
      </x:c>
      <x:c r="F592" s="8" t="n">
        <x:f>M466</x:f>
        <x:v>0</x:v>
      </x:c>
      <x:c r="G592" s="8" t="n">
        <x:f>N466</x:f>
        <x:v>0</x:v>
      </x:c>
      <x:c r="H592" s="8" t="n">
        <x:f>SUMIFS('PO detail'!$U$2:$U$672,'PO detail'!$A$2:$A$672,B592,'PO detail'!$B$2:$B$672,C592,'PO detail'!$G$2:$G$672,"&gt;="&amp;D592,'PO detail'!$G$2:$G$672,"&lt;"&amp;A592)</x:f>
        <x:v>0</x:v>
      </x:c>
      <x:c r="I592" s="8" t="n">
        <x:f>SUMIFS('PO detail'!$V$2:$V$672,'PO detail'!$A$2:$A$672,B592,'PO detail'!$B$2:$B$672,C592,'PO detail'!$G$2:$G$672,"&gt;="&amp;D592,'PO detail'!$G$2:$G$672,"&lt;"&amp;A592)</x:f>
        <x:v>0</x:v>
      </x:c>
      <x:c r="J592" s="8" t="n">
        <x:f>SUMIFS('PO detail'!$W$2:$W$672,'PO detail'!$A$2:$A$672,B592,'PO detail'!$B$2:$B$672,C592,'PO detail'!$G$2:$G$672,"&gt;="&amp;D592,'PO detail'!$G$2:$G$672,"&lt;"&amp;A592)</x:f>
        <x:v>0</x:v>
      </x:c>
      <x:c r="K592" s="8" t="n">
        <x:f>'Current inventory'!E88*Summary!$D$6*(A592-D592)/30.4375</x:f>
        <x:v>0</x:v>
      </x:c>
      <x:c r="L592" s="8" t="n">
        <x:f>MAX(0,E592+H592-K592)</x:f>
        <x:v>0</x:v>
      </x:c>
      <x:c r="M592" s="8" t="n">
        <x:f>MAX(0,F592+I592-MAX(0,K592-E592-H592))</x:f>
        <x:v>0</x:v>
      </x:c>
      <x:c r="N592" s="8" t="n">
        <x:f>MAX(0,G592+J592-K592)</x:f>
        <x:v>0</x:v>
      </x:c>
      <x:c r="O592" s="8" t="n">
        <x:f>SUM(L592:N592)</x:f>
        <x:v>0</x:v>
      </x:c>
      <x:c r="P592" s="14" t="n">
        <x:f>'Current inventory'!V88</x:f>
        <x:v>0.38</x:v>
      </x:c>
      <x:c r="Q592" s="14" t="str">
        <x:f>'Current inventory'!W88</x:f>
        <x:v>n.a.</x:v>
      </x:c>
      <x:c r="R592" s="10" t="n">
        <x:f>L592*P592</x:f>
        <x:v>0</x:v>
      </x:c>
      <x:c r="S592" s="10" t="n">
        <x:f>M592*P592</x:f>
        <x:v>0</x:v>
      </x:c>
      <x:c r="T592" s="10" t="n">
        <x:f>N592*P592</x:f>
        <x:v>0</x:v>
      </x:c>
      <x:c r="U592" s="10" t="n">
        <x:f>O592*P592</x:f>
        <x:v>0</x:v>
      </x:c>
      <x:c r="V592" s="10" t="str">
        <x:f>IF(ISNUMBER(Q592),O592*(Q592-P592),"n.a.")</x:f>
        <x:v>n.a.</x:v>
      </x:c>
      <x:c r="W592" s="10" t="n">
        <x:f>IF(ISNUMBER(Q592),U592,0)</x:f>
        <x:v>0</x:v>
      </x:c>
      <x:c r="X592" s="8" t="n">
        <x:f>MAX(0,K592-SUM(E592:J592))</x:f>
        <x:v>0</x:v>
      </x:c>
      <x:c r="Y592" s="1" t="str">
        <x:f>IF(AND(O592&gt;0,NOT(ISNUMBER(Q592))),"No proposed replacement standard",IF(X592&gt;0,"Demand exceeds available stock",""))</x:f>
      </x:c>
      <x:c r="Z592" s="1" t="n">
        <x:f>IF(ISNUMBER(Q592),1,0)</x:f>
        <x:v>0</x:v>
      </x:c>
    </x:row>
    <x:row r="593" ht="21" customHeight="1">
      <x:c r="A593" s="17" t="n">
        <x:f>Summary!B19</x:f>
        <x:v>46447</x:v>
      </x:c>
      <x:c r="B593" s="1" t="str">
        <x:f>'Current inventory'!A89</x:f>
        <x:v>30</x:v>
      </x:c>
      <x:c r="C593" s="1" t="str">
        <x:f>'Current inventory'!B89</x:f>
        <x:v>800BFGISC</x:v>
      </x:c>
      <x:c r="D593" s="7" t="n">
        <x:f>A467</x:f>
        <x:v>46419</x:v>
      </x:c>
      <x:c r="E593" s="8" t="n">
        <x:f>L467</x:f>
        <x:v>0</x:v>
      </x:c>
      <x:c r="F593" s="8" t="n">
        <x:f>M467</x:f>
        <x:v>0</x:v>
      </x:c>
      <x:c r="G593" s="8" t="n">
        <x:f>N467</x:f>
        <x:v>0</x:v>
      </x:c>
      <x:c r="H593" s="8" t="n">
        <x:f>SUMIFS('PO detail'!$U$2:$U$672,'PO detail'!$A$2:$A$672,B593,'PO detail'!$B$2:$B$672,C593,'PO detail'!$G$2:$G$672,"&gt;="&amp;D593,'PO detail'!$G$2:$G$672,"&lt;"&amp;A593)</x:f>
        <x:v>0</x:v>
      </x:c>
      <x:c r="I593" s="8" t="n">
        <x:f>SUMIFS('PO detail'!$V$2:$V$672,'PO detail'!$A$2:$A$672,B593,'PO detail'!$B$2:$B$672,C593,'PO detail'!$G$2:$G$672,"&gt;="&amp;D593,'PO detail'!$G$2:$G$672,"&lt;"&amp;A593)</x:f>
        <x:v>0</x:v>
      </x:c>
      <x:c r="J593" s="8" t="n">
        <x:f>SUMIFS('PO detail'!$W$2:$W$672,'PO detail'!$A$2:$A$672,B593,'PO detail'!$B$2:$B$672,C593,'PO detail'!$G$2:$G$672,"&gt;="&amp;D593,'PO detail'!$G$2:$G$672,"&lt;"&amp;A593)</x:f>
        <x:v>0</x:v>
      </x:c>
      <x:c r="K593" s="8" t="n">
        <x:f>'Current inventory'!E89*Summary!$D$6*(A593-D593)/30.4375</x:f>
        <x:v>0</x:v>
      </x:c>
      <x:c r="L593" s="8" t="n">
        <x:f>MAX(0,E593+H593-K593)</x:f>
        <x:v>0</x:v>
      </x:c>
      <x:c r="M593" s="8" t="n">
        <x:f>MAX(0,F593+I593-MAX(0,K593-E593-H593))</x:f>
        <x:v>0</x:v>
      </x:c>
      <x:c r="N593" s="8" t="n">
        <x:f>MAX(0,G593+J593-K593)</x:f>
        <x:v>0</x:v>
      </x:c>
      <x:c r="O593" s="8" t="n">
        <x:f>SUM(L593:N593)</x:f>
        <x:v>0</x:v>
      </x:c>
      <x:c r="P593" s="14" t="n">
        <x:f>'Current inventory'!V89</x:f>
        <x:v>0.1797</x:v>
      </x:c>
      <x:c r="Q593" s="14" t="str">
        <x:f>'Current inventory'!W89</x:f>
        <x:v>n.a.</x:v>
      </x:c>
      <x:c r="R593" s="10" t="n">
        <x:f>L593*P593</x:f>
        <x:v>0</x:v>
      </x:c>
      <x:c r="S593" s="10" t="n">
        <x:f>M593*P593</x:f>
        <x:v>0</x:v>
      </x:c>
      <x:c r="T593" s="10" t="n">
        <x:f>N593*P593</x:f>
        <x:v>0</x:v>
      </x:c>
      <x:c r="U593" s="10" t="n">
        <x:f>O593*P593</x:f>
        <x:v>0</x:v>
      </x:c>
      <x:c r="V593" s="10" t="str">
        <x:f>IF(ISNUMBER(Q593),O593*(Q593-P593),"n.a.")</x:f>
        <x:v>n.a.</x:v>
      </x:c>
      <x:c r="W593" s="10" t="n">
        <x:f>IF(ISNUMBER(Q593),U593,0)</x:f>
        <x:v>0</x:v>
      </x:c>
      <x:c r="X593" s="8" t="n">
        <x:f>MAX(0,K593-SUM(E593:J593))</x:f>
        <x:v>0</x:v>
      </x:c>
      <x:c r="Y593" s="1" t="str">
        <x:f>IF(AND(O593&gt;0,NOT(ISNUMBER(Q593))),"No proposed replacement standard",IF(X593&gt;0,"Demand exceeds available stock",""))</x:f>
      </x:c>
      <x:c r="Z593" s="1" t="n">
        <x:f>IF(ISNUMBER(Q593),1,0)</x:f>
        <x:v>0</x:v>
      </x:c>
    </x:row>
    <x:row r="594" ht="21" customHeight="1">
      <x:c r="A594" s="17" t="n">
        <x:f>Summary!B19</x:f>
        <x:v>46447</x:v>
      </x:c>
      <x:c r="B594" s="1" t="str">
        <x:f>'Current inventory'!A90</x:f>
        <x:v>30</x:v>
      </x:c>
      <x:c r="C594" s="1" t="str">
        <x:f>'Current inventory'!B90</x:f>
        <x:v>800BWHTASC</x:v>
      </x:c>
      <x:c r="D594" s="7" t="n">
        <x:f>A468</x:f>
        <x:v>46419</x:v>
      </x:c>
      <x:c r="E594" s="8" t="n">
        <x:f>L468</x:f>
        <x:v>0</x:v>
      </x:c>
      <x:c r="F594" s="8" t="n">
        <x:f>M468</x:f>
        <x:v>0</x:v>
      </x:c>
      <x:c r="G594" s="8" t="n">
        <x:f>N468</x:f>
        <x:v>0</x:v>
      </x:c>
      <x:c r="H594" s="8" t="n">
        <x:f>SUMIFS('PO detail'!$U$2:$U$672,'PO detail'!$A$2:$A$672,B594,'PO detail'!$B$2:$B$672,C594,'PO detail'!$G$2:$G$672,"&gt;="&amp;D594,'PO detail'!$G$2:$G$672,"&lt;"&amp;A594)</x:f>
        <x:v>0</x:v>
      </x:c>
      <x:c r="I594" s="8" t="n">
        <x:f>SUMIFS('PO detail'!$V$2:$V$672,'PO detail'!$A$2:$A$672,B594,'PO detail'!$B$2:$B$672,C594,'PO detail'!$G$2:$G$672,"&gt;="&amp;D594,'PO detail'!$G$2:$G$672,"&lt;"&amp;A594)</x:f>
        <x:v>0</x:v>
      </x:c>
      <x:c r="J594" s="8" t="n">
        <x:f>SUMIFS('PO detail'!$W$2:$W$672,'PO detail'!$A$2:$A$672,B594,'PO detail'!$B$2:$B$672,C594,'PO detail'!$G$2:$G$672,"&gt;="&amp;D594,'PO detail'!$G$2:$G$672,"&lt;"&amp;A594)</x:f>
        <x:v>0</x:v>
      </x:c>
      <x:c r="K594" s="8" t="n">
        <x:f>'Current inventory'!E90*Summary!$D$6*(A594-D594)/30.4375</x:f>
        <x:v>0</x:v>
      </x:c>
      <x:c r="L594" s="8" t="n">
        <x:f>MAX(0,E594+H594-K594)</x:f>
        <x:v>0</x:v>
      </x:c>
      <x:c r="M594" s="8" t="n">
        <x:f>MAX(0,F594+I594-MAX(0,K594-E594-H594))</x:f>
        <x:v>0</x:v>
      </x:c>
      <x:c r="N594" s="8" t="n">
        <x:f>MAX(0,G594+J594-K594)</x:f>
        <x:v>0</x:v>
      </x:c>
      <x:c r="O594" s="8" t="n">
        <x:f>SUM(L594:N594)</x:f>
        <x:v>0</x:v>
      </x:c>
      <x:c r="P594" s="14" t="n">
        <x:f>'Current inventory'!V90</x:f>
        <x:v>0.1456</x:v>
      </x:c>
      <x:c r="Q594" s="14" t="str">
        <x:f>'Current inventory'!W90</x:f>
        <x:v>n.a.</x:v>
      </x:c>
      <x:c r="R594" s="10" t="n">
        <x:f>L594*P594</x:f>
        <x:v>0</x:v>
      </x:c>
      <x:c r="S594" s="10" t="n">
        <x:f>M594*P594</x:f>
        <x:v>0</x:v>
      </x:c>
      <x:c r="T594" s="10" t="n">
        <x:f>N594*P594</x:f>
        <x:v>0</x:v>
      </x:c>
      <x:c r="U594" s="10" t="n">
        <x:f>O594*P594</x:f>
        <x:v>0</x:v>
      </x:c>
      <x:c r="V594" s="10" t="str">
        <x:f>IF(ISNUMBER(Q594),O594*(Q594-P594),"n.a.")</x:f>
        <x:v>n.a.</x:v>
      </x:c>
      <x:c r="W594" s="10" t="n">
        <x:f>IF(ISNUMBER(Q594),U594,0)</x:f>
        <x:v>0</x:v>
      </x:c>
      <x:c r="X594" s="8" t="n">
        <x:f>MAX(0,K594-SUM(E594:J594))</x:f>
        <x:v>0</x:v>
      </x:c>
      <x:c r="Y594" s="1" t="str">
        <x:f>IF(AND(O594&gt;0,NOT(ISNUMBER(Q594))),"No proposed replacement standard",IF(X594&gt;0,"Demand exceeds available stock",""))</x:f>
      </x:c>
      <x:c r="Z594" s="1" t="n">
        <x:f>IF(ISNUMBER(Q594),1,0)</x:f>
        <x:v>0</x:v>
      </x:c>
    </x:row>
    <x:row r="595" ht="21" customHeight="1">
      <x:c r="A595" s="17" t="n">
        <x:f>Summary!B19</x:f>
        <x:v>46447</x:v>
      </x:c>
      <x:c r="B595" s="1" t="str">
        <x:f>'Current inventory'!A91</x:f>
        <x:v>30</x:v>
      </x:c>
      <x:c r="C595" s="1" t="str">
        <x:f>'Current inventory'!B91</x:f>
        <x:v>800BWHTBRC</x:v>
      </x:c>
      <x:c r="D595" s="7" t="n">
        <x:f>A469</x:f>
        <x:v>46419</x:v>
      </x:c>
      <x:c r="E595" s="8" t="n">
        <x:f>L469</x:f>
        <x:v>0</x:v>
      </x:c>
      <x:c r="F595" s="8" t="n">
        <x:f>M469</x:f>
        <x:v>0</x:v>
      </x:c>
      <x:c r="G595" s="8" t="n">
        <x:f>N469</x:f>
        <x:v>0</x:v>
      </x:c>
      <x:c r="H595" s="8" t="n">
        <x:f>SUMIFS('PO detail'!$U$2:$U$672,'PO detail'!$A$2:$A$672,B595,'PO detail'!$B$2:$B$672,C595,'PO detail'!$G$2:$G$672,"&gt;="&amp;D595,'PO detail'!$G$2:$G$672,"&lt;"&amp;A595)</x:f>
        <x:v>0</x:v>
      </x:c>
      <x:c r="I595" s="8" t="n">
        <x:f>SUMIFS('PO detail'!$V$2:$V$672,'PO detail'!$A$2:$A$672,B595,'PO detail'!$B$2:$B$672,C595,'PO detail'!$G$2:$G$672,"&gt;="&amp;D595,'PO detail'!$G$2:$G$672,"&lt;"&amp;A595)</x:f>
        <x:v>0</x:v>
      </x:c>
      <x:c r="J595" s="8" t="n">
        <x:f>SUMIFS('PO detail'!$W$2:$W$672,'PO detail'!$A$2:$A$672,B595,'PO detail'!$B$2:$B$672,C595,'PO detail'!$G$2:$G$672,"&gt;="&amp;D595,'PO detail'!$G$2:$G$672,"&lt;"&amp;A595)</x:f>
        <x:v>0</x:v>
      </x:c>
      <x:c r="K595" s="8" t="n">
        <x:f>'Current inventory'!E91*Summary!$D$6*(A595-D595)/30.4375</x:f>
        <x:v>0</x:v>
      </x:c>
      <x:c r="L595" s="8" t="n">
        <x:f>MAX(0,E595+H595-K595)</x:f>
        <x:v>0</x:v>
      </x:c>
      <x:c r="M595" s="8" t="n">
        <x:f>MAX(0,F595+I595-MAX(0,K595-E595-H595))</x:f>
        <x:v>0</x:v>
      </x:c>
      <x:c r="N595" s="8" t="n">
        <x:f>MAX(0,G595+J595-K595)</x:f>
        <x:v>0</x:v>
      </x:c>
      <x:c r="O595" s="8" t="n">
        <x:f>SUM(L595:N595)</x:f>
        <x:v>0</x:v>
      </x:c>
      <x:c r="P595" s="14" t="n">
        <x:f>'Current inventory'!V91</x:f>
        <x:v>0.18469999999999998</x:v>
      </x:c>
      <x:c r="Q595" s="14" t="str">
        <x:f>'Current inventory'!W91</x:f>
        <x:v>n.a.</x:v>
      </x:c>
      <x:c r="R595" s="10" t="n">
        <x:f>L595*P595</x:f>
        <x:v>0</x:v>
      </x:c>
      <x:c r="S595" s="10" t="n">
        <x:f>M595*P595</x:f>
        <x:v>0</x:v>
      </x:c>
      <x:c r="T595" s="10" t="n">
        <x:f>N595*P595</x:f>
        <x:v>0</x:v>
      </x:c>
      <x:c r="U595" s="10" t="n">
        <x:f>O595*P595</x:f>
        <x:v>0</x:v>
      </x:c>
      <x:c r="V595" s="10" t="str">
        <x:f>IF(ISNUMBER(Q595),O595*(Q595-P595),"n.a.")</x:f>
        <x:v>n.a.</x:v>
      </x:c>
      <x:c r="W595" s="10" t="n">
        <x:f>IF(ISNUMBER(Q595),U595,0)</x:f>
        <x:v>0</x:v>
      </x:c>
      <x:c r="X595" s="8" t="n">
        <x:f>MAX(0,K595-SUM(E595:J595))</x:f>
        <x:v>0</x:v>
      </x:c>
      <x:c r="Y595" s="1" t="str">
        <x:f>IF(AND(O595&gt;0,NOT(ISNUMBER(Q595))),"No proposed replacement standard",IF(X595&gt;0,"Demand exceeds available stock",""))</x:f>
      </x:c>
      <x:c r="Z595" s="1" t="n">
        <x:f>IF(ISNUMBER(Q595),1,0)</x:f>
        <x:v>0</x:v>
      </x:c>
    </x:row>
    <x:row r="596" ht="21" customHeight="1">
      <x:c r="A596" s="17" t="n">
        <x:f>Summary!B19</x:f>
        <x:v>46447</x:v>
      </x:c>
      <x:c r="B596" s="1" t="str">
        <x:f>'Current inventory'!A92</x:f>
        <x:v>30</x:v>
      </x:c>
      <x:c r="C596" s="1" t="str">
        <x:f>'Current inventory'!B92</x:f>
        <x:v>800BWHTCSC</x:v>
      </x:c>
      <x:c r="D596" s="7" t="n">
        <x:f>A470</x:f>
        <x:v>46419</x:v>
      </x:c>
      <x:c r="E596" s="8" t="n">
        <x:f>L470</x:f>
        <x:v>0</x:v>
      </x:c>
      <x:c r="F596" s="8" t="n">
        <x:f>M470</x:f>
        <x:v>0</x:v>
      </x:c>
      <x:c r="G596" s="8" t="n">
        <x:f>N470</x:f>
        <x:v>0</x:v>
      </x:c>
      <x:c r="H596" s="8" t="n">
        <x:f>SUMIFS('PO detail'!$U$2:$U$672,'PO detail'!$A$2:$A$672,B596,'PO detail'!$B$2:$B$672,C596,'PO detail'!$G$2:$G$672,"&gt;="&amp;D596,'PO detail'!$G$2:$G$672,"&lt;"&amp;A596)</x:f>
        <x:v>0</x:v>
      </x:c>
      <x:c r="I596" s="8" t="n">
        <x:f>SUMIFS('PO detail'!$V$2:$V$672,'PO detail'!$A$2:$A$672,B596,'PO detail'!$B$2:$B$672,C596,'PO detail'!$G$2:$G$672,"&gt;="&amp;D596,'PO detail'!$G$2:$G$672,"&lt;"&amp;A596)</x:f>
        <x:v>0</x:v>
      </x:c>
      <x:c r="J596" s="8" t="n">
        <x:f>SUMIFS('PO detail'!$W$2:$W$672,'PO detail'!$A$2:$A$672,B596,'PO detail'!$B$2:$B$672,C596,'PO detail'!$G$2:$G$672,"&gt;="&amp;D596,'PO detail'!$G$2:$G$672,"&lt;"&amp;A596)</x:f>
        <x:v>0</x:v>
      </x:c>
      <x:c r="K596" s="8" t="n">
        <x:f>'Current inventory'!E92*Summary!$D$6*(A596-D596)/30.4375</x:f>
        <x:v>0</x:v>
      </x:c>
      <x:c r="L596" s="8" t="n">
        <x:f>MAX(0,E596+H596-K596)</x:f>
        <x:v>0</x:v>
      </x:c>
      <x:c r="M596" s="8" t="n">
        <x:f>MAX(0,F596+I596-MAX(0,K596-E596-H596))</x:f>
        <x:v>0</x:v>
      </x:c>
      <x:c r="N596" s="8" t="n">
        <x:f>MAX(0,G596+J596-K596)</x:f>
        <x:v>0</x:v>
      </x:c>
      <x:c r="O596" s="8" t="n">
        <x:f>SUM(L596:N596)</x:f>
        <x:v>0</x:v>
      </x:c>
      <x:c r="P596" s="14" t="n">
        <x:f>'Current inventory'!V92</x:f>
        <x:v>0.21559999999999999</x:v>
      </x:c>
      <x:c r="Q596" s="14" t="str">
        <x:f>'Current inventory'!W92</x:f>
        <x:v>n.a.</x:v>
      </x:c>
      <x:c r="R596" s="10" t="n">
        <x:f>L596*P596</x:f>
        <x:v>0</x:v>
      </x:c>
      <x:c r="S596" s="10" t="n">
        <x:f>M596*P596</x:f>
        <x:v>0</x:v>
      </x:c>
      <x:c r="T596" s="10" t="n">
        <x:f>N596*P596</x:f>
        <x:v>0</x:v>
      </x:c>
      <x:c r="U596" s="10" t="n">
        <x:f>O596*P596</x:f>
        <x:v>0</x:v>
      </x:c>
      <x:c r="V596" s="10" t="str">
        <x:f>IF(ISNUMBER(Q596),O596*(Q596-P596),"n.a.")</x:f>
        <x:v>n.a.</x:v>
      </x:c>
      <x:c r="W596" s="10" t="n">
        <x:f>IF(ISNUMBER(Q596),U596,0)</x:f>
        <x:v>0</x:v>
      </x:c>
      <x:c r="X596" s="8" t="n">
        <x:f>MAX(0,K596-SUM(E596:J596))</x:f>
        <x:v>0</x:v>
      </x:c>
      <x:c r="Y596" s="1" t="str">
        <x:f>IF(AND(O596&gt;0,NOT(ISNUMBER(Q596))),"No proposed replacement standard",IF(X596&gt;0,"Demand exceeds available stock",""))</x:f>
      </x:c>
      <x:c r="Z596" s="1" t="n">
        <x:f>IF(ISNUMBER(Q596),1,0)</x:f>
        <x:v>0</x:v>
      </x:c>
    </x:row>
    <x:row r="597" ht="21" customHeight="1">
      <x:c r="A597" s="17" t="n">
        <x:f>Summary!B19</x:f>
        <x:v>46447</x:v>
      </x:c>
      <x:c r="B597" s="1" t="str">
        <x:f>'Current inventory'!A93</x:f>
        <x:v>30</x:v>
      </x:c>
      <x:c r="C597" s="1" t="str">
        <x:f>'Current inventory'!B93</x:f>
        <x:v>800BWHTDSC</x:v>
      </x:c>
      <x:c r="D597" s="7" t="n">
        <x:f>A471</x:f>
        <x:v>46419</x:v>
      </x:c>
      <x:c r="E597" s="8" t="n">
        <x:f>L471</x:f>
        <x:v>0</x:v>
      </x:c>
      <x:c r="F597" s="8" t="n">
        <x:f>M471</x:f>
        <x:v>0</x:v>
      </x:c>
      <x:c r="G597" s="8" t="n">
        <x:f>N471</x:f>
        <x:v>0</x:v>
      </x:c>
      <x:c r="H597" s="8" t="n">
        <x:f>SUMIFS('PO detail'!$U$2:$U$672,'PO detail'!$A$2:$A$672,B597,'PO detail'!$B$2:$B$672,C597,'PO detail'!$G$2:$G$672,"&gt;="&amp;D597,'PO detail'!$G$2:$G$672,"&lt;"&amp;A597)</x:f>
        <x:v>0</x:v>
      </x:c>
      <x:c r="I597" s="8" t="n">
        <x:f>SUMIFS('PO detail'!$V$2:$V$672,'PO detail'!$A$2:$A$672,B597,'PO detail'!$B$2:$B$672,C597,'PO detail'!$G$2:$G$672,"&gt;="&amp;D597,'PO detail'!$G$2:$G$672,"&lt;"&amp;A597)</x:f>
        <x:v>0</x:v>
      </x:c>
      <x:c r="J597" s="8" t="n">
        <x:f>SUMIFS('PO detail'!$W$2:$W$672,'PO detail'!$A$2:$A$672,B597,'PO detail'!$B$2:$B$672,C597,'PO detail'!$G$2:$G$672,"&gt;="&amp;D597,'PO detail'!$G$2:$G$672,"&lt;"&amp;A597)</x:f>
        <x:v>0</x:v>
      </x:c>
      <x:c r="K597" s="8" t="n">
        <x:f>'Current inventory'!E93*Summary!$D$6*(A597-D597)/30.4375</x:f>
        <x:v>0</x:v>
      </x:c>
      <x:c r="L597" s="8" t="n">
        <x:f>MAX(0,E597+H597-K597)</x:f>
        <x:v>0</x:v>
      </x:c>
      <x:c r="M597" s="8" t="n">
        <x:f>MAX(0,F597+I597-MAX(0,K597-E597-H597))</x:f>
        <x:v>0</x:v>
      </x:c>
      <x:c r="N597" s="8" t="n">
        <x:f>MAX(0,G597+J597-K597)</x:f>
        <x:v>0</x:v>
      </x:c>
      <x:c r="O597" s="8" t="n">
        <x:f>SUM(L597:N597)</x:f>
        <x:v>0</x:v>
      </x:c>
      <x:c r="P597" s="14" t="n">
        <x:f>'Current inventory'!V93</x:f>
        <x:v>0.38</x:v>
      </x:c>
      <x:c r="Q597" s="14" t="str">
        <x:f>'Current inventory'!W93</x:f>
        <x:v>n.a.</x:v>
      </x:c>
      <x:c r="R597" s="10" t="n">
        <x:f>L597*P597</x:f>
        <x:v>0</x:v>
      </x:c>
      <x:c r="S597" s="10" t="n">
        <x:f>M597*P597</x:f>
        <x:v>0</x:v>
      </x:c>
      <x:c r="T597" s="10" t="n">
        <x:f>N597*P597</x:f>
        <x:v>0</x:v>
      </x:c>
      <x:c r="U597" s="10" t="n">
        <x:f>O597*P597</x:f>
        <x:v>0</x:v>
      </x:c>
      <x:c r="V597" s="10" t="str">
        <x:f>IF(ISNUMBER(Q597),O597*(Q597-P597),"n.a.")</x:f>
        <x:v>n.a.</x:v>
      </x:c>
      <x:c r="W597" s="10" t="n">
        <x:f>IF(ISNUMBER(Q597),U597,0)</x:f>
        <x:v>0</x:v>
      </x:c>
      <x:c r="X597" s="8" t="n">
        <x:f>MAX(0,K597-SUM(E597:J597))</x:f>
        <x:v>0</x:v>
      </x:c>
      <x:c r="Y597" s="1" t="str">
        <x:f>IF(AND(O597&gt;0,NOT(ISNUMBER(Q597))),"No proposed replacement standard",IF(X597&gt;0,"Demand exceeds available stock",""))</x:f>
      </x:c>
      <x:c r="Z597" s="1" t="n">
        <x:f>IF(ISNUMBER(Q597),1,0)</x:f>
        <x:v>0</x:v>
      </x:c>
    </x:row>
    <x:row r="598" ht="21" customHeight="1">
      <x:c r="A598" s="17" t="n">
        <x:f>Summary!B19</x:f>
        <x:v>46447</x:v>
      </x:c>
      <x:c r="B598" s="1" t="str">
        <x:f>'Current inventory'!A94</x:f>
        <x:v>30</x:v>
      </x:c>
      <x:c r="C598" s="1" t="str">
        <x:f>'Current inventory'!B94</x:f>
        <x:v>800BWHTISC</x:v>
      </x:c>
      <x:c r="D598" s="7" t="n">
        <x:f>A472</x:f>
        <x:v>46419</x:v>
      </x:c>
      <x:c r="E598" s="8" t="n">
        <x:f>L472</x:f>
        <x:v>0</x:v>
      </x:c>
      <x:c r="F598" s="8" t="n">
        <x:f>M472</x:f>
        <x:v>0</x:v>
      </x:c>
      <x:c r="G598" s="8" t="n">
        <x:f>N472</x:f>
        <x:v>0</x:v>
      </x:c>
      <x:c r="H598" s="8" t="n">
        <x:f>SUMIFS('PO detail'!$U$2:$U$672,'PO detail'!$A$2:$A$672,B598,'PO detail'!$B$2:$B$672,C598,'PO detail'!$G$2:$G$672,"&gt;="&amp;D598,'PO detail'!$G$2:$G$672,"&lt;"&amp;A598)</x:f>
        <x:v>0</x:v>
      </x:c>
      <x:c r="I598" s="8" t="n">
        <x:f>SUMIFS('PO detail'!$V$2:$V$672,'PO detail'!$A$2:$A$672,B598,'PO detail'!$B$2:$B$672,C598,'PO detail'!$G$2:$G$672,"&gt;="&amp;D598,'PO detail'!$G$2:$G$672,"&lt;"&amp;A598)</x:f>
        <x:v>0</x:v>
      </x:c>
      <x:c r="J598" s="8" t="n">
        <x:f>SUMIFS('PO detail'!$W$2:$W$672,'PO detail'!$A$2:$A$672,B598,'PO detail'!$B$2:$B$672,C598,'PO detail'!$G$2:$G$672,"&gt;="&amp;D598,'PO detail'!$G$2:$G$672,"&lt;"&amp;A598)</x:f>
        <x:v>0</x:v>
      </x:c>
      <x:c r="K598" s="8" t="n">
        <x:f>'Current inventory'!E94*Summary!$D$6*(A598-D598)/30.4375</x:f>
        <x:v>0</x:v>
      </x:c>
      <x:c r="L598" s="8" t="n">
        <x:f>MAX(0,E598+H598-K598)</x:f>
        <x:v>0</x:v>
      </x:c>
      <x:c r="M598" s="8" t="n">
        <x:f>MAX(0,F598+I598-MAX(0,K598-E598-H598))</x:f>
        <x:v>0</x:v>
      </x:c>
      <x:c r="N598" s="8" t="n">
        <x:f>MAX(0,G598+J598-K598)</x:f>
        <x:v>0</x:v>
      </x:c>
      <x:c r="O598" s="8" t="n">
        <x:f>SUM(L598:N598)</x:f>
        <x:v>0</x:v>
      </x:c>
      <x:c r="P598" s="14" t="n">
        <x:f>'Current inventory'!V94</x:f>
        <x:v>0.1797</x:v>
      </x:c>
      <x:c r="Q598" s="14" t="str">
        <x:f>'Current inventory'!W94</x:f>
        <x:v>n.a.</x:v>
      </x:c>
      <x:c r="R598" s="10" t="n">
        <x:f>L598*P598</x:f>
        <x:v>0</x:v>
      </x:c>
      <x:c r="S598" s="10" t="n">
        <x:f>M598*P598</x:f>
        <x:v>0</x:v>
      </x:c>
      <x:c r="T598" s="10" t="n">
        <x:f>N598*P598</x:f>
        <x:v>0</x:v>
      </x:c>
      <x:c r="U598" s="10" t="n">
        <x:f>O598*P598</x:f>
        <x:v>0</x:v>
      </x:c>
      <x:c r="V598" s="10" t="str">
        <x:f>IF(ISNUMBER(Q598),O598*(Q598-P598),"n.a.")</x:f>
        <x:v>n.a.</x:v>
      </x:c>
      <x:c r="W598" s="10" t="n">
        <x:f>IF(ISNUMBER(Q598),U598,0)</x:f>
        <x:v>0</x:v>
      </x:c>
      <x:c r="X598" s="8" t="n">
        <x:f>MAX(0,K598-SUM(E598:J598))</x:f>
        <x:v>0</x:v>
      </x:c>
      <x:c r="Y598" s="1" t="str">
        <x:f>IF(AND(O598&gt;0,NOT(ISNUMBER(Q598))),"No proposed replacement standard",IF(X598&gt;0,"Demand exceeds available stock",""))</x:f>
      </x:c>
      <x:c r="Z598" s="1" t="n">
        <x:f>IF(ISNUMBER(Q598),1,0)</x:f>
        <x:v>0</x:v>
      </x:c>
    </x:row>
    <x:row r="599" ht="21" customHeight="1">
      <x:c r="A599" s="17" t="n">
        <x:f>Summary!B19</x:f>
        <x:v>46447</x:v>
      </x:c>
      <x:c r="B599" s="1" t="str">
        <x:f>'Current inventory'!A95</x:f>
        <x:v>30</x:v>
      </x:c>
      <x:c r="C599" s="1" t="str">
        <x:f>'Current inventory'!B95</x:f>
        <x:v>800BREDASC</x:v>
      </x:c>
      <x:c r="D599" s="7" t="n">
        <x:f>A473</x:f>
        <x:v>46419</x:v>
      </x:c>
      <x:c r="E599" s="8" t="n">
        <x:f>L473</x:f>
        <x:v>0</x:v>
      </x:c>
      <x:c r="F599" s="8" t="n">
        <x:f>M473</x:f>
        <x:v>0</x:v>
      </x:c>
      <x:c r="G599" s="8" t="n">
        <x:f>N473</x:f>
        <x:v>0</x:v>
      </x:c>
      <x:c r="H599" s="8" t="n">
        <x:f>SUMIFS('PO detail'!$U$2:$U$672,'PO detail'!$A$2:$A$672,B599,'PO detail'!$B$2:$B$672,C599,'PO detail'!$G$2:$G$672,"&gt;="&amp;D599,'PO detail'!$G$2:$G$672,"&lt;"&amp;A599)</x:f>
        <x:v>0</x:v>
      </x:c>
      <x:c r="I599" s="8" t="n">
        <x:f>SUMIFS('PO detail'!$V$2:$V$672,'PO detail'!$A$2:$A$672,B599,'PO detail'!$B$2:$B$672,C599,'PO detail'!$G$2:$G$672,"&gt;="&amp;D599,'PO detail'!$G$2:$G$672,"&lt;"&amp;A599)</x:f>
        <x:v>0</x:v>
      </x:c>
      <x:c r="J599" s="8" t="n">
        <x:f>SUMIFS('PO detail'!$W$2:$W$672,'PO detail'!$A$2:$A$672,B599,'PO detail'!$B$2:$B$672,C599,'PO detail'!$G$2:$G$672,"&gt;="&amp;D599,'PO detail'!$G$2:$G$672,"&lt;"&amp;A599)</x:f>
        <x:v>0</x:v>
      </x:c>
      <x:c r="K599" s="8" t="n">
        <x:f>'Current inventory'!E95*Summary!$D$6*(A599-D599)/30.4375</x:f>
        <x:v>0</x:v>
      </x:c>
      <x:c r="L599" s="8" t="n">
        <x:f>MAX(0,E599+H599-K599)</x:f>
        <x:v>0</x:v>
      </x:c>
      <x:c r="M599" s="8" t="n">
        <x:f>MAX(0,F599+I599-MAX(0,K599-E599-H599))</x:f>
        <x:v>0</x:v>
      </x:c>
      <x:c r="N599" s="8" t="n">
        <x:f>MAX(0,G599+J599-K599)</x:f>
        <x:v>0</x:v>
      </x:c>
      <x:c r="O599" s="8" t="n">
        <x:f>SUM(L599:N599)</x:f>
        <x:v>0</x:v>
      </x:c>
      <x:c r="P599" s="14" t="n">
        <x:f>'Current inventory'!V95</x:f>
        <x:v>0.07919999999999999</x:v>
      </x:c>
      <x:c r="Q599" s="14" t="str">
        <x:f>'Current inventory'!W95</x:f>
        <x:v>n.a.</x:v>
      </x:c>
      <x:c r="R599" s="10" t="n">
        <x:f>L599*P599</x:f>
        <x:v>0</x:v>
      </x:c>
      <x:c r="S599" s="10" t="n">
        <x:f>M599*P599</x:f>
        <x:v>0</x:v>
      </x:c>
      <x:c r="T599" s="10" t="n">
        <x:f>N599*P599</x:f>
        <x:v>0</x:v>
      </x:c>
      <x:c r="U599" s="10" t="n">
        <x:f>O599*P599</x:f>
        <x:v>0</x:v>
      </x:c>
      <x:c r="V599" s="10" t="str">
        <x:f>IF(ISNUMBER(Q599),O599*(Q599-P599),"n.a.")</x:f>
        <x:v>n.a.</x:v>
      </x:c>
      <x:c r="W599" s="10" t="n">
        <x:f>IF(ISNUMBER(Q599),U599,0)</x:f>
        <x:v>0</x:v>
      </x:c>
      <x:c r="X599" s="8" t="n">
        <x:f>MAX(0,K599-SUM(E599:J599))</x:f>
        <x:v>0</x:v>
      </x:c>
      <x:c r="Y599" s="1" t="str">
        <x:f>IF(AND(O599&gt;0,NOT(ISNUMBER(Q599))),"No proposed replacement standard",IF(X599&gt;0,"Demand exceeds available stock",""))</x:f>
      </x:c>
      <x:c r="Z599" s="1" t="n">
        <x:f>IF(ISNUMBER(Q599),1,0)</x:f>
        <x:v>0</x:v>
      </x:c>
    </x:row>
    <x:row r="600" ht="21" customHeight="1">
      <x:c r="A600" s="17" t="n">
        <x:f>Summary!B19</x:f>
        <x:v>46447</x:v>
      </x:c>
      <x:c r="B600" s="1" t="str">
        <x:f>'Current inventory'!A96</x:f>
        <x:v>30</x:v>
      </x:c>
      <x:c r="C600" s="1" t="str">
        <x:f>'Current inventory'!B96</x:f>
        <x:v>800BREDBRC</x:v>
      </x:c>
      <x:c r="D600" s="7" t="n">
        <x:f>A474</x:f>
        <x:v>46419</x:v>
      </x:c>
      <x:c r="E600" s="8" t="n">
        <x:f>L474</x:f>
        <x:v>0</x:v>
      </x:c>
      <x:c r="F600" s="8" t="n">
        <x:f>M474</x:f>
        <x:v>0</x:v>
      </x:c>
      <x:c r="G600" s="8" t="n">
        <x:f>N474</x:f>
        <x:v>0</x:v>
      </x:c>
      <x:c r="H600" s="8" t="n">
        <x:f>SUMIFS('PO detail'!$U$2:$U$672,'PO detail'!$A$2:$A$672,B600,'PO detail'!$B$2:$B$672,C600,'PO detail'!$G$2:$G$672,"&gt;="&amp;D600,'PO detail'!$G$2:$G$672,"&lt;"&amp;A600)</x:f>
        <x:v>0</x:v>
      </x:c>
      <x:c r="I600" s="8" t="n">
        <x:f>SUMIFS('PO detail'!$V$2:$V$672,'PO detail'!$A$2:$A$672,B600,'PO detail'!$B$2:$B$672,C600,'PO detail'!$G$2:$G$672,"&gt;="&amp;D600,'PO detail'!$G$2:$G$672,"&lt;"&amp;A600)</x:f>
        <x:v>0</x:v>
      </x:c>
      <x:c r="J600" s="8" t="n">
        <x:f>SUMIFS('PO detail'!$W$2:$W$672,'PO detail'!$A$2:$A$672,B600,'PO detail'!$B$2:$B$672,C600,'PO detail'!$G$2:$G$672,"&gt;="&amp;D600,'PO detail'!$G$2:$G$672,"&lt;"&amp;A600)</x:f>
        <x:v>0</x:v>
      </x:c>
      <x:c r="K600" s="8" t="n">
        <x:f>'Current inventory'!E96*Summary!$D$6*(A600-D600)/30.4375</x:f>
        <x:v>0</x:v>
      </x:c>
      <x:c r="L600" s="8" t="n">
        <x:f>MAX(0,E600+H600-K600)</x:f>
        <x:v>0</x:v>
      </x:c>
      <x:c r="M600" s="8" t="n">
        <x:f>MAX(0,F600+I600-MAX(0,K600-E600-H600))</x:f>
        <x:v>0</x:v>
      </x:c>
      <x:c r="N600" s="8" t="n">
        <x:f>MAX(0,G600+J600-K600)</x:f>
        <x:v>0</x:v>
      </x:c>
      <x:c r="O600" s="8" t="n">
        <x:f>SUM(L600:N600)</x:f>
        <x:v>0</x:v>
      </x:c>
      <x:c r="P600" s="14" t="n">
        <x:f>'Current inventory'!V96</x:f>
        <x:v>0.0898</x:v>
      </x:c>
      <x:c r="Q600" s="14" t="str">
        <x:f>'Current inventory'!W96</x:f>
        <x:v>n.a.</x:v>
      </x:c>
      <x:c r="R600" s="10" t="n">
        <x:f>L600*P600</x:f>
        <x:v>0</x:v>
      </x:c>
      <x:c r="S600" s="10" t="n">
        <x:f>M600*P600</x:f>
        <x:v>0</x:v>
      </x:c>
      <x:c r="T600" s="10" t="n">
        <x:f>N600*P600</x:f>
        <x:v>0</x:v>
      </x:c>
      <x:c r="U600" s="10" t="n">
        <x:f>O600*P600</x:f>
        <x:v>0</x:v>
      </x:c>
      <x:c r="V600" s="10" t="str">
        <x:f>IF(ISNUMBER(Q600),O600*(Q600-P600),"n.a.")</x:f>
        <x:v>n.a.</x:v>
      </x:c>
      <x:c r="W600" s="10" t="n">
        <x:f>IF(ISNUMBER(Q600),U600,0)</x:f>
        <x:v>0</x:v>
      </x:c>
      <x:c r="X600" s="8" t="n">
        <x:f>MAX(0,K600-SUM(E600:J600))</x:f>
        <x:v>0</x:v>
      </x:c>
      <x:c r="Y600" s="1" t="str">
        <x:f>IF(AND(O600&gt;0,NOT(ISNUMBER(Q600))),"No proposed replacement standard",IF(X600&gt;0,"Demand exceeds available stock",""))</x:f>
      </x:c>
      <x:c r="Z600" s="1" t="n">
        <x:f>IF(ISNUMBER(Q600),1,0)</x:f>
        <x:v>0</x:v>
      </x:c>
    </x:row>
    <x:row r="601" ht="21" customHeight="1">
      <x:c r="A601" s="17" t="n">
        <x:f>Summary!B19</x:f>
        <x:v>46447</x:v>
      </x:c>
      <x:c r="B601" s="1" t="str">
        <x:f>'Current inventory'!A97</x:f>
        <x:v>30</x:v>
      </x:c>
      <x:c r="C601" s="1" t="str">
        <x:f>'Current inventory'!B97</x:f>
        <x:v>800WBLKASC</x:v>
      </x:c>
      <x:c r="D601" s="7" t="n">
        <x:f>A475</x:f>
        <x:v>46419</x:v>
      </x:c>
      <x:c r="E601" s="8" t="n">
        <x:f>L475</x:f>
        <x:v>0</x:v>
      </x:c>
      <x:c r="F601" s="8" t="n">
        <x:f>M475</x:f>
        <x:v>0</x:v>
      </x:c>
      <x:c r="G601" s="8" t="n">
        <x:f>N475</x:f>
        <x:v>0</x:v>
      </x:c>
      <x:c r="H601" s="8" t="n">
        <x:f>SUMIFS('PO detail'!$U$2:$U$672,'PO detail'!$A$2:$A$672,B601,'PO detail'!$B$2:$B$672,C601,'PO detail'!$G$2:$G$672,"&gt;="&amp;D601,'PO detail'!$G$2:$G$672,"&lt;"&amp;A601)</x:f>
        <x:v>0</x:v>
      </x:c>
      <x:c r="I601" s="8" t="n">
        <x:f>SUMIFS('PO detail'!$V$2:$V$672,'PO detail'!$A$2:$A$672,B601,'PO detail'!$B$2:$B$672,C601,'PO detail'!$G$2:$G$672,"&gt;="&amp;D601,'PO detail'!$G$2:$G$672,"&lt;"&amp;A601)</x:f>
        <x:v>0</x:v>
      </x:c>
      <x:c r="J601" s="8" t="n">
        <x:f>SUMIFS('PO detail'!$W$2:$W$672,'PO detail'!$A$2:$A$672,B601,'PO detail'!$B$2:$B$672,C601,'PO detail'!$G$2:$G$672,"&gt;="&amp;D601,'PO detail'!$G$2:$G$672,"&lt;"&amp;A601)</x:f>
        <x:v>0</x:v>
      </x:c>
      <x:c r="K601" s="8" t="n">
        <x:f>'Current inventory'!E97*Summary!$D$6*(A601-D601)/30.4375</x:f>
        <x:v>0</x:v>
      </x:c>
      <x:c r="L601" s="8" t="n">
        <x:f>MAX(0,E601+H601-K601)</x:f>
        <x:v>0</x:v>
      </x:c>
      <x:c r="M601" s="8" t="n">
        <x:f>MAX(0,F601+I601-MAX(0,K601-E601-H601))</x:f>
        <x:v>0</x:v>
      </x:c>
      <x:c r="N601" s="8" t="n">
        <x:f>MAX(0,G601+J601-K601)</x:f>
        <x:v>0</x:v>
      </x:c>
      <x:c r="O601" s="8" t="n">
        <x:f>SUM(L601:N601)</x:f>
        <x:v>0</x:v>
      </x:c>
      <x:c r="P601" s="14" t="n">
        <x:f>'Current inventory'!V97</x:f>
        <x:v>0.111</x:v>
      </x:c>
      <x:c r="Q601" s="14" t="str">
        <x:f>'Current inventory'!W97</x:f>
        <x:v>n.a.</x:v>
      </x:c>
      <x:c r="R601" s="10" t="n">
        <x:f>L601*P601</x:f>
        <x:v>0</x:v>
      </x:c>
      <x:c r="S601" s="10" t="n">
        <x:f>M601*P601</x:f>
        <x:v>0</x:v>
      </x:c>
      <x:c r="T601" s="10" t="n">
        <x:f>N601*P601</x:f>
        <x:v>0</x:v>
      </x:c>
      <x:c r="U601" s="10" t="n">
        <x:f>O601*P601</x:f>
        <x:v>0</x:v>
      </x:c>
      <x:c r="V601" s="10" t="str">
        <x:f>IF(ISNUMBER(Q601),O601*(Q601-P601),"n.a.")</x:f>
        <x:v>n.a.</x:v>
      </x:c>
      <x:c r="W601" s="10" t="n">
        <x:f>IF(ISNUMBER(Q601),U601,0)</x:f>
        <x:v>0</x:v>
      </x:c>
      <x:c r="X601" s="8" t="n">
        <x:f>MAX(0,K601-SUM(E601:J601))</x:f>
        <x:v>0</x:v>
      </x:c>
      <x:c r="Y601" s="1" t="str">
        <x:f>IF(AND(O601&gt;0,NOT(ISNUMBER(Q601))),"No proposed replacement standard",IF(X601&gt;0,"Demand exceeds available stock",""))</x:f>
      </x:c>
      <x:c r="Z601" s="1" t="n">
        <x:f>IF(ISNUMBER(Q601),1,0)</x:f>
        <x:v>0</x:v>
      </x:c>
    </x:row>
    <x:row r="602" ht="21" customHeight="1">
      <x:c r="A602" s="17" t="n">
        <x:f>Summary!B19</x:f>
        <x:v>46447</x:v>
      </x:c>
      <x:c r="B602" s="1" t="str">
        <x:f>'Current inventory'!A98</x:f>
        <x:v>30</x:v>
      </x:c>
      <x:c r="C602" s="1" t="str">
        <x:f>'Current inventory'!B98</x:f>
        <x:v>800WNAVASC</x:v>
      </x:c>
      <x:c r="D602" s="7" t="n">
        <x:f>A476</x:f>
        <x:v>46419</x:v>
      </x:c>
      <x:c r="E602" s="8" t="n">
        <x:f>L476</x:f>
        <x:v>0</x:v>
      </x:c>
      <x:c r="F602" s="8" t="n">
        <x:f>M476</x:f>
        <x:v>0</x:v>
      </x:c>
      <x:c r="G602" s="8" t="n">
        <x:f>N476</x:f>
        <x:v>0</x:v>
      </x:c>
      <x:c r="H602" s="8" t="n">
        <x:f>SUMIFS('PO detail'!$U$2:$U$672,'PO detail'!$A$2:$A$672,B602,'PO detail'!$B$2:$B$672,C602,'PO detail'!$G$2:$G$672,"&gt;="&amp;D602,'PO detail'!$G$2:$G$672,"&lt;"&amp;A602)</x:f>
        <x:v>0</x:v>
      </x:c>
      <x:c r="I602" s="8" t="n">
        <x:f>SUMIFS('PO detail'!$V$2:$V$672,'PO detail'!$A$2:$A$672,B602,'PO detail'!$B$2:$B$672,C602,'PO detail'!$G$2:$G$672,"&gt;="&amp;D602,'PO detail'!$G$2:$G$672,"&lt;"&amp;A602)</x:f>
        <x:v>0</x:v>
      </x:c>
      <x:c r="J602" s="8" t="n">
        <x:f>SUMIFS('PO detail'!$W$2:$W$672,'PO detail'!$A$2:$A$672,B602,'PO detail'!$B$2:$B$672,C602,'PO detail'!$G$2:$G$672,"&gt;="&amp;D602,'PO detail'!$G$2:$G$672,"&lt;"&amp;A602)</x:f>
        <x:v>0</x:v>
      </x:c>
      <x:c r="K602" s="8" t="n">
        <x:f>'Current inventory'!E98*Summary!$D$6*(A602-D602)/30.4375</x:f>
        <x:v>0</x:v>
      </x:c>
      <x:c r="L602" s="8" t="n">
        <x:f>MAX(0,E602+H602-K602)</x:f>
        <x:v>0</x:v>
      </x:c>
      <x:c r="M602" s="8" t="n">
        <x:f>MAX(0,F602+I602-MAX(0,K602-E602-H602))</x:f>
        <x:v>0</x:v>
      </x:c>
      <x:c r="N602" s="8" t="n">
        <x:f>MAX(0,G602+J602-K602)</x:f>
        <x:v>0</x:v>
      </x:c>
      <x:c r="O602" s="8" t="n">
        <x:f>SUM(L602:N602)</x:f>
        <x:v>0</x:v>
      </x:c>
      <x:c r="P602" s="14" t="n">
        <x:f>'Current inventory'!V98</x:f>
        <x:v>0.13570000000000002</x:v>
      </x:c>
      <x:c r="Q602" s="14" t="str">
        <x:f>'Current inventory'!W98</x:f>
        <x:v>n.a.</x:v>
      </x:c>
      <x:c r="R602" s="10" t="n">
        <x:f>L602*P602</x:f>
        <x:v>0</x:v>
      </x:c>
      <x:c r="S602" s="10" t="n">
        <x:f>M602*P602</x:f>
        <x:v>0</x:v>
      </x:c>
      <x:c r="T602" s="10" t="n">
        <x:f>N602*P602</x:f>
        <x:v>0</x:v>
      </x:c>
      <x:c r="U602" s="10" t="n">
        <x:f>O602*P602</x:f>
        <x:v>0</x:v>
      </x:c>
      <x:c r="V602" s="10" t="str">
        <x:f>IF(ISNUMBER(Q602),O602*(Q602-P602),"n.a.")</x:f>
        <x:v>n.a.</x:v>
      </x:c>
      <x:c r="W602" s="10" t="n">
        <x:f>IF(ISNUMBER(Q602),U602,0)</x:f>
        <x:v>0</x:v>
      </x:c>
      <x:c r="X602" s="8" t="n">
        <x:f>MAX(0,K602-SUM(E602:J602))</x:f>
        <x:v>0</x:v>
      </x:c>
      <x:c r="Y602" s="1" t="str">
        <x:f>IF(AND(O602&gt;0,NOT(ISNUMBER(Q602))),"No proposed replacement standard",IF(X602&gt;0,"Demand exceeds available stock",""))</x:f>
      </x:c>
      <x:c r="Z602" s="1" t="n">
        <x:f>IF(ISNUMBER(Q602),1,0)</x:f>
        <x:v>0</x:v>
      </x:c>
    </x:row>
    <x:row r="603" ht="21" customHeight="1">
      <x:c r="A603" s="17" t="n">
        <x:f>Summary!B19</x:f>
        <x:v>46447</x:v>
      </x:c>
      <x:c r="B603" s="1" t="str">
        <x:f>'Current inventory'!A99</x:f>
        <x:v>30</x:v>
      </x:c>
      <x:c r="C603" s="1" t="str">
        <x:f>'Current inventory'!B99</x:f>
        <x:v>800WNAVBRC</x:v>
      </x:c>
      <x:c r="D603" s="7" t="n">
        <x:f>A477</x:f>
        <x:v>46419</x:v>
      </x:c>
      <x:c r="E603" s="8" t="n">
        <x:f>L477</x:f>
        <x:v>0</x:v>
      </x:c>
      <x:c r="F603" s="8" t="n">
        <x:f>M477</x:f>
        <x:v>0</x:v>
      </x:c>
      <x:c r="G603" s="8" t="n">
        <x:f>N477</x:f>
        <x:v>0</x:v>
      </x:c>
      <x:c r="H603" s="8" t="n">
        <x:f>SUMIFS('PO detail'!$U$2:$U$672,'PO detail'!$A$2:$A$672,B603,'PO detail'!$B$2:$B$672,C603,'PO detail'!$G$2:$G$672,"&gt;="&amp;D603,'PO detail'!$G$2:$G$672,"&lt;"&amp;A603)</x:f>
        <x:v>0</x:v>
      </x:c>
      <x:c r="I603" s="8" t="n">
        <x:f>SUMIFS('PO detail'!$V$2:$V$672,'PO detail'!$A$2:$A$672,B603,'PO detail'!$B$2:$B$672,C603,'PO detail'!$G$2:$G$672,"&gt;="&amp;D603,'PO detail'!$G$2:$G$672,"&lt;"&amp;A603)</x:f>
        <x:v>0</x:v>
      </x:c>
      <x:c r="J603" s="8" t="n">
        <x:f>SUMIFS('PO detail'!$W$2:$W$672,'PO detail'!$A$2:$A$672,B603,'PO detail'!$B$2:$B$672,C603,'PO detail'!$G$2:$G$672,"&gt;="&amp;D603,'PO detail'!$G$2:$G$672,"&lt;"&amp;A603)</x:f>
        <x:v>0</x:v>
      </x:c>
      <x:c r="K603" s="8" t="n">
        <x:f>'Current inventory'!E99*Summary!$D$6*(A603-D603)/30.4375</x:f>
        <x:v>0</x:v>
      </x:c>
      <x:c r="L603" s="8" t="n">
        <x:f>MAX(0,E603+H603-K603)</x:f>
        <x:v>0</x:v>
      </x:c>
      <x:c r="M603" s="8" t="n">
        <x:f>MAX(0,F603+I603-MAX(0,K603-E603-H603))</x:f>
        <x:v>0</x:v>
      </x:c>
      <x:c r="N603" s="8" t="n">
        <x:f>MAX(0,G603+J603-K603)</x:f>
        <x:v>0</x:v>
      </x:c>
      <x:c r="O603" s="8" t="n">
        <x:f>SUM(L603:N603)</x:f>
        <x:v>0</x:v>
      </x:c>
      <x:c r="P603" s="14" t="n">
        <x:f>'Current inventory'!V99</x:f>
        <x:v>0.17350000000000002</x:v>
      </x:c>
      <x:c r="Q603" s="14" t="str">
        <x:f>'Current inventory'!W99</x:f>
        <x:v>n.a.</x:v>
      </x:c>
      <x:c r="R603" s="10" t="n">
        <x:f>L603*P603</x:f>
        <x:v>0</x:v>
      </x:c>
      <x:c r="S603" s="10" t="n">
        <x:f>M603*P603</x:f>
        <x:v>0</x:v>
      </x:c>
      <x:c r="T603" s="10" t="n">
        <x:f>N603*P603</x:f>
        <x:v>0</x:v>
      </x:c>
      <x:c r="U603" s="10" t="n">
        <x:f>O603*P603</x:f>
        <x:v>0</x:v>
      </x:c>
      <x:c r="V603" s="10" t="str">
        <x:f>IF(ISNUMBER(Q603),O603*(Q603-P603),"n.a.")</x:f>
        <x:v>n.a.</x:v>
      </x:c>
      <x:c r="W603" s="10" t="n">
        <x:f>IF(ISNUMBER(Q603),U603,0)</x:f>
        <x:v>0</x:v>
      </x:c>
      <x:c r="X603" s="8" t="n">
        <x:f>MAX(0,K603-SUM(E603:J603))</x:f>
        <x:v>0</x:v>
      </x:c>
      <x:c r="Y603" s="1" t="str">
        <x:f>IF(AND(O603&gt;0,NOT(ISNUMBER(Q603))),"No proposed replacement standard",IF(X603&gt;0,"Demand exceeds available stock",""))</x:f>
      </x:c>
      <x:c r="Z603" s="1" t="n">
        <x:f>IF(ISNUMBER(Q603),1,0)</x:f>
        <x:v>0</x:v>
      </x:c>
    </x:row>
    <x:row r="604" ht="21" customHeight="1">
      <x:c r="A604" s="17" t="n">
        <x:f>Summary!B19</x:f>
        <x:v>46447</x:v>
      </x:c>
      <x:c r="B604" s="1" t="str">
        <x:f>'Current inventory'!A100</x:f>
        <x:v>60</x:v>
      </x:c>
      <x:c r="C604" s="1" t="str">
        <x:f>'Current inventory'!B100</x:f>
        <x:v>800BFGASC</x:v>
      </x:c>
      <x:c r="D604" s="7" t="n">
        <x:f>A478</x:f>
        <x:v>46419</x:v>
      </x:c>
      <x:c r="E604" s="8" t="n">
        <x:f>L478</x:f>
        <x:v>0</x:v>
      </x:c>
      <x:c r="F604" s="8" t="n">
        <x:f>M478</x:f>
        <x:v>0</x:v>
      </x:c>
      <x:c r="G604" s="8" t="n">
        <x:f>N478</x:f>
        <x:v>0</x:v>
      </x:c>
      <x:c r="H604" s="8" t="n">
        <x:f>SUMIFS('PO detail'!$U$2:$U$672,'PO detail'!$A$2:$A$672,B604,'PO detail'!$B$2:$B$672,C604,'PO detail'!$G$2:$G$672,"&gt;="&amp;D604,'PO detail'!$G$2:$G$672,"&lt;"&amp;A604)</x:f>
        <x:v>0</x:v>
      </x:c>
      <x:c r="I604" s="8" t="n">
        <x:f>SUMIFS('PO detail'!$V$2:$V$672,'PO detail'!$A$2:$A$672,B604,'PO detail'!$B$2:$B$672,C604,'PO detail'!$G$2:$G$672,"&gt;="&amp;D604,'PO detail'!$G$2:$G$672,"&lt;"&amp;A604)</x:f>
        <x:v>0</x:v>
      </x:c>
      <x:c r="J604" s="8" t="n">
        <x:f>SUMIFS('PO detail'!$W$2:$W$672,'PO detail'!$A$2:$A$672,B604,'PO detail'!$B$2:$B$672,C604,'PO detail'!$G$2:$G$672,"&gt;="&amp;D604,'PO detail'!$G$2:$G$672,"&lt;"&amp;A604)</x:f>
        <x:v>0</x:v>
      </x:c>
      <x:c r="K604" s="8" t="n">
        <x:f>'Current inventory'!E100*Summary!$D$6*(A604-D604)/30.4375</x:f>
        <x:v>0</x:v>
      </x:c>
      <x:c r="L604" s="8" t="n">
        <x:f>MAX(0,E604+H604-K604)</x:f>
        <x:v>0</x:v>
      </x:c>
      <x:c r="M604" s="8" t="n">
        <x:f>MAX(0,F604+I604-MAX(0,K604-E604-H604))</x:f>
        <x:v>0</x:v>
      </x:c>
      <x:c r="N604" s="8" t="n">
        <x:f>MAX(0,G604+J604-K604)</x:f>
        <x:v>0</x:v>
      </x:c>
      <x:c r="O604" s="8" t="n">
        <x:f>SUM(L604:N604)</x:f>
        <x:v>0</x:v>
      </x:c>
      <x:c r="P604" s="14" t="n">
        <x:f>'Current inventory'!V100</x:f>
        <x:v>0.1456</x:v>
      </x:c>
      <x:c r="Q604" s="14" t="str">
        <x:f>'Current inventory'!W100</x:f>
        <x:v>n.a.</x:v>
      </x:c>
      <x:c r="R604" s="10" t="n">
        <x:f>L604*P604</x:f>
        <x:v>0</x:v>
      </x:c>
      <x:c r="S604" s="10" t="n">
        <x:f>M604*P604</x:f>
        <x:v>0</x:v>
      </x:c>
      <x:c r="T604" s="10" t="n">
        <x:f>N604*P604</x:f>
        <x:v>0</x:v>
      </x:c>
      <x:c r="U604" s="10" t="n">
        <x:f>O604*P604</x:f>
        <x:v>0</x:v>
      </x:c>
      <x:c r="V604" s="10" t="str">
        <x:f>IF(ISNUMBER(Q604),O604*(Q604-P604),"n.a.")</x:f>
        <x:v>n.a.</x:v>
      </x:c>
      <x:c r="W604" s="10" t="n">
        <x:f>IF(ISNUMBER(Q604),U604,0)</x:f>
        <x:v>0</x:v>
      </x:c>
      <x:c r="X604" s="8" t="n">
        <x:f>MAX(0,K604-SUM(E604:J604))</x:f>
        <x:v>0</x:v>
      </x:c>
      <x:c r="Y604" s="1" t="str">
        <x:f>IF(AND(O604&gt;0,NOT(ISNUMBER(Q604))),"No proposed replacement standard",IF(X604&gt;0,"Demand exceeds available stock",""))</x:f>
      </x:c>
      <x:c r="Z604" s="1" t="n">
        <x:f>IF(ISNUMBER(Q604),1,0)</x:f>
        <x:v>0</x:v>
      </x:c>
    </x:row>
    <x:row r="605" ht="21" customHeight="1">
      <x:c r="A605" s="17" t="n">
        <x:f>Summary!B19</x:f>
        <x:v>46447</x:v>
      </x:c>
      <x:c r="B605" s="1" t="str">
        <x:f>'Current inventory'!A101</x:f>
        <x:v>60</x:v>
      </x:c>
      <x:c r="C605" s="1" t="str">
        <x:f>'Current inventory'!B101</x:f>
        <x:v>800BFGBRC</x:v>
      </x:c>
      <x:c r="D605" s="7" t="n">
        <x:f>A479</x:f>
        <x:v>46419</x:v>
      </x:c>
      <x:c r="E605" s="8" t="n">
        <x:f>L479</x:f>
        <x:v>0</x:v>
      </x:c>
      <x:c r="F605" s="8" t="n">
        <x:f>M479</x:f>
        <x:v>0</x:v>
      </x:c>
      <x:c r="G605" s="8" t="n">
        <x:f>N479</x:f>
        <x:v>0</x:v>
      </x:c>
      <x:c r="H605" s="8" t="n">
        <x:f>SUMIFS('PO detail'!$U$2:$U$672,'PO detail'!$A$2:$A$672,B605,'PO detail'!$B$2:$B$672,C605,'PO detail'!$G$2:$G$672,"&gt;="&amp;D605,'PO detail'!$G$2:$G$672,"&lt;"&amp;A605)</x:f>
        <x:v>0</x:v>
      </x:c>
      <x:c r="I605" s="8" t="n">
        <x:f>SUMIFS('PO detail'!$V$2:$V$672,'PO detail'!$A$2:$A$672,B605,'PO detail'!$B$2:$B$672,C605,'PO detail'!$G$2:$G$672,"&gt;="&amp;D605,'PO detail'!$G$2:$G$672,"&lt;"&amp;A605)</x:f>
        <x:v>0</x:v>
      </x:c>
      <x:c r="J605" s="8" t="n">
        <x:f>SUMIFS('PO detail'!$W$2:$W$672,'PO detail'!$A$2:$A$672,B605,'PO detail'!$B$2:$B$672,C605,'PO detail'!$G$2:$G$672,"&gt;="&amp;D605,'PO detail'!$G$2:$G$672,"&lt;"&amp;A605)</x:f>
        <x:v>0</x:v>
      </x:c>
      <x:c r="K605" s="8" t="n">
        <x:f>'Current inventory'!E101*Summary!$D$6*(A605-D605)/30.4375</x:f>
        <x:v>0</x:v>
      </x:c>
      <x:c r="L605" s="8" t="n">
        <x:f>MAX(0,E605+H605-K605)</x:f>
        <x:v>0</x:v>
      </x:c>
      <x:c r="M605" s="8" t="n">
        <x:f>MAX(0,F605+I605-MAX(0,K605-E605-H605))</x:f>
        <x:v>0</x:v>
      </x:c>
      <x:c r="N605" s="8" t="n">
        <x:f>MAX(0,G605+J605-K605)</x:f>
        <x:v>0</x:v>
      </x:c>
      <x:c r="O605" s="8" t="n">
        <x:f>SUM(L605:N605)</x:f>
        <x:v>0</x:v>
      </x:c>
      <x:c r="P605" s="14" t="n">
        <x:f>'Current inventory'!V101</x:f>
        <x:v>0.18469999999999998</x:v>
      </x:c>
      <x:c r="Q605" s="14" t="str">
        <x:f>'Current inventory'!W101</x:f>
        <x:v>n.a.</x:v>
      </x:c>
      <x:c r="R605" s="10" t="n">
        <x:f>L605*P605</x:f>
        <x:v>0</x:v>
      </x:c>
      <x:c r="S605" s="10" t="n">
        <x:f>M605*P605</x:f>
        <x:v>0</x:v>
      </x:c>
      <x:c r="T605" s="10" t="n">
        <x:f>N605*P605</x:f>
        <x:v>0</x:v>
      </x:c>
      <x:c r="U605" s="10" t="n">
        <x:f>O605*P605</x:f>
        <x:v>0</x:v>
      </x:c>
      <x:c r="V605" s="10" t="str">
        <x:f>IF(ISNUMBER(Q605),O605*(Q605-P605),"n.a.")</x:f>
        <x:v>n.a.</x:v>
      </x:c>
      <x:c r="W605" s="10" t="n">
        <x:f>IF(ISNUMBER(Q605),U605,0)</x:f>
        <x:v>0</x:v>
      </x:c>
      <x:c r="X605" s="8" t="n">
        <x:f>MAX(0,K605-SUM(E605:J605))</x:f>
        <x:v>0</x:v>
      </x:c>
      <x:c r="Y605" s="1" t="str">
        <x:f>IF(AND(O605&gt;0,NOT(ISNUMBER(Q605))),"No proposed replacement standard",IF(X605&gt;0,"Demand exceeds available stock",""))</x:f>
      </x:c>
      <x:c r="Z605" s="1" t="n">
        <x:f>IF(ISNUMBER(Q605),1,0)</x:f>
        <x:v>0</x:v>
      </x:c>
    </x:row>
    <x:row r="606" ht="21" customHeight="1">
      <x:c r="A606" s="17" t="n">
        <x:f>Summary!B19</x:f>
        <x:v>46447</x:v>
      </x:c>
      <x:c r="B606" s="1" t="str">
        <x:f>'Current inventory'!A102</x:f>
        <x:v>60</x:v>
      </x:c>
      <x:c r="C606" s="1" t="str">
        <x:f>'Current inventory'!B102</x:f>
        <x:v>800BFGCSC</x:v>
      </x:c>
      <x:c r="D606" s="7" t="n">
        <x:f>A480</x:f>
        <x:v>46419</x:v>
      </x:c>
      <x:c r="E606" s="8" t="n">
        <x:f>L480</x:f>
        <x:v>0</x:v>
      </x:c>
      <x:c r="F606" s="8" t="n">
        <x:f>M480</x:f>
        <x:v>0</x:v>
      </x:c>
      <x:c r="G606" s="8" t="n">
        <x:f>N480</x:f>
        <x:v>0</x:v>
      </x:c>
      <x:c r="H606" s="8" t="n">
        <x:f>SUMIFS('PO detail'!$U$2:$U$672,'PO detail'!$A$2:$A$672,B606,'PO detail'!$B$2:$B$672,C606,'PO detail'!$G$2:$G$672,"&gt;="&amp;D606,'PO detail'!$G$2:$G$672,"&lt;"&amp;A606)</x:f>
        <x:v>0</x:v>
      </x:c>
      <x:c r="I606" s="8" t="n">
        <x:f>SUMIFS('PO detail'!$V$2:$V$672,'PO detail'!$A$2:$A$672,B606,'PO detail'!$B$2:$B$672,C606,'PO detail'!$G$2:$G$672,"&gt;="&amp;D606,'PO detail'!$G$2:$G$672,"&lt;"&amp;A606)</x:f>
        <x:v>0</x:v>
      </x:c>
      <x:c r="J606" s="8" t="n">
        <x:f>SUMIFS('PO detail'!$W$2:$W$672,'PO detail'!$A$2:$A$672,B606,'PO detail'!$B$2:$B$672,C606,'PO detail'!$G$2:$G$672,"&gt;="&amp;D606,'PO detail'!$G$2:$G$672,"&lt;"&amp;A606)</x:f>
        <x:v>0</x:v>
      </x:c>
      <x:c r="K606" s="8" t="n">
        <x:f>'Current inventory'!E102*Summary!$D$6*(A606-D606)/30.4375</x:f>
        <x:v>0</x:v>
      </x:c>
      <x:c r="L606" s="8" t="n">
        <x:f>MAX(0,E606+H606-K606)</x:f>
        <x:v>0</x:v>
      </x:c>
      <x:c r="M606" s="8" t="n">
        <x:f>MAX(0,F606+I606-MAX(0,K606-E606-H606))</x:f>
        <x:v>0</x:v>
      </x:c>
      <x:c r="N606" s="8" t="n">
        <x:f>MAX(0,G606+J606-K606)</x:f>
        <x:v>0</x:v>
      </x:c>
      <x:c r="O606" s="8" t="n">
        <x:f>SUM(L606:N606)</x:f>
        <x:v>0</x:v>
      </x:c>
      <x:c r="P606" s="14" t="n">
        <x:f>'Current inventory'!V102</x:f>
        <x:v>0.21559999999999999</x:v>
      </x:c>
      <x:c r="Q606" s="14" t="str">
        <x:f>'Current inventory'!W102</x:f>
        <x:v>n.a.</x:v>
      </x:c>
      <x:c r="R606" s="10" t="n">
        <x:f>L606*P606</x:f>
        <x:v>0</x:v>
      </x:c>
      <x:c r="S606" s="10" t="n">
        <x:f>M606*P606</x:f>
        <x:v>0</x:v>
      </x:c>
      <x:c r="T606" s="10" t="n">
        <x:f>N606*P606</x:f>
        <x:v>0</x:v>
      </x:c>
      <x:c r="U606" s="10" t="n">
        <x:f>O606*P606</x:f>
        <x:v>0</x:v>
      </x:c>
      <x:c r="V606" s="10" t="str">
        <x:f>IF(ISNUMBER(Q606),O606*(Q606-P606),"n.a.")</x:f>
        <x:v>n.a.</x:v>
      </x:c>
      <x:c r="W606" s="10" t="n">
        <x:f>IF(ISNUMBER(Q606),U606,0)</x:f>
        <x:v>0</x:v>
      </x:c>
      <x:c r="X606" s="8" t="n">
        <x:f>MAX(0,K606-SUM(E606:J606))</x:f>
        <x:v>0</x:v>
      </x:c>
      <x:c r="Y606" s="1" t="str">
        <x:f>IF(AND(O606&gt;0,NOT(ISNUMBER(Q606))),"No proposed replacement standard",IF(X606&gt;0,"Demand exceeds available stock",""))</x:f>
      </x:c>
      <x:c r="Z606" s="1" t="n">
        <x:f>IF(ISNUMBER(Q606),1,0)</x:f>
        <x:v>0</x:v>
      </x:c>
    </x:row>
    <x:row r="607" ht="21" customHeight="1">
      <x:c r="A607" s="17" t="n">
        <x:f>Summary!B19</x:f>
        <x:v>46447</x:v>
      </x:c>
      <x:c r="B607" s="1" t="str">
        <x:f>'Current inventory'!A103</x:f>
        <x:v>60</x:v>
      </x:c>
      <x:c r="C607" s="1" t="str">
        <x:f>'Current inventory'!B103</x:f>
        <x:v>800BFGDSC</x:v>
      </x:c>
      <x:c r="D607" s="7" t="n">
        <x:f>A481</x:f>
        <x:v>46419</x:v>
      </x:c>
      <x:c r="E607" s="8" t="n">
        <x:f>L481</x:f>
        <x:v>0</x:v>
      </x:c>
      <x:c r="F607" s="8" t="n">
        <x:f>M481</x:f>
        <x:v>0</x:v>
      </x:c>
      <x:c r="G607" s="8" t="n">
        <x:f>N481</x:f>
        <x:v>0</x:v>
      </x:c>
      <x:c r="H607" s="8" t="n">
        <x:f>SUMIFS('PO detail'!$U$2:$U$672,'PO detail'!$A$2:$A$672,B607,'PO detail'!$B$2:$B$672,C607,'PO detail'!$G$2:$G$672,"&gt;="&amp;D607,'PO detail'!$G$2:$G$672,"&lt;"&amp;A607)</x:f>
        <x:v>0</x:v>
      </x:c>
      <x:c r="I607" s="8" t="n">
        <x:f>SUMIFS('PO detail'!$V$2:$V$672,'PO detail'!$A$2:$A$672,B607,'PO detail'!$B$2:$B$672,C607,'PO detail'!$G$2:$G$672,"&gt;="&amp;D607,'PO detail'!$G$2:$G$672,"&lt;"&amp;A607)</x:f>
        <x:v>0</x:v>
      </x:c>
      <x:c r="J607" s="8" t="n">
        <x:f>SUMIFS('PO detail'!$W$2:$W$672,'PO detail'!$A$2:$A$672,B607,'PO detail'!$B$2:$B$672,C607,'PO detail'!$G$2:$G$672,"&gt;="&amp;D607,'PO detail'!$G$2:$G$672,"&lt;"&amp;A607)</x:f>
        <x:v>0</x:v>
      </x:c>
      <x:c r="K607" s="8" t="n">
        <x:f>'Current inventory'!E103*Summary!$D$6*(A607-D607)/30.4375</x:f>
        <x:v>0</x:v>
      </x:c>
      <x:c r="L607" s="8" t="n">
        <x:f>MAX(0,E607+H607-K607)</x:f>
        <x:v>0</x:v>
      </x:c>
      <x:c r="M607" s="8" t="n">
        <x:f>MAX(0,F607+I607-MAX(0,K607-E607-H607))</x:f>
        <x:v>0</x:v>
      </x:c>
      <x:c r="N607" s="8" t="n">
        <x:f>MAX(0,G607+J607-K607)</x:f>
        <x:v>0</x:v>
      </x:c>
      <x:c r="O607" s="8" t="n">
        <x:f>SUM(L607:N607)</x:f>
        <x:v>0</x:v>
      </x:c>
      <x:c r="P607" s="14" t="n">
        <x:f>'Current inventory'!V103</x:f>
        <x:v>0.38</x:v>
      </x:c>
      <x:c r="Q607" s="14" t="str">
        <x:f>'Current inventory'!W103</x:f>
        <x:v>n.a.</x:v>
      </x:c>
      <x:c r="R607" s="10" t="n">
        <x:f>L607*P607</x:f>
        <x:v>0</x:v>
      </x:c>
      <x:c r="S607" s="10" t="n">
        <x:f>M607*P607</x:f>
        <x:v>0</x:v>
      </x:c>
      <x:c r="T607" s="10" t="n">
        <x:f>N607*P607</x:f>
        <x:v>0</x:v>
      </x:c>
      <x:c r="U607" s="10" t="n">
        <x:f>O607*P607</x:f>
        <x:v>0</x:v>
      </x:c>
      <x:c r="V607" s="10" t="str">
        <x:f>IF(ISNUMBER(Q607),O607*(Q607-P607),"n.a.")</x:f>
        <x:v>n.a.</x:v>
      </x:c>
      <x:c r="W607" s="10" t="n">
        <x:f>IF(ISNUMBER(Q607),U607,0)</x:f>
        <x:v>0</x:v>
      </x:c>
      <x:c r="X607" s="8" t="n">
        <x:f>MAX(0,K607-SUM(E607:J607))</x:f>
        <x:v>0</x:v>
      </x:c>
      <x:c r="Y607" s="1" t="str">
        <x:f>IF(AND(O607&gt;0,NOT(ISNUMBER(Q607))),"No proposed replacement standard",IF(X607&gt;0,"Demand exceeds available stock",""))</x:f>
      </x:c>
      <x:c r="Z607" s="1" t="n">
        <x:f>IF(ISNUMBER(Q607),1,0)</x:f>
        <x:v>0</x:v>
      </x:c>
    </x:row>
    <x:row r="608" ht="21" customHeight="1">
      <x:c r="A608" s="17" t="n">
        <x:f>Summary!B19</x:f>
        <x:v>46447</x:v>
      </x:c>
      <x:c r="B608" s="1" t="str">
        <x:f>'Current inventory'!A104</x:f>
        <x:v>60</x:v>
      </x:c>
      <x:c r="C608" s="1" t="str">
        <x:f>'Current inventory'!B104</x:f>
        <x:v>800BFGISC</x:v>
      </x:c>
      <x:c r="D608" s="7" t="n">
        <x:f>A482</x:f>
        <x:v>46419</x:v>
      </x:c>
      <x:c r="E608" s="8" t="n">
        <x:f>L482</x:f>
        <x:v>0</x:v>
      </x:c>
      <x:c r="F608" s="8" t="n">
        <x:f>M482</x:f>
        <x:v>0</x:v>
      </x:c>
      <x:c r="G608" s="8" t="n">
        <x:f>N482</x:f>
        <x:v>0</x:v>
      </x:c>
      <x:c r="H608" s="8" t="n">
        <x:f>SUMIFS('PO detail'!$U$2:$U$672,'PO detail'!$A$2:$A$672,B608,'PO detail'!$B$2:$B$672,C608,'PO detail'!$G$2:$G$672,"&gt;="&amp;D608,'PO detail'!$G$2:$G$672,"&lt;"&amp;A608)</x:f>
        <x:v>0</x:v>
      </x:c>
      <x:c r="I608" s="8" t="n">
        <x:f>SUMIFS('PO detail'!$V$2:$V$672,'PO detail'!$A$2:$A$672,B608,'PO detail'!$B$2:$B$672,C608,'PO detail'!$G$2:$G$672,"&gt;="&amp;D608,'PO detail'!$G$2:$G$672,"&lt;"&amp;A608)</x:f>
        <x:v>0</x:v>
      </x:c>
      <x:c r="J608" s="8" t="n">
        <x:f>SUMIFS('PO detail'!$W$2:$W$672,'PO detail'!$A$2:$A$672,B608,'PO detail'!$B$2:$B$672,C608,'PO detail'!$G$2:$G$672,"&gt;="&amp;D608,'PO detail'!$G$2:$G$672,"&lt;"&amp;A608)</x:f>
        <x:v>0</x:v>
      </x:c>
      <x:c r="K608" s="8" t="n">
        <x:f>'Current inventory'!E104*Summary!$D$6*(A608-D608)/30.4375</x:f>
        <x:v>0</x:v>
      </x:c>
      <x:c r="L608" s="8" t="n">
        <x:f>MAX(0,E608+H608-K608)</x:f>
        <x:v>0</x:v>
      </x:c>
      <x:c r="M608" s="8" t="n">
        <x:f>MAX(0,F608+I608-MAX(0,K608-E608-H608))</x:f>
        <x:v>0</x:v>
      </x:c>
      <x:c r="N608" s="8" t="n">
        <x:f>MAX(0,G608+J608-K608)</x:f>
        <x:v>0</x:v>
      </x:c>
      <x:c r="O608" s="8" t="n">
        <x:f>SUM(L608:N608)</x:f>
        <x:v>0</x:v>
      </x:c>
      <x:c r="P608" s="14" t="n">
        <x:f>'Current inventory'!V104</x:f>
        <x:v>0.1797</x:v>
      </x:c>
      <x:c r="Q608" s="14" t="str">
        <x:f>'Current inventory'!W104</x:f>
        <x:v>n.a.</x:v>
      </x:c>
      <x:c r="R608" s="10" t="n">
        <x:f>L608*P608</x:f>
        <x:v>0</x:v>
      </x:c>
      <x:c r="S608" s="10" t="n">
        <x:f>M608*P608</x:f>
        <x:v>0</x:v>
      </x:c>
      <x:c r="T608" s="10" t="n">
        <x:f>N608*P608</x:f>
        <x:v>0</x:v>
      </x:c>
      <x:c r="U608" s="10" t="n">
        <x:f>O608*P608</x:f>
        <x:v>0</x:v>
      </x:c>
      <x:c r="V608" s="10" t="str">
        <x:f>IF(ISNUMBER(Q608),O608*(Q608-P608),"n.a.")</x:f>
        <x:v>n.a.</x:v>
      </x:c>
      <x:c r="W608" s="10" t="n">
        <x:f>IF(ISNUMBER(Q608),U608,0)</x:f>
        <x:v>0</x:v>
      </x:c>
      <x:c r="X608" s="8" t="n">
        <x:f>MAX(0,K608-SUM(E608:J608))</x:f>
        <x:v>0</x:v>
      </x:c>
      <x:c r="Y608" s="1" t="str">
        <x:f>IF(AND(O608&gt;0,NOT(ISNUMBER(Q608))),"No proposed replacement standard",IF(X608&gt;0,"Demand exceeds available stock",""))</x:f>
      </x:c>
      <x:c r="Z608" s="1" t="n">
        <x:f>IF(ISNUMBER(Q608),1,0)</x:f>
        <x:v>0</x:v>
      </x:c>
    </x:row>
    <x:row r="609" ht="21" customHeight="1">
      <x:c r="A609" s="17" t="n">
        <x:f>Summary!B19</x:f>
        <x:v>46447</x:v>
      </x:c>
      <x:c r="B609" s="1" t="str">
        <x:f>'Current inventory'!A105</x:f>
        <x:v>60</x:v>
      </x:c>
      <x:c r="C609" s="1" t="str">
        <x:f>'Current inventory'!B105</x:f>
        <x:v>800BLKF</x:v>
      </x:c>
      <x:c r="D609" s="7" t="n">
        <x:f>A483</x:f>
        <x:v>46419</x:v>
      </x:c>
      <x:c r="E609" s="8" t="n">
        <x:f>L483</x:f>
        <x:v>0</x:v>
      </x:c>
      <x:c r="F609" s="8" t="n">
        <x:f>M483</x:f>
        <x:v>0</x:v>
      </x:c>
      <x:c r="G609" s="8" t="n">
        <x:f>N483</x:f>
        <x:v>0</x:v>
      </x:c>
      <x:c r="H609" s="8" t="n">
        <x:f>SUMIFS('PO detail'!$U$2:$U$672,'PO detail'!$A$2:$A$672,B609,'PO detail'!$B$2:$B$672,C609,'PO detail'!$G$2:$G$672,"&gt;="&amp;D609,'PO detail'!$G$2:$G$672,"&lt;"&amp;A609)</x:f>
        <x:v>0</x:v>
      </x:c>
      <x:c r="I609" s="8" t="n">
        <x:f>SUMIFS('PO detail'!$V$2:$V$672,'PO detail'!$A$2:$A$672,B609,'PO detail'!$B$2:$B$672,C609,'PO detail'!$G$2:$G$672,"&gt;="&amp;D609,'PO detail'!$G$2:$G$672,"&lt;"&amp;A609)</x:f>
        <x:v>0</x:v>
      </x:c>
      <x:c r="J609" s="8" t="n">
        <x:f>SUMIFS('PO detail'!$W$2:$W$672,'PO detail'!$A$2:$A$672,B609,'PO detail'!$B$2:$B$672,C609,'PO detail'!$G$2:$G$672,"&gt;="&amp;D609,'PO detail'!$G$2:$G$672,"&lt;"&amp;A609)</x:f>
        <x:v>0</x:v>
      </x:c>
      <x:c r="K609" s="8" t="n">
        <x:f>'Current inventory'!E105*Summary!$D$6*(A609-D609)/30.4375</x:f>
        <x:v>0</x:v>
      </x:c>
      <x:c r="L609" s="8" t="n">
        <x:f>MAX(0,E609+H609-K609)</x:f>
        <x:v>0</x:v>
      </x:c>
      <x:c r="M609" s="8" t="n">
        <x:f>MAX(0,F609+I609-MAX(0,K609-E609-H609))</x:f>
        <x:v>0</x:v>
      </x:c>
      <x:c r="N609" s="8" t="n">
        <x:f>MAX(0,G609+J609-K609)</x:f>
        <x:v>0</x:v>
      </x:c>
      <x:c r="O609" s="8" t="n">
        <x:f>SUM(L609:N609)</x:f>
        <x:v>0</x:v>
      </x:c>
      <x:c r="P609" s="14" t="n">
        <x:f>'Current inventory'!V105</x:f>
        <x:v>7.03</x:v>
      </x:c>
      <x:c r="Q609" s="14" t="str">
        <x:f>'Current inventory'!W105</x:f>
        <x:v>n.a.</x:v>
      </x:c>
      <x:c r="R609" s="10" t="n">
        <x:f>L609*P609</x:f>
        <x:v>0</x:v>
      </x:c>
      <x:c r="S609" s="10" t="n">
        <x:f>M609*P609</x:f>
        <x:v>0</x:v>
      </x:c>
      <x:c r="T609" s="10" t="n">
        <x:f>N609*P609</x:f>
        <x:v>0</x:v>
      </x:c>
      <x:c r="U609" s="10" t="n">
        <x:f>O609*P609</x:f>
        <x:v>0</x:v>
      </x:c>
      <x:c r="V609" s="10" t="str">
        <x:f>IF(ISNUMBER(Q609),O609*(Q609-P609),"n.a.")</x:f>
        <x:v>n.a.</x:v>
      </x:c>
      <x:c r="W609" s="10" t="n">
        <x:f>IF(ISNUMBER(Q609),U609,0)</x:f>
        <x:v>0</x:v>
      </x:c>
      <x:c r="X609" s="8" t="n">
        <x:f>MAX(0,K609-SUM(E609:J609))</x:f>
        <x:v>0</x:v>
      </x:c>
      <x:c r="Y609" s="1" t="str">
        <x:f>IF(AND(O609&gt;0,NOT(ISNUMBER(Q609))),"No proposed replacement standard",IF(X609&gt;0,"Demand exceeds available stock",""))</x:f>
      </x:c>
      <x:c r="Z609" s="1" t="n">
        <x:f>IF(ISNUMBER(Q609),1,0)</x:f>
        <x:v>0</x:v>
      </x:c>
    </x:row>
    <x:row r="610" ht="21" customHeight="1">
      <x:c r="A610" s="17" t="n">
        <x:f>Summary!B19</x:f>
        <x:v>46447</x:v>
      </x:c>
      <x:c r="B610" s="1" t="str">
        <x:f>'Current inventory'!A106</x:f>
        <x:v>60</x:v>
      </x:c>
      <x:c r="C610" s="1" t="str">
        <x:f>'Current inventory'!B106</x:f>
        <x:v>800BWHTASC</x:v>
      </x:c>
      <x:c r="D610" s="7" t="n">
        <x:f>A484</x:f>
        <x:v>46419</x:v>
      </x:c>
      <x:c r="E610" s="8" t="n">
        <x:f>L484</x:f>
        <x:v>0</x:v>
      </x:c>
      <x:c r="F610" s="8" t="n">
        <x:f>M484</x:f>
        <x:v>0</x:v>
      </x:c>
      <x:c r="G610" s="8" t="n">
        <x:f>N484</x:f>
        <x:v>0</x:v>
      </x:c>
      <x:c r="H610" s="8" t="n">
        <x:f>SUMIFS('PO detail'!$U$2:$U$672,'PO detail'!$A$2:$A$672,B610,'PO detail'!$B$2:$B$672,C610,'PO detail'!$G$2:$G$672,"&gt;="&amp;D610,'PO detail'!$G$2:$G$672,"&lt;"&amp;A610)</x:f>
        <x:v>0</x:v>
      </x:c>
      <x:c r="I610" s="8" t="n">
        <x:f>SUMIFS('PO detail'!$V$2:$V$672,'PO detail'!$A$2:$A$672,B610,'PO detail'!$B$2:$B$672,C610,'PO detail'!$G$2:$G$672,"&gt;="&amp;D610,'PO detail'!$G$2:$G$672,"&lt;"&amp;A610)</x:f>
        <x:v>0</x:v>
      </x:c>
      <x:c r="J610" s="8" t="n">
        <x:f>SUMIFS('PO detail'!$W$2:$W$672,'PO detail'!$A$2:$A$672,B610,'PO detail'!$B$2:$B$672,C610,'PO detail'!$G$2:$G$672,"&gt;="&amp;D610,'PO detail'!$G$2:$G$672,"&lt;"&amp;A610)</x:f>
        <x:v>0</x:v>
      </x:c>
      <x:c r="K610" s="8" t="n">
        <x:f>'Current inventory'!E106*Summary!$D$6*(A610-D610)/30.4375</x:f>
        <x:v>0</x:v>
      </x:c>
      <x:c r="L610" s="8" t="n">
        <x:f>MAX(0,E610+H610-K610)</x:f>
        <x:v>0</x:v>
      </x:c>
      <x:c r="M610" s="8" t="n">
        <x:f>MAX(0,F610+I610-MAX(0,K610-E610-H610))</x:f>
        <x:v>0</x:v>
      </x:c>
      <x:c r="N610" s="8" t="n">
        <x:f>MAX(0,G610+J610-K610)</x:f>
        <x:v>0</x:v>
      </x:c>
      <x:c r="O610" s="8" t="n">
        <x:f>SUM(L610:N610)</x:f>
        <x:v>0</x:v>
      </x:c>
      <x:c r="P610" s="14" t="n">
        <x:f>'Current inventory'!V106</x:f>
        <x:v>0.1456</x:v>
      </x:c>
      <x:c r="Q610" s="14" t="str">
        <x:f>'Current inventory'!W106</x:f>
        <x:v>n.a.</x:v>
      </x:c>
      <x:c r="R610" s="10" t="n">
        <x:f>L610*P610</x:f>
        <x:v>0</x:v>
      </x:c>
      <x:c r="S610" s="10" t="n">
        <x:f>M610*P610</x:f>
        <x:v>0</x:v>
      </x:c>
      <x:c r="T610" s="10" t="n">
        <x:f>N610*P610</x:f>
        <x:v>0</x:v>
      </x:c>
      <x:c r="U610" s="10" t="n">
        <x:f>O610*P610</x:f>
        <x:v>0</x:v>
      </x:c>
      <x:c r="V610" s="10" t="str">
        <x:f>IF(ISNUMBER(Q610),O610*(Q610-P610),"n.a.")</x:f>
        <x:v>n.a.</x:v>
      </x:c>
      <x:c r="W610" s="10" t="n">
        <x:f>IF(ISNUMBER(Q610),U610,0)</x:f>
        <x:v>0</x:v>
      </x:c>
      <x:c r="X610" s="8" t="n">
        <x:f>MAX(0,K610-SUM(E610:J610))</x:f>
        <x:v>0</x:v>
      </x:c>
      <x:c r="Y610" s="1" t="str">
        <x:f>IF(AND(O610&gt;0,NOT(ISNUMBER(Q610))),"No proposed replacement standard",IF(X610&gt;0,"Demand exceeds available stock",""))</x:f>
      </x:c>
      <x:c r="Z610" s="1" t="n">
        <x:f>IF(ISNUMBER(Q610),1,0)</x:f>
        <x:v>0</x:v>
      </x:c>
    </x:row>
    <x:row r="611" ht="21" customHeight="1">
      <x:c r="A611" s="17" t="n">
        <x:f>Summary!B19</x:f>
        <x:v>46447</x:v>
      </x:c>
      <x:c r="B611" s="1" t="str">
        <x:f>'Current inventory'!A107</x:f>
        <x:v>60</x:v>
      </x:c>
      <x:c r="C611" s="1" t="str">
        <x:f>'Current inventory'!B107</x:f>
        <x:v>800BWHTBRC</x:v>
      </x:c>
      <x:c r="D611" s="7" t="n">
        <x:f>A485</x:f>
        <x:v>46419</x:v>
      </x:c>
      <x:c r="E611" s="8" t="n">
        <x:f>L485</x:f>
        <x:v>0</x:v>
      </x:c>
      <x:c r="F611" s="8" t="n">
        <x:f>M485</x:f>
        <x:v>0</x:v>
      </x:c>
      <x:c r="G611" s="8" t="n">
        <x:f>N485</x:f>
        <x:v>0</x:v>
      </x:c>
      <x:c r="H611" s="8" t="n">
        <x:f>SUMIFS('PO detail'!$U$2:$U$672,'PO detail'!$A$2:$A$672,B611,'PO detail'!$B$2:$B$672,C611,'PO detail'!$G$2:$G$672,"&gt;="&amp;D611,'PO detail'!$G$2:$G$672,"&lt;"&amp;A611)</x:f>
        <x:v>0</x:v>
      </x:c>
      <x:c r="I611" s="8" t="n">
        <x:f>SUMIFS('PO detail'!$V$2:$V$672,'PO detail'!$A$2:$A$672,B611,'PO detail'!$B$2:$B$672,C611,'PO detail'!$G$2:$G$672,"&gt;="&amp;D611,'PO detail'!$G$2:$G$672,"&lt;"&amp;A611)</x:f>
        <x:v>0</x:v>
      </x:c>
      <x:c r="J611" s="8" t="n">
        <x:f>SUMIFS('PO detail'!$W$2:$W$672,'PO detail'!$A$2:$A$672,B611,'PO detail'!$B$2:$B$672,C611,'PO detail'!$G$2:$G$672,"&gt;="&amp;D611,'PO detail'!$G$2:$G$672,"&lt;"&amp;A611)</x:f>
        <x:v>0</x:v>
      </x:c>
      <x:c r="K611" s="8" t="n">
        <x:f>'Current inventory'!E107*Summary!$D$6*(A611-D611)/30.4375</x:f>
        <x:v>0</x:v>
      </x:c>
      <x:c r="L611" s="8" t="n">
        <x:f>MAX(0,E611+H611-K611)</x:f>
        <x:v>0</x:v>
      </x:c>
      <x:c r="M611" s="8" t="n">
        <x:f>MAX(0,F611+I611-MAX(0,K611-E611-H611))</x:f>
        <x:v>0</x:v>
      </x:c>
      <x:c r="N611" s="8" t="n">
        <x:f>MAX(0,G611+J611-K611)</x:f>
        <x:v>0</x:v>
      </x:c>
      <x:c r="O611" s="8" t="n">
        <x:f>SUM(L611:N611)</x:f>
        <x:v>0</x:v>
      </x:c>
      <x:c r="P611" s="14" t="n">
        <x:f>'Current inventory'!V107</x:f>
        <x:v>0.18469999999999998</x:v>
      </x:c>
      <x:c r="Q611" s="14" t="str">
        <x:f>'Current inventory'!W107</x:f>
        <x:v>n.a.</x:v>
      </x:c>
      <x:c r="R611" s="10" t="n">
        <x:f>L611*P611</x:f>
        <x:v>0</x:v>
      </x:c>
      <x:c r="S611" s="10" t="n">
        <x:f>M611*P611</x:f>
        <x:v>0</x:v>
      </x:c>
      <x:c r="T611" s="10" t="n">
        <x:f>N611*P611</x:f>
        <x:v>0</x:v>
      </x:c>
      <x:c r="U611" s="10" t="n">
        <x:f>O611*P611</x:f>
        <x:v>0</x:v>
      </x:c>
      <x:c r="V611" s="10" t="str">
        <x:f>IF(ISNUMBER(Q611),O611*(Q611-P611),"n.a.")</x:f>
        <x:v>n.a.</x:v>
      </x:c>
      <x:c r="W611" s="10" t="n">
        <x:f>IF(ISNUMBER(Q611),U611,0)</x:f>
        <x:v>0</x:v>
      </x:c>
      <x:c r="X611" s="8" t="n">
        <x:f>MAX(0,K611-SUM(E611:J611))</x:f>
        <x:v>0</x:v>
      </x:c>
      <x:c r="Y611" s="1" t="str">
        <x:f>IF(AND(O611&gt;0,NOT(ISNUMBER(Q611))),"No proposed replacement standard",IF(X611&gt;0,"Demand exceeds available stock",""))</x:f>
      </x:c>
      <x:c r="Z611" s="1" t="n">
        <x:f>IF(ISNUMBER(Q611),1,0)</x:f>
        <x:v>0</x:v>
      </x:c>
    </x:row>
    <x:row r="612" ht="21" customHeight="1">
      <x:c r="A612" s="17" t="n">
        <x:f>Summary!B19</x:f>
        <x:v>46447</x:v>
      </x:c>
      <x:c r="B612" s="1" t="str">
        <x:f>'Current inventory'!A108</x:f>
        <x:v>60</x:v>
      </x:c>
      <x:c r="C612" s="1" t="str">
        <x:f>'Current inventory'!B108</x:f>
        <x:v>800BWHTCSC</x:v>
      </x:c>
      <x:c r="D612" s="7" t="n">
        <x:f>A486</x:f>
        <x:v>46419</x:v>
      </x:c>
      <x:c r="E612" s="8" t="n">
        <x:f>L486</x:f>
        <x:v>0</x:v>
      </x:c>
      <x:c r="F612" s="8" t="n">
        <x:f>M486</x:f>
        <x:v>0</x:v>
      </x:c>
      <x:c r="G612" s="8" t="n">
        <x:f>N486</x:f>
        <x:v>0</x:v>
      </x:c>
      <x:c r="H612" s="8" t="n">
        <x:f>SUMIFS('PO detail'!$U$2:$U$672,'PO detail'!$A$2:$A$672,B612,'PO detail'!$B$2:$B$672,C612,'PO detail'!$G$2:$G$672,"&gt;="&amp;D612,'PO detail'!$G$2:$G$672,"&lt;"&amp;A612)</x:f>
        <x:v>0</x:v>
      </x:c>
      <x:c r="I612" s="8" t="n">
        <x:f>SUMIFS('PO detail'!$V$2:$V$672,'PO detail'!$A$2:$A$672,B612,'PO detail'!$B$2:$B$672,C612,'PO detail'!$G$2:$G$672,"&gt;="&amp;D612,'PO detail'!$G$2:$G$672,"&lt;"&amp;A612)</x:f>
        <x:v>0</x:v>
      </x:c>
      <x:c r="J612" s="8" t="n">
        <x:f>SUMIFS('PO detail'!$W$2:$W$672,'PO detail'!$A$2:$A$672,B612,'PO detail'!$B$2:$B$672,C612,'PO detail'!$G$2:$G$672,"&gt;="&amp;D612,'PO detail'!$G$2:$G$672,"&lt;"&amp;A612)</x:f>
        <x:v>0</x:v>
      </x:c>
      <x:c r="K612" s="8" t="n">
        <x:f>'Current inventory'!E108*Summary!$D$6*(A612-D612)/30.4375</x:f>
        <x:v>0</x:v>
      </x:c>
      <x:c r="L612" s="8" t="n">
        <x:f>MAX(0,E612+H612-K612)</x:f>
        <x:v>0</x:v>
      </x:c>
      <x:c r="M612" s="8" t="n">
        <x:f>MAX(0,F612+I612-MAX(0,K612-E612-H612))</x:f>
        <x:v>0</x:v>
      </x:c>
      <x:c r="N612" s="8" t="n">
        <x:f>MAX(0,G612+J612-K612)</x:f>
        <x:v>0</x:v>
      </x:c>
      <x:c r="O612" s="8" t="n">
        <x:f>SUM(L612:N612)</x:f>
        <x:v>0</x:v>
      </x:c>
      <x:c r="P612" s="14" t="n">
        <x:f>'Current inventory'!V108</x:f>
        <x:v>0.21559999999999999</x:v>
      </x:c>
      <x:c r="Q612" s="14" t="str">
        <x:f>'Current inventory'!W108</x:f>
        <x:v>n.a.</x:v>
      </x:c>
      <x:c r="R612" s="10" t="n">
        <x:f>L612*P612</x:f>
        <x:v>0</x:v>
      </x:c>
      <x:c r="S612" s="10" t="n">
        <x:f>M612*P612</x:f>
        <x:v>0</x:v>
      </x:c>
      <x:c r="T612" s="10" t="n">
        <x:f>N612*P612</x:f>
        <x:v>0</x:v>
      </x:c>
      <x:c r="U612" s="10" t="n">
        <x:f>O612*P612</x:f>
        <x:v>0</x:v>
      </x:c>
      <x:c r="V612" s="10" t="str">
        <x:f>IF(ISNUMBER(Q612),O612*(Q612-P612),"n.a.")</x:f>
        <x:v>n.a.</x:v>
      </x:c>
      <x:c r="W612" s="10" t="n">
        <x:f>IF(ISNUMBER(Q612),U612,0)</x:f>
        <x:v>0</x:v>
      </x:c>
      <x:c r="X612" s="8" t="n">
        <x:f>MAX(0,K612-SUM(E612:J612))</x:f>
        <x:v>0</x:v>
      </x:c>
      <x:c r="Y612" s="1" t="str">
        <x:f>IF(AND(O612&gt;0,NOT(ISNUMBER(Q612))),"No proposed replacement standard",IF(X612&gt;0,"Demand exceeds available stock",""))</x:f>
      </x:c>
      <x:c r="Z612" s="1" t="n">
        <x:f>IF(ISNUMBER(Q612),1,0)</x:f>
        <x:v>0</x:v>
      </x:c>
    </x:row>
    <x:row r="613" ht="21" customHeight="1">
      <x:c r="A613" s="17" t="n">
        <x:f>Summary!B19</x:f>
        <x:v>46447</x:v>
      </x:c>
      <x:c r="B613" s="1" t="str">
        <x:f>'Current inventory'!A109</x:f>
        <x:v>60</x:v>
      </x:c>
      <x:c r="C613" s="1" t="str">
        <x:f>'Current inventory'!B109</x:f>
        <x:v>800BWHTDSC</x:v>
      </x:c>
      <x:c r="D613" s="7" t="n">
        <x:f>A487</x:f>
        <x:v>46419</x:v>
      </x:c>
      <x:c r="E613" s="8" t="n">
        <x:f>L487</x:f>
        <x:v>0</x:v>
      </x:c>
      <x:c r="F613" s="8" t="n">
        <x:f>M487</x:f>
        <x:v>0</x:v>
      </x:c>
      <x:c r="G613" s="8" t="n">
        <x:f>N487</x:f>
        <x:v>0</x:v>
      </x:c>
      <x:c r="H613" s="8" t="n">
        <x:f>SUMIFS('PO detail'!$U$2:$U$672,'PO detail'!$A$2:$A$672,B613,'PO detail'!$B$2:$B$672,C613,'PO detail'!$G$2:$G$672,"&gt;="&amp;D613,'PO detail'!$G$2:$G$672,"&lt;"&amp;A613)</x:f>
        <x:v>0</x:v>
      </x:c>
      <x:c r="I613" s="8" t="n">
        <x:f>SUMIFS('PO detail'!$V$2:$V$672,'PO detail'!$A$2:$A$672,B613,'PO detail'!$B$2:$B$672,C613,'PO detail'!$G$2:$G$672,"&gt;="&amp;D613,'PO detail'!$G$2:$G$672,"&lt;"&amp;A613)</x:f>
        <x:v>0</x:v>
      </x:c>
      <x:c r="J613" s="8" t="n">
        <x:f>SUMIFS('PO detail'!$W$2:$W$672,'PO detail'!$A$2:$A$672,B613,'PO detail'!$B$2:$B$672,C613,'PO detail'!$G$2:$G$672,"&gt;="&amp;D613,'PO detail'!$G$2:$G$672,"&lt;"&amp;A613)</x:f>
        <x:v>0</x:v>
      </x:c>
      <x:c r="K613" s="8" t="n">
        <x:f>'Current inventory'!E109*Summary!$D$6*(A613-D613)/30.4375</x:f>
        <x:v>0</x:v>
      </x:c>
      <x:c r="L613" s="8" t="n">
        <x:f>MAX(0,E613+H613-K613)</x:f>
        <x:v>0</x:v>
      </x:c>
      <x:c r="M613" s="8" t="n">
        <x:f>MAX(0,F613+I613-MAX(0,K613-E613-H613))</x:f>
        <x:v>0</x:v>
      </x:c>
      <x:c r="N613" s="8" t="n">
        <x:f>MAX(0,G613+J613-K613)</x:f>
        <x:v>0</x:v>
      </x:c>
      <x:c r="O613" s="8" t="n">
        <x:f>SUM(L613:N613)</x:f>
        <x:v>0</x:v>
      </x:c>
      <x:c r="P613" s="14" t="n">
        <x:f>'Current inventory'!V109</x:f>
        <x:v>0.38</x:v>
      </x:c>
      <x:c r="Q613" s="14" t="str">
        <x:f>'Current inventory'!W109</x:f>
        <x:v>n.a.</x:v>
      </x:c>
      <x:c r="R613" s="10" t="n">
        <x:f>L613*P613</x:f>
        <x:v>0</x:v>
      </x:c>
      <x:c r="S613" s="10" t="n">
        <x:f>M613*P613</x:f>
        <x:v>0</x:v>
      </x:c>
      <x:c r="T613" s="10" t="n">
        <x:f>N613*P613</x:f>
        <x:v>0</x:v>
      </x:c>
      <x:c r="U613" s="10" t="n">
        <x:f>O613*P613</x:f>
        <x:v>0</x:v>
      </x:c>
      <x:c r="V613" s="10" t="str">
        <x:f>IF(ISNUMBER(Q613),O613*(Q613-P613),"n.a.")</x:f>
        <x:v>n.a.</x:v>
      </x:c>
      <x:c r="W613" s="10" t="n">
        <x:f>IF(ISNUMBER(Q613),U613,0)</x:f>
        <x:v>0</x:v>
      </x:c>
      <x:c r="X613" s="8" t="n">
        <x:f>MAX(0,K613-SUM(E613:J613))</x:f>
        <x:v>0</x:v>
      </x:c>
      <x:c r="Y613" s="1" t="str">
        <x:f>IF(AND(O613&gt;0,NOT(ISNUMBER(Q613))),"No proposed replacement standard",IF(X613&gt;0,"Demand exceeds available stock",""))</x:f>
      </x:c>
      <x:c r="Z613" s="1" t="n">
        <x:f>IF(ISNUMBER(Q613),1,0)</x:f>
        <x:v>0</x:v>
      </x:c>
    </x:row>
    <x:row r="614" ht="21" customHeight="1">
      <x:c r="A614" s="17" t="n">
        <x:f>Summary!B19</x:f>
        <x:v>46447</x:v>
      </x:c>
      <x:c r="B614" s="1" t="str">
        <x:f>'Current inventory'!A110</x:f>
        <x:v>60</x:v>
      </x:c>
      <x:c r="C614" s="1" t="str">
        <x:f>'Current inventory'!B110</x:f>
        <x:v>800BWHTISC</x:v>
      </x:c>
      <x:c r="D614" s="7" t="n">
        <x:f>A488</x:f>
        <x:v>46419</x:v>
      </x:c>
      <x:c r="E614" s="8" t="n">
        <x:f>L488</x:f>
        <x:v>0</x:v>
      </x:c>
      <x:c r="F614" s="8" t="n">
        <x:f>M488</x:f>
        <x:v>0</x:v>
      </x:c>
      <x:c r="G614" s="8" t="n">
        <x:f>N488</x:f>
        <x:v>0</x:v>
      </x:c>
      <x:c r="H614" s="8" t="n">
        <x:f>SUMIFS('PO detail'!$U$2:$U$672,'PO detail'!$A$2:$A$672,B614,'PO detail'!$B$2:$B$672,C614,'PO detail'!$G$2:$G$672,"&gt;="&amp;D614,'PO detail'!$G$2:$G$672,"&lt;"&amp;A614)</x:f>
        <x:v>0</x:v>
      </x:c>
      <x:c r="I614" s="8" t="n">
        <x:f>SUMIFS('PO detail'!$V$2:$V$672,'PO detail'!$A$2:$A$672,B614,'PO detail'!$B$2:$B$672,C614,'PO detail'!$G$2:$G$672,"&gt;="&amp;D614,'PO detail'!$G$2:$G$672,"&lt;"&amp;A614)</x:f>
        <x:v>0</x:v>
      </x:c>
      <x:c r="J614" s="8" t="n">
        <x:f>SUMIFS('PO detail'!$W$2:$W$672,'PO detail'!$A$2:$A$672,B614,'PO detail'!$B$2:$B$672,C614,'PO detail'!$G$2:$G$672,"&gt;="&amp;D614,'PO detail'!$G$2:$G$672,"&lt;"&amp;A614)</x:f>
        <x:v>0</x:v>
      </x:c>
      <x:c r="K614" s="8" t="n">
        <x:f>'Current inventory'!E110*Summary!$D$6*(A614-D614)/30.4375</x:f>
        <x:v>0</x:v>
      </x:c>
      <x:c r="L614" s="8" t="n">
        <x:f>MAX(0,E614+H614-K614)</x:f>
        <x:v>0</x:v>
      </x:c>
      <x:c r="M614" s="8" t="n">
        <x:f>MAX(0,F614+I614-MAX(0,K614-E614-H614))</x:f>
        <x:v>0</x:v>
      </x:c>
      <x:c r="N614" s="8" t="n">
        <x:f>MAX(0,G614+J614-K614)</x:f>
        <x:v>0</x:v>
      </x:c>
      <x:c r="O614" s="8" t="n">
        <x:f>SUM(L614:N614)</x:f>
        <x:v>0</x:v>
      </x:c>
      <x:c r="P614" s="14" t="n">
        <x:f>'Current inventory'!V110</x:f>
        <x:v>0.1797</x:v>
      </x:c>
      <x:c r="Q614" s="14" t="str">
        <x:f>'Current inventory'!W110</x:f>
        <x:v>n.a.</x:v>
      </x:c>
      <x:c r="R614" s="10" t="n">
        <x:f>L614*P614</x:f>
        <x:v>0</x:v>
      </x:c>
      <x:c r="S614" s="10" t="n">
        <x:f>M614*P614</x:f>
        <x:v>0</x:v>
      </x:c>
      <x:c r="T614" s="10" t="n">
        <x:f>N614*P614</x:f>
        <x:v>0</x:v>
      </x:c>
      <x:c r="U614" s="10" t="n">
        <x:f>O614*P614</x:f>
        <x:v>0</x:v>
      </x:c>
      <x:c r="V614" s="10" t="str">
        <x:f>IF(ISNUMBER(Q614),O614*(Q614-P614),"n.a.")</x:f>
        <x:v>n.a.</x:v>
      </x:c>
      <x:c r="W614" s="10" t="n">
        <x:f>IF(ISNUMBER(Q614),U614,0)</x:f>
        <x:v>0</x:v>
      </x:c>
      <x:c r="X614" s="8" t="n">
        <x:f>MAX(0,K614-SUM(E614:J614))</x:f>
        <x:v>0</x:v>
      </x:c>
      <x:c r="Y614" s="1" t="str">
        <x:f>IF(AND(O614&gt;0,NOT(ISNUMBER(Q614))),"No proposed replacement standard",IF(X614&gt;0,"Demand exceeds available stock",""))</x:f>
      </x:c>
      <x:c r="Z614" s="1" t="n">
        <x:f>IF(ISNUMBER(Q614),1,0)</x:f>
        <x:v>0</x:v>
      </x:c>
    </x:row>
    <x:row r="615" ht="21" customHeight="1">
      <x:c r="A615" s="17" t="n">
        <x:f>Summary!B19</x:f>
        <x:v>46447</x:v>
      </x:c>
      <x:c r="B615" s="1" t="str">
        <x:f>'Current inventory'!A111</x:f>
        <x:v>60</x:v>
      </x:c>
      <x:c r="C615" s="1" t="str">
        <x:f>'Current inventory'!B111</x:f>
        <x:v>800FGE</x:v>
      </x:c>
      <x:c r="D615" s="7" t="n">
        <x:f>A489</x:f>
        <x:v>46419</x:v>
      </x:c>
      <x:c r="E615" s="8" t="n">
        <x:f>L489</x:f>
        <x:v>0</x:v>
      </x:c>
      <x:c r="F615" s="8" t="n">
        <x:f>M489</x:f>
        <x:v>0</x:v>
      </x:c>
      <x:c r="G615" s="8" t="n">
        <x:f>N489</x:f>
        <x:v>0</x:v>
      </x:c>
      <x:c r="H615" s="8" t="n">
        <x:f>SUMIFS('PO detail'!$U$2:$U$672,'PO detail'!$A$2:$A$672,B615,'PO detail'!$B$2:$B$672,C615,'PO detail'!$G$2:$G$672,"&gt;="&amp;D615,'PO detail'!$G$2:$G$672,"&lt;"&amp;A615)</x:f>
        <x:v>0</x:v>
      </x:c>
      <x:c r="I615" s="8" t="n">
        <x:f>SUMIFS('PO detail'!$V$2:$V$672,'PO detail'!$A$2:$A$672,B615,'PO detail'!$B$2:$B$672,C615,'PO detail'!$G$2:$G$672,"&gt;="&amp;D615,'PO detail'!$G$2:$G$672,"&lt;"&amp;A615)</x:f>
        <x:v>0</x:v>
      </x:c>
      <x:c r="J615" s="8" t="n">
        <x:f>SUMIFS('PO detail'!$W$2:$W$672,'PO detail'!$A$2:$A$672,B615,'PO detail'!$B$2:$B$672,C615,'PO detail'!$G$2:$G$672,"&gt;="&amp;D615,'PO detail'!$G$2:$G$672,"&lt;"&amp;A615)</x:f>
        <x:v>0</x:v>
      </x:c>
      <x:c r="K615" s="8" t="n">
        <x:f>'Current inventory'!E111*Summary!$D$6*(A615-D615)/30.4375</x:f>
        <x:v>0</x:v>
      </x:c>
      <x:c r="L615" s="8" t="n">
        <x:f>MAX(0,E615+H615-K615)</x:f>
        <x:v>0</x:v>
      </x:c>
      <x:c r="M615" s="8" t="n">
        <x:f>MAX(0,F615+I615-MAX(0,K615-E615-H615))</x:f>
        <x:v>0</x:v>
      </x:c>
      <x:c r="N615" s="8" t="n">
        <x:f>MAX(0,G615+J615-K615)</x:f>
        <x:v>0</x:v>
      </x:c>
      <x:c r="O615" s="8" t="n">
        <x:f>SUM(L615:N615)</x:f>
        <x:v>0</x:v>
      </x:c>
      <x:c r="P615" s="14" t="n">
        <x:f>'Current inventory'!V111</x:f>
        <x:v>10.78</x:v>
      </x:c>
      <x:c r="Q615" s="14" t="str">
        <x:f>'Current inventory'!W111</x:f>
        <x:v>n.a.</x:v>
      </x:c>
      <x:c r="R615" s="10" t="n">
        <x:f>L615*P615</x:f>
        <x:v>0</x:v>
      </x:c>
      <x:c r="S615" s="10" t="n">
        <x:f>M615*P615</x:f>
        <x:v>0</x:v>
      </x:c>
      <x:c r="T615" s="10" t="n">
        <x:f>N615*P615</x:f>
        <x:v>0</x:v>
      </x:c>
      <x:c r="U615" s="10" t="n">
        <x:f>O615*P615</x:f>
        <x:v>0</x:v>
      </x:c>
      <x:c r="V615" s="10" t="str">
        <x:f>IF(ISNUMBER(Q615),O615*(Q615-P615),"n.a.")</x:f>
        <x:v>n.a.</x:v>
      </x:c>
      <x:c r="W615" s="10" t="n">
        <x:f>IF(ISNUMBER(Q615),U615,0)</x:f>
        <x:v>0</x:v>
      </x:c>
      <x:c r="X615" s="8" t="n">
        <x:f>MAX(0,K615-SUM(E615:J615))</x:f>
        <x:v>0</x:v>
      </x:c>
      <x:c r="Y615" s="1" t="str">
        <x:f>IF(AND(O615&gt;0,NOT(ISNUMBER(Q615))),"No proposed replacement standard",IF(X615&gt;0,"Demand exceeds available stock",""))</x:f>
      </x:c>
      <x:c r="Z615" s="1" t="n">
        <x:f>IF(ISNUMBER(Q615),1,0)</x:f>
        <x:v>0</x:v>
      </x:c>
    </x:row>
    <x:row r="616" ht="21" customHeight="1">
      <x:c r="A616" s="17" t="n">
        <x:f>Summary!B19</x:f>
        <x:v>46447</x:v>
      </x:c>
      <x:c r="B616" s="1" t="str">
        <x:f>'Current inventory'!A112</x:f>
        <x:v>60</x:v>
      </x:c>
      <x:c r="C616" s="1" t="str">
        <x:f>'Current inventory'!B112</x:f>
        <x:v>800NAVF</x:v>
      </x:c>
      <x:c r="D616" s="7" t="n">
        <x:f>A490</x:f>
        <x:v>46419</x:v>
      </x:c>
      <x:c r="E616" s="8" t="n">
        <x:f>L490</x:f>
        <x:v>0</x:v>
      </x:c>
      <x:c r="F616" s="8" t="n">
        <x:f>M490</x:f>
        <x:v>0</x:v>
      </x:c>
      <x:c r="G616" s="8" t="n">
        <x:f>N490</x:f>
        <x:v>0</x:v>
      </x:c>
      <x:c r="H616" s="8" t="n">
        <x:f>SUMIFS('PO detail'!$U$2:$U$672,'PO detail'!$A$2:$A$672,B616,'PO detail'!$B$2:$B$672,C616,'PO detail'!$G$2:$G$672,"&gt;="&amp;D616,'PO detail'!$G$2:$G$672,"&lt;"&amp;A616)</x:f>
        <x:v>0</x:v>
      </x:c>
      <x:c r="I616" s="8" t="n">
        <x:f>SUMIFS('PO detail'!$V$2:$V$672,'PO detail'!$A$2:$A$672,B616,'PO detail'!$B$2:$B$672,C616,'PO detail'!$G$2:$G$672,"&gt;="&amp;D616,'PO detail'!$G$2:$G$672,"&lt;"&amp;A616)</x:f>
        <x:v>0</x:v>
      </x:c>
      <x:c r="J616" s="8" t="n">
        <x:f>SUMIFS('PO detail'!$W$2:$W$672,'PO detail'!$A$2:$A$672,B616,'PO detail'!$B$2:$B$672,C616,'PO detail'!$G$2:$G$672,"&gt;="&amp;D616,'PO detail'!$G$2:$G$672,"&lt;"&amp;A616)</x:f>
        <x:v>0</x:v>
      </x:c>
      <x:c r="K616" s="8" t="n">
        <x:f>'Current inventory'!E112*Summary!$D$6*(A616-D616)/30.4375</x:f>
        <x:v>0</x:v>
      </x:c>
      <x:c r="L616" s="8" t="n">
        <x:f>MAX(0,E616+H616-K616)</x:f>
        <x:v>0</x:v>
      </x:c>
      <x:c r="M616" s="8" t="n">
        <x:f>MAX(0,F616+I616-MAX(0,K616-E616-H616))</x:f>
        <x:v>0</x:v>
      </x:c>
      <x:c r="N616" s="8" t="n">
        <x:f>MAX(0,G616+J616-K616)</x:f>
        <x:v>0</x:v>
      </x:c>
      <x:c r="O616" s="8" t="n">
        <x:f>SUM(L616:N616)</x:f>
        <x:v>0</x:v>
      </x:c>
      <x:c r="P616" s="14" t="n">
        <x:f>'Current inventory'!V112</x:f>
        <x:v>7.03</x:v>
      </x:c>
      <x:c r="Q616" s="14" t="str">
        <x:f>'Current inventory'!W112</x:f>
        <x:v>n.a.</x:v>
      </x:c>
      <x:c r="R616" s="10" t="n">
        <x:f>L616*P616</x:f>
        <x:v>0</x:v>
      </x:c>
      <x:c r="S616" s="10" t="n">
        <x:f>M616*P616</x:f>
        <x:v>0</x:v>
      </x:c>
      <x:c r="T616" s="10" t="n">
        <x:f>N616*P616</x:f>
        <x:v>0</x:v>
      </x:c>
      <x:c r="U616" s="10" t="n">
        <x:f>O616*P616</x:f>
        <x:v>0</x:v>
      </x:c>
      <x:c r="V616" s="10" t="str">
        <x:f>IF(ISNUMBER(Q616),O616*(Q616-P616),"n.a.")</x:f>
        <x:v>n.a.</x:v>
      </x:c>
      <x:c r="W616" s="10" t="n">
        <x:f>IF(ISNUMBER(Q616),U616,0)</x:f>
        <x:v>0</x:v>
      </x:c>
      <x:c r="X616" s="8" t="n">
        <x:f>MAX(0,K616-SUM(E616:J616))</x:f>
        <x:v>0</x:v>
      </x:c>
      <x:c r="Y616" s="1" t="str">
        <x:f>IF(AND(O616&gt;0,NOT(ISNUMBER(Q616))),"No proposed replacement standard",IF(X616&gt;0,"Demand exceeds available stock",""))</x:f>
      </x:c>
      <x:c r="Z616" s="1" t="n">
        <x:f>IF(ISNUMBER(Q616),1,0)</x:f>
        <x:v>0</x:v>
      </x:c>
    </x:row>
    <x:row r="617" ht="21" customHeight="1">
      <x:c r="A617" s="17" t="n">
        <x:f>Summary!B19</x:f>
        <x:v>46447</x:v>
      </x:c>
      <x:c r="B617" s="1" t="str">
        <x:f>'Current inventory'!A113</x:f>
        <x:v>60</x:v>
      </x:c>
      <x:c r="C617" s="1" t="str">
        <x:f>'Current inventory'!B113</x:f>
        <x:v>800WHTE</x:v>
      </x:c>
      <x:c r="D617" s="7" t="n">
        <x:f>A491</x:f>
        <x:v>46419</x:v>
      </x:c>
      <x:c r="E617" s="8" t="n">
        <x:f>L491</x:f>
        <x:v>0</x:v>
      </x:c>
      <x:c r="F617" s="8" t="n">
        <x:f>M491</x:f>
        <x:v>0</x:v>
      </x:c>
      <x:c r="G617" s="8" t="n">
        <x:f>N491</x:f>
        <x:v>0</x:v>
      </x:c>
      <x:c r="H617" s="8" t="n">
        <x:f>SUMIFS('PO detail'!$U$2:$U$672,'PO detail'!$A$2:$A$672,B617,'PO detail'!$B$2:$B$672,C617,'PO detail'!$G$2:$G$672,"&gt;="&amp;D617,'PO detail'!$G$2:$G$672,"&lt;"&amp;A617)</x:f>
        <x:v>0</x:v>
      </x:c>
      <x:c r="I617" s="8" t="n">
        <x:f>SUMIFS('PO detail'!$V$2:$V$672,'PO detail'!$A$2:$A$672,B617,'PO detail'!$B$2:$B$672,C617,'PO detail'!$G$2:$G$672,"&gt;="&amp;D617,'PO detail'!$G$2:$G$672,"&lt;"&amp;A617)</x:f>
        <x:v>0</x:v>
      </x:c>
      <x:c r="J617" s="8" t="n">
        <x:f>SUMIFS('PO detail'!$W$2:$W$672,'PO detail'!$A$2:$A$672,B617,'PO detail'!$B$2:$B$672,C617,'PO detail'!$G$2:$G$672,"&gt;="&amp;D617,'PO detail'!$G$2:$G$672,"&lt;"&amp;A617)</x:f>
        <x:v>0</x:v>
      </x:c>
      <x:c r="K617" s="8" t="n">
        <x:f>'Current inventory'!E113*Summary!$D$6*(A617-D617)/30.4375</x:f>
        <x:v>0</x:v>
      </x:c>
      <x:c r="L617" s="8" t="n">
        <x:f>MAX(0,E617+H617-K617)</x:f>
        <x:v>0</x:v>
      </x:c>
      <x:c r="M617" s="8" t="n">
        <x:f>MAX(0,F617+I617-MAX(0,K617-E617-H617))</x:f>
        <x:v>0</x:v>
      </x:c>
      <x:c r="N617" s="8" t="n">
        <x:f>MAX(0,G617+J617-K617)</x:f>
        <x:v>0</x:v>
      </x:c>
      <x:c r="O617" s="8" t="n">
        <x:f>SUM(L617:N617)</x:f>
        <x:v>0</x:v>
      </x:c>
      <x:c r="P617" s="14" t="n">
        <x:f>'Current inventory'!V113</x:f>
        <x:v>11.44</x:v>
      </x:c>
      <x:c r="Q617" s="14" t="str">
        <x:f>'Current inventory'!W113</x:f>
        <x:v>n.a.</x:v>
      </x:c>
      <x:c r="R617" s="10" t="n">
        <x:f>L617*P617</x:f>
        <x:v>0</x:v>
      </x:c>
      <x:c r="S617" s="10" t="n">
        <x:f>M617*P617</x:f>
        <x:v>0</x:v>
      </x:c>
      <x:c r="T617" s="10" t="n">
        <x:f>N617*P617</x:f>
        <x:v>0</x:v>
      </x:c>
      <x:c r="U617" s="10" t="n">
        <x:f>O617*P617</x:f>
        <x:v>0</x:v>
      </x:c>
      <x:c r="V617" s="10" t="str">
        <x:f>IF(ISNUMBER(Q617),O617*(Q617-P617),"n.a.")</x:f>
        <x:v>n.a.</x:v>
      </x:c>
      <x:c r="W617" s="10" t="n">
        <x:f>IF(ISNUMBER(Q617),U617,0)</x:f>
        <x:v>0</x:v>
      </x:c>
      <x:c r="X617" s="8" t="n">
        <x:f>MAX(0,K617-SUM(E617:J617))</x:f>
        <x:v>0</x:v>
      </x:c>
      <x:c r="Y617" s="1" t="str">
        <x:f>IF(AND(O617&gt;0,NOT(ISNUMBER(Q617))),"No proposed replacement standard",IF(X617&gt;0,"Demand exceeds available stock",""))</x:f>
      </x:c>
      <x:c r="Z617" s="1" t="n">
        <x:f>IF(ISNUMBER(Q617),1,0)</x:f>
        <x:v>0</x:v>
      </x:c>
    </x:row>
    <x:row r="618" ht="21" customHeight="1">
      <x:c r="A618" s="17" t="n">
        <x:f>Summary!B19</x:f>
        <x:v>46447</x:v>
      </x:c>
      <x:c r="B618" s="1" t="str">
        <x:f>'Current inventory'!A114</x:f>
        <x:v>60</x:v>
      </x:c>
      <x:c r="C618" s="1" t="str">
        <x:f>'Current inventory'!B114</x:f>
        <x:v>800BLKTB</x:v>
      </x:c>
      <x:c r="D618" s="7" t="n">
        <x:f>A492</x:f>
        <x:v>46419</x:v>
      </x:c>
      <x:c r="E618" s="8" t="n">
        <x:f>L492</x:f>
        <x:v>0</x:v>
      </x:c>
      <x:c r="F618" s="8" t="n">
        <x:f>M492</x:f>
        <x:v>0</x:v>
      </x:c>
      <x:c r="G618" s="8" t="n">
        <x:f>N492</x:f>
        <x:v>0</x:v>
      </x:c>
      <x:c r="H618" s="8" t="n">
        <x:f>SUMIFS('PO detail'!$U$2:$U$672,'PO detail'!$A$2:$A$672,B618,'PO detail'!$B$2:$B$672,C618,'PO detail'!$G$2:$G$672,"&gt;="&amp;D618,'PO detail'!$G$2:$G$672,"&lt;"&amp;A618)</x:f>
        <x:v>0</x:v>
      </x:c>
      <x:c r="I618" s="8" t="n">
        <x:f>SUMIFS('PO detail'!$V$2:$V$672,'PO detail'!$A$2:$A$672,B618,'PO detail'!$B$2:$B$672,C618,'PO detail'!$G$2:$G$672,"&gt;="&amp;D618,'PO detail'!$G$2:$G$672,"&lt;"&amp;A618)</x:f>
        <x:v>0</x:v>
      </x:c>
      <x:c r="J618" s="8" t="n">
        <x:f>SUMIFS('PO detail'!$W$2:$W$672,'PO detail'!$A$2:$A$672,B618,'PO detail'!$B$2:$B$672,C618,'PO detail'!$G$2:$G$672,"&gt;="&amp;D618,'PO detail'!$G$2:$G$672,"&lt;"&amp;A618)</x:f>
        <x:v>0</x:v>
      </x:c>
      <x:c r="K618" s="8" t="n">
        <x:f>'Current inventory'!E114*Summary!$D$6*(A618-D618)/30.4375</x:f>
        <x:v>0</x:v>
      </x:c>
      <x:c r="L618" s="8" t="n">
        <x:f>MAX(0,E618+H618-K618)</x:f>
        <x:v>0</x:v>
      </x:c>
      <x:c r="M618" s="8" t="n">
        <x:f>MAX(0,F618+I618-MAX(0,K618-E618-H618))</x:f>
        <x:v>0</x:v>
      </x:c>
      <x:c r="N618" s="8" t="n">
        <x:f>MAX(0,G618+J618-K618)</x:f>
        <x:v>0</x:v>
      </x:c>
      <x:c r="O618" s="8" t="n">
        <x:f>SUM(L618:N618)</x:f>
        <x:v>0</x:v>
      </x:c>
      <x:c r="P618" s="14" t="n">
        <x:f>'Current inventory'!V114</x:f>
        <x:v>0</x:v>
      </x:c>
      <x:c r="Q618" s="14" t="str">
        <x:f>'Current inventory'!W114</x:f>
        <x:v>n.a.</x:v>
      </x:c>
      <x:c r="R618" s="10" t="n">
        <x:f>L618*P618</x:f>
        <x:v>0</x:v>
      </x:c>
      <x:c r="S618" s="10" t="n">
        <x:f>M618*P618</x:f>
        <x:v>0</x:v>
      </x:c>
      <x:c r="T618" s="10" t="n">
        <x:f>N618*P618</x:f>
        <x:v>0</x:v>
      </x:c>
      <x:c r="U618" s="10" t="n">
        <x:f>O618*P618</x:f>
        <x:v>0</x:v>
      </x:c>
      <x:c r="V618" s="10" t="str">
        <x:f>IF(ISNUMBER(Q618),O618*(Q618-P618),"n.a.")</x:f>
        <x:v>n.a.</x:v>
      </x:c>
      <x:c r="W618" s="10" t="n">
        <x:f>IF(ISNUMBER(Q618),U618,0)</x:f>
        <x:v>0</x:v>
      </x:c>
      <x:c r="X618" s="8" t="n">
        <x:f>MAX(0,K618-SUM(E618:J618))</x:f>
        <x:v>0</x:v>
      </x:c>
      <x:c r="Y618" s="1" t="str">
        <x:f>IF(AND(O618&gt;0,NOT(ISNUMBER(Q618))),"No proposed replacement standard",IF(X618&gt;0,"Demand exceeds available stock",""))</x:f>
      </x:c>
      <x:c r="Z618" s="1" t="n">
        <x:f>IF(ISNUMBER(Q618),1,0)</x:f>
        <x:v>0</x:v>
      </x:c>
    </x:row>
    <x:row r="619" ht="21" customHeight="1">
      <x:c r="A619" s="17" t="n">
        <x:f>Summary!B19</x:f>
        <x:v>46447</x:v>
      </x:c>
      <x:c r="B619" s="1" t="str">
        <x:f>'Current inventory'!A115</x:f>
        <x:v>60</x:v>
      </x:c>
      <x:c r="C619" s="1" t="str">
        <x:f>'Current inventory'!B115</x:f>
        <x:v>800BMARCSC</x:v>
      </x:c>
      <x:c r="D619" s="7" t="n">
        <x:f>A493</x:f>
        <x:v>46419</x:v>
      </x:c>
      <x:c r="E619" s="8" t="n">
        <x:f>L493</x:f>
        <x:v>0</x:v>
      </x:c>
      <x:c r="F619" s="8" t="n">
        <x:f>M493</x:f>
        <x:v>0</x:v>
      </x:c>
      <x:c r="G619" s="8" t="n">
        <x:f>N493</x:f>
        <x:v>1300</x:v>
      </x:c>
      <x:c r="H619" s="8" t="n">
        <x:f>SUMIFS('PO detail'!$U$2:$U$672,'PO detail'!$A$2:$A$672,B619,'PO detail'!$B$2:$B$672,C619,'PO detail'!$G$2:$G$672,"&gt;="&amp;D619,'PO detail'!$G$2:$G$672,"&lt;"&amp;A619)</x:f>
        <x:v>0</x:v>
      </x:c>
      <x:c r="I619" s="8" t="n">
        <x:f>SUMIFS('PO detail'!$V$2:$V$672,'PO detail'!$A$2:$A$672,B619,'PO detail'!$B$2:$B$672,C619,'PO detail'!$G$2:$G$672,"&gt;="&amp;D619,'PO detail'!$G$2:$G$672,"&lt;"&amp;A619)</x:f>
        <x:v>0</x:v>
      </x:c>
      <x:c r="J619" s="8" t="n">
        <x:f>SUMIFS('PO detail'!$W$2:$W$672,'PO detail'!$A$2:$A$672,B619,'PO detail'!$B$2:$B$672,C619,'PO detail'!$G$2:$G$672,"&gt;="&amp;D619,'PO detail'!$G$2:$G$672,"&lt;"&amp;A619)</x:f>
        <x:v>0</x:v>
      </x:c>
      <x:c r="K619" s="8" t="n">
        <x:f>'Current inventory'!E115*Summary!$D$6*(A619-D619)/30.4375</x:f>
        <x:v>0</x:v>
      </x:c>
      <x:c r="L619" s="8" t="n">
        <x:f>MAX(0,E619+H619-K619)</x:f>
        <x:v>0</x:v>
      </x:c>
      <x:c r="M619" s="8" t="n">
        <x:f>MAX(0,F619+I619-MAX(0,K619-E619-H619))</x:f>
        <x:v>0</x:v>
      </x:c>
      <x:c r="N619" s="8" t="n">
        <x:f>MAX(0,G619+J619-K619)</x:f>
        <x:v>1300</x:v>
      </x:c>
      <x:c r="O619" s="8" t="n">
        <x:f>SUM(L619:N619)</x:f>
        <x:v>1300</x:v>
      </x:c>
      <x:c r="P619" s="14" t="n">
        <x:f>'Current inventory'!V115</x:f>
        <x:v>0.23329999999999998</x:v>
      </x:c>
      <x:c r="Q619" s="14" t="str">
        <x:f>'Current inventory'!W115</x:f>
        <x:v>n.a.</x:v>
      </x:c>
      <x:c r="R619" s="10" t="n">
        <x:f>L619*P619</x:f>
        <x:v>0</x:v>
      </x:c>
      <x:c r="S619" s="10" t="n">
        <x:f>M619*P619</x:f>
        <x:v>0</x:v>
      </x:c>
      <x:c r="T619" s="10" t="n">
        <x:f>N619*P619</x:f>
        <x:v>303.28999999999996</x:v>
      </x:c>
      <x:c r="U619" s="10" t="n">
        <x:f>O619*P619</x:f>
        <x:v>303.28999999999996</x:v>
      </x:c>
      <x:c r="V619" s="10" t="str">
        <x:f>IF(ISNUMBER(Q619),O619*(Q619-P619),"n.a.")</x:f>
        <x:v>n.a.</x:v>
      </x:c>
      <x:c r="W619" s="10" t="n">
        <x:f>IF(ISNUMBER(Q619),U619,0)</x:f>
        <x:v>0</x:v>
      </x:c>
      <x:c r="X619" s="8" t="n">
        <x:f>MAX(0,K619-SUM(E619:J619))</x:f>
        <x:v>0</x:v>
      </x:c>
      <x:c r="Y619" s="1" t="str">
        <x:f>IF(AND(O619&gt;0,NOT(ISNUMBER(Q619))),"No proposed replacement standard",IF(X619&gt;0,"Demand exceeds available stock",""))</x:f>
        <x:v>No proposed replacement standard</x:v>
      </x:c>
      <x:c r="Z619" s="1" t="n">
        <x:f>IF(ISNUMBER(Q619),1,0)</x:f>
        <x:v>0</x:v>
      </x:c>
    </x:row>
    <x:row r="620" ht="21" customHeight="1">
      <x:c r="A620" s="17" t="n">
        <x:f>Summary!B19</x:f>
        <x:v>46447</x:v>
      </x:c>
      <x:c r="B620" s="1" t="str">
        <x:f>'Current inventory'!A116</x:f>
        <x:v>60</x:v>
      </x:c>
      <x:c r="C620" s="1" t="str">
        <x:f>'Current inventory'!B116</x:f>
        <x:v>800BREDASC</x:v>
      </x:c>
      <x:c r="D620" s="7" t="n">
        <x:f>A494</x:f>
        <x:v>46419</x:v>
      </x:c>
      <x:c r="E620" s="8" t="n">
        <x:f>L494</x:f>
        <x:v>0</x:v>
      </x:c>
      <x:c r="F620" s="8" t="n">
        <x:f>M494</x:f>
        <x:v>0</x:v>
      </x:c>
      <x:c r="G620" s="8" t="n">
        <x:f>N494</x:f>
        <x:v>0</x:v>
      </x:c>
      <x:c r="H620" s="8" t="n">
        <x:f>SUMIFS('PO detail'!$U$2:$U$672,'PO detail'!$A$2:$A$672,B620,'PO detail'!$B$2:$B$672,C620,'PO detail'!$G$2:$G$672,"&gt;="&amp;D620,'PO detail'!$G$2:$G$672,"&lt;"&amp;A620)</x:f>
        <x:v>0</x:v>
      </x:c>
      <x:c r="I620" s="8" t="n">
        <x:f>SUMIFS('PO detail'!$V$2:$V$672,'PO detail'!$A$2:$A$672,B620,'PO detail'!$B$2:$B$672,C620,'PO detail'!$G$2:$G$672,"&gt;="&amp;D620,'PO detail'!$G$2:$G$672,"&lt;"&amp;A620)</x:f>
        <x:v>0</x:v>
      </x:c>
      <x:c r="J620" s="8" t="n">
        <x:f>SUMIFS('PO detail'!$W$2:$W$672,'PO detail'!$A$2:$A$672,B620,'PO detail'!$B$2:$B$672,C620,'PO detail'!$G$2:$G$672,"&gt;="&amp;D620,'PO detail'!$G$2:$G$672,"&lt;"&amp;A620)</x:f>
        <x:v>0</x:v>
      </x:c>
      <x:c r="K620" s="8" t="n">
        <x:f>'Current inventory'!E116*Summary!$D$6*(A620-D620)/30.4375</x:f>
        <x:v>0</x:v>
      </x:c>
      <x:c r="L620" s="8" t="n">
        <x:f>MAX(0,E620+H620-K620)</x:f>
        <x:v>0</x:v>
      </x:c>
      <x:c r="M620" s="8" t="n">
        <x:f>MAX(0,F620+I620-MAX(0,K620-E620-H620))</x:f>
        <x:v>0</x:v>
      </x:c>
      <x:c r="N620" s="8" t="n">
        <x:f>MAX(0,G620+J620-K620)</x:f>
        <x:v>0</x:v>
      </x:c>
      <x:c r="O620" s="8" t="n">
        <x:f>SUM(L620:N620)</x:f>
        <x:v>0</x:v>
      </x:c>
      <x:c r="P620" s="14" t="n">
        <x:f>'Current inventory'!V116</x:f>
        <x:v>0.07919999999999999</x:v>
      </x:c>
      <x:c r="Q620" s="14" t="str">
        <x:f>'Current inventory'!W116</x:f>
        <x:v>n.a.</x:v>
      </x:c>
      <x:c r="R620" s="10" t="n">
        <x:f>L620*P620</x:f>
        <x:v>0</x:v>
      </x:c>
      <x:c r="S620" s="10" t="n">
        <x:f>M620*P620</x:f>
        <x:v>0</x:v>
      </x:c>
      <x:c r="T620" s="10" t="n">
        <x:f>N620*P620</x:f>
        <x:v>0</x:v>
      </x:c>
      <x:c r="U620" s="10" t="n">
        <x:f>O620*P620</x:f>
        <x:v>0</x:v>
      </x:c>
      <x:c r="V620" s="10" t="str">
        <x:f>IF(ISNUMBER(Q620),O620*(Q620-P620),"n.a.")</x:f>
        <x:v>n.a.</x:v>
      </x:c>
      <x:c r="W620" s="10" t="n">
        <x:f>IF(ISNUMBER(Q620),U620,0)</x:f>
        <x:v>0</x:v>
      </x:c>
      <x:c r="X620" s="8" t="n">
        <x:f>MAX(0,K620-SUM(E620:J620))</x:f>
        <x:v>0</x:v>
      </x:c>
      <x:c r="Y620" s="1" t="str">
        <x:f>IF(AND(O620&gt;0,NOT(ISNUMBER(Q620))),"No proposed replacement standard",IF(X620&gt;0,"Demand exceeds available stock",""))</x:f>
      </x:c>
      <x:c r="Z620" s="1" t="n">
        <x:f>IF(ISNUMBER(Q620),1,0)</x:f>
        <x:v>0</x:v>
      </x:c>
    </x:row>
    <x:row r="621" ht="21" customHeight="1">
      <x:c r="A621" s="17" t="n">
        <x:f>Summary!B19</x:f>
        <x:v>46447</x:v>
      </x:c>
      <x:c r="B621" s="1" t="str">
        <x:f>'Current inventory'!A117</x:f>
        <x:v>60</x:v>
      </x:c>
      <x:c r="C621" s="1" t="str">
        <x:f>'Current inventory'!B117</x:f>
        <x:v>800BREDBRC</x:v>
      </x:c>
      <x:c r="D621" s="7" t="n">
        <x:f>A495</x:f>
        <x:v>46419</x:v>
      </x:c>
      <x:c r="E621" s="8" t="n">
        <x:f>L495</x:f>
        <x:v>0</x:v>
      </x:c>
      <x:c r="F621" s="8" t="n">
        <x:f>M495</x:f>
        <x:v>0</x:v>
      </x:c>
      <x:c r="G621" s="8" t="n">
        <x:f>N495</x:f>
        <x:v>0</x:v>
      </x:c>
      <x:c r="H621" s="8" t="n">
        <x:f>SUMIFS('PO detail'!$U$2:$U$672,'PO detail'!$A$2:$A$672,B621,'PO detail'!$B$2:$B$672,C621,'PO detail'!$G$2:$G$672,"&gt;="&amp;D621,'PO detail'!$G$2:$G$672,"&lt;"&amp;A621)</x:f>
        <x:v>0</x:v>
      </x:c>
      <x:c r="I621" s="8" t="n">
        <x:f>SUMIFS('PO detail'!$V$2:$V$672,'PO detail'!$A$2:$A$672,B621,'PO detail'!$B$2:$B$672,C621,'PO detail'!$G$2:$G$672,"&gt;="&amp;D621,'PO detail'!$G$2:$G$672,"&lt;"&amp;A621)</x:f>
        <x:v>0</x:v>
      </x:c>
      <x:c r="J621" s="8" t="n">
        <x:f>SUMIFS('PO detail'!$W$2:$W$672,'PO detail'!$A$2:$A$672,B621,'PO detail'!$B$2:$B$672,C621,'PO detail'!$G$2:$G$672,"&gt;="&amp;D621,'PO detail'!$G$2:$G$672,"&lt;"&amp;A621)</x:f>
        <x:v>0</x:v>
      </x:c>
      <x:c r="K621" s="8" t="n">
        <x:f>'Current inventory'!E117*Summary!$D$6*(A621-D621)/30.4375</x:f>
        <x:v>0</x:v>
      </x:c>
      <x:c r="L621" s="8" t="n">
        <x:f>MAX(0,E621+H621-K621)</x:f>
        <x:v>0</x:v>
      </x:c>
      <x:c r="M621" s="8" t="n">
        <x:f>MAX(0,F621+I621-MAX(0,K621-E621-H621))</x:f>
        <x:v>0</x:v>
      </x:c>
      <x:c r="N621" s="8" t="n">
        <x:f>MAX(0,G621+J621-K621)</x:f>
        <x:v>0</x:v>
      </x:c>
      <x:c r="O621" s="8" t="n">
        <x:f>SUM(L621:N621)</x:f>
        <x:v>0</x:v>
      </x:c>
      <x:c r="P621" s="14" t="n">
        <x:f>'Current inventory'!V117</x:f>
        <x:v>0.0898</x:v>
      </x:c>
      <x:c r="Q621" s="14" t="str">
        <x:f>'Current inventory'!W117</x:f>
        <x:v>n.a.</x:v>
      </x:c>
      <x:c r="R621" s="10" t="n">
        <x:f>L621*P621</x:f>
        <x:v>0</x:v>
      </x:c>
      <x:c r="S621" s="10" t="n">
        <x:f>M621*P621</x:f>
        <x:v>0</x:v>
      </x:c>
      <x:c r="T621" s="10" t="n">
        <x:f>N621*P621</x:f>
        <x:v>0</x:v>
      </x:c>
      <x:c r="U621" s="10" t="n">
        <x:f>O621*P621</x:f>
        <x:v>0</x:v>
      </x:c>
      <x:c r="V621" s="10" t="str">
        <x:f>IF(ISNUMBER(Q621),O621*(Q621-P621),"n.a.")</x:f>
        <x:v>n.a.</x:v>
      </x:c>
      <x:c r="W621" s="10" t="n">
        <x:f>IF(ISNUMBER(Q621),U621,0)</x:f>
        <x:v>0</x:v>
      </x:c>
      <x:c r="X621" s="8" t="n">
        <x:f>MAX(0,K621-SUM(E621:J621))</x:f>
        <x:v>0</x:v>
      </x:c>
      <x:c r="Y621" s="1" t="str">
        <x:f>IF(AND(O621&gt;0,NOT(ISNUMBER(Q621))),"No proposed replacement standard",IF(X621&gt;0,"Demand exceeds available stock",""))</x:f>
      </x:c>
      <x:c r="Z621" s="1" t="n">
        <x:f>IF(ISNUMBER(Q621),1,0)</x:f>
        <x:v>0</x:v>
      </x:c>
    </x:row>
    <x:row r="622" ht="21" customHeight="1">
      <x:c r="A622" s="17" t="n">
        <x:f>Summary!B19</x:f>
        <x:v>46447</x:v>
      </x:c>
      <x:c r="B622" s="1" t="str">
        <x:f>'Current inventory'!A118</x:f>
        <x:v>60</x:v>
      </x:c>
      <x:c r="C622" s="1" t="str">
        <x:f>'Current inventory'!B118</x:f>
        <x:v>800WBLKBRC</x:v>
      </x:c>
      <x:c r="D622" s="7" t="n">
        <x:f>A496</x:f>
        <x:v>46419</x:v>
      </x:c>
      <x:c r="E622" s="8" t="n">
        <x:f>L496</x:f>
        <x:v>0</x:v>
      </x:c>
      <x:c r="F622" s="8" t="n">
        <x:f>M496</x:f>
        <x:v>0</x:v>
      </x:c>
      <x:c r="G622" s="8" t="n">
        <x:f>N496</x:f>
        <x:v>0</x:v>
      </x:c>
      <x:c r="H622" s="8" t="n">
        <x:f>SUMIFS('PO detail'!$U$2:$U$672,'PO detail'!$A$2:$A$672,B622,'PO detail'!$B$2:$B$672,C622,'PO detail'!$G$2:$G$672,"&gt;="&amp;D622,'PO detail'!$G$2:$G$672,"&lt;"&amp;A622)</x:f>
        <x:v>0</x:v>
      </x:c>
      <x:c r="I622" s="8" t="n">
        <x:f>SUMIFS('PO detail'!$V$2:$V$672,'PO detail'!$A$2:$A$672,B622,'PO detail'!$B$2:$B$672,C622,'PO detail'!$G$2:$G$672,"&gt;="&amp;D622,'PO detail'!$G$2:$G$672,"&lt;"&amp;A622)</x:f>
        <x:v>0</x:v>
      </x:c>
      <x:c r="J622" s="8" t="n">
        <x:f>SUMIFS('PO detail'!$W$2:$W$672,'PO detail'!$A$2:$A$672,B622,'PO detail'!$B$2:$B$672,C622,'PO detail'!$G$2:$G$672,"&gt;="&amp;D622,'PO detail'!$G$2:$G$672,"&lt;"&amp;A622)</x:f>
        <x:v>0</x:v>
      </x:c>
      <x:c r="K622" s="8" t="n">
        <x:f>'Current inventory'!E118*Summary!$D$6*(A622-D622)/30.4375</x:f>
        <x:v>0</x:v>
      </x:c>
      <x:c r="L622" s="8" t="n">
        <x:f>MAX(0,E622+H622-K622)</x:f>
        <x:v>0</x:v>
      </x:c>
      <x:c r="M622" s="8" t="n">
        <x:f>MAX(0,F622+I622-MAX(0,K622-E622-H622))</x:f>
        <x:v>0</x:v>
      </x:c>
      <x:c r="N622" s="8" t="n">
        <x:f>MAX(0,G622+J622-K622)</x:f>
        <x:v>0</x:v>
      </x:c>
      <x:c r="O622" s="8" t="n">
        <x:f>SUM(L622:N622)</x:f>
        <x:v>0</x:v>
      </x:c>
      <x:c r="P622" s="14" t="n">
        <x:f>'Current inventory'!V118</x:f>
        <x:v>0.14150000000000001</x:v>
      </x:c>
      <x:c r="Q622" s="14" t="str">
        <x:f>'Current inventory'!W118</x:f>
        <x:v>n.a.</x:v>
      </x:c>
      <x:c r="R622" s="10" t="n">
        <x:f>L622*P622</x:f>
        <x:v>0</x:v>
      </x:c>
      <x:c r="S622" s="10" t="n">
        <x:f>M622*P622</x:f>
        <x:v>0</x:v>
      </x:c>
      <x:c r="T622" s="10" t="n">
        <x:f>N622*P622</x:f>
        <x:v>0</x:v>
      </x:c>
      <x:c r="U622" s="10" t="n">
        <x:f>O622*P622</x:f>
        <x:v>0</x:v>
      </x:c>
      <x:c r="V622" s="10" t="str">
        <x:f>IF(ISNUMBER(Q622),O622*(Q622-P622),"n.a.")</x:f>
        <x:v>n.a.</x:v>
      </x:c>
      <x:c r="W622" s="10" t="n">
        <x:f>IF(ISNUMBER(Q622),U622,0)</x:f>
        <x:v>0</x:v>
      </x:c>
      <x:c r="X622" s="8" t="n">
        <x:f>MAX(0,K622-SUM(E622:J622))</x:f>
        <x:v>0</x:v>
      </x:c>
      <x:c r="Y622" s="1" t="str">
        <x:f>IF(AND(O622&gt;0,NOT(ISNUMBER(Q622))),"No proposed replacement standard",IF(X622&gt;0,"Demand exceeds available stock",""))</x:f>
      </x:c>
      <x:c r="Z622" s="1" t="n">
        <x:f>IF(ISNUMBER(Q622),1,0)</x:f>
        <x:v>0</x:v>
      </x:c>
    </x:row>
    <x:row r="623" ht="21" customHeight="1">
      <x:c r="A623" s="17" t="n">
        <x:f>Summary!B19</x:f>
        <x:v>46447</x:v>
      </x:c>
      <x:c r="B623" s="1" t="str">
        <x:f>'Current inventory'!A119</x:f>
        <x:v>60</x:v>
      </x:c>
      <x:c r="C623" s="1" t="str">
        <x:f>'Current inventory'!B119</x:f>
        <x:v>800WFGASC</x:v>
      </x:c>
      <x:c r="D623" s="7" t="n">
        <x:f>A497</x:f>
        <x:v>46419</x:v>
      </x:c>
      <x:c r="E623" s="8" t="n">
        <x:f>L497</x:f>
        <x:v>0</x:v>
      </x:c>
      <x:c r="F623" s="8" t="n">
        <x:f>M497</x:f>
        <x:v>0</x:v>
      </x:c>
      <x:c r="G623" s="8" t="n">
        <x:f>N497</x:f>
        <x:v>0</x:v>
      </x:c>
      <x:c r="H623" s="8" t="n">
        <x:f>SUMIFS('PO detail'!$U$2:$U$672,'PO detail'!$A$2:$A$672,B623,'PO detail'!$B$2:$B$672,C623,'PO detail'!$G$2:$G$672,"&gt;="&amp;D623,'PO detail'!$G$2:$G$672,"&lt;"&amp;A623)</x:f>
        <x:v>0</x:v>
      </x:c>
      <x:c r="I623" s="8" t="n">
        <x:f>SUMIFS('PO detail'!$V$2:$V$672,'PO detail'!$A$2:$A$672,B623,'PO detail'!$B$2:$B$672,C623,'PO detail'!$G$2:$G$672,"&gt;="&amp;D623,'PO detail'!$G$2:$G$672,"&lt;"&amp;A623)</x:f>
        <x:v>0</x:v>
      </x:c>
      <x:c r="J623" s="8" t="n">
        <x:f>SUMIFS('PO detail'!$W$2:$W$672,'PO detail'!$A$2:$A$672,B623,'PO detail'!$B$2:$B$672,C623,'PO detail'!$G$2:$G$672,"&gt;="&amp;D623,'PO detail'!$G$2:$G$672,"&lt;"&amp;A623)</x:f>
        <x:v>0</x:v>
      </x:c>
      <x:c r="K623" s="8" t="n">
        <x:f>'Current inventory'!E119*Summary!$D$6*(A623-D623)/30.4375</x:f>
        <x:v>0</x:v>
      </x:c>
      <x:c r="L623" s="8" t="n">
        <x:f>MAX(0,E623+H623-K623)</x:f>
        <x:v>0</x:v>
      </x:c>
      <x:c r="M623" s="8" t="n">
        <x:f>MAX(0,F623+I623-MAX(0,K623-E623-H623))</x:f>
        <x:v>0</x:v>
      </x:c>
      <x:c r="N623" s="8" t="n">
        <x:f>MAX(0,G623+J623-K623)</x:f>
        <x:v>0</x:v>
      </x:c>
      <x:c r="O623" s="8" t="n">
        <x:f>SUM(L623:N623)</x:f>
        <x:v>0</x:v>
      </x:c>
      <x:c r="P623" s="14" t="n">
        <x:f>'Current inventory'!V119</x:f>
        <x:v>0.1456</x:v>
      </x:c>
      <x:c r="Q623" s="14" t="str">
        <x:f>'Current inventory'!W119</x:f>
        <x:v>n.a.</x:v>
      </x:c>
      <x:c r="R623" s="10" t="n">
        <x:f>L623*P623</x:f>
        <x:v>0</x:v>
      </x:c>
      <x:c r="S623" s="10" t="n">
        <x:f>M623*P623</x:f>
        <x:v>0</x:v>
      </x:c>
      <x:c r="T623" s="10" t="n">
        <x:f>N623*P623</x:f>
        <x:v>0</x:v>
      </x:c>
      <x:c r="U623" s="10" t="n">
        <x:f>O623*P623</x:f>
        <x:v>0</x:v>
      </x:c>
      <x:c r="V623" s="10" t="str">
        <x:f>IF(ISNUMBER(Q623),O623*(Q623-P623),"n.a.")</x:f>
        <x:v>n.a.</x:v>
      </x:c>
      <x:c r="W623" s="10" t="n">
        <x:f>IF(ISNUMBER(Q623),U623,0)</x:f>
        <x:v>0</x:v>
      </x:c>
      <x:c r="X623" s="8" t="n">
        <x:f>MAX(0,K623-SUM(E623:J623))</x:f>
        <x:v>0</x:v>
      </x:c>
      <x:c r="Y623" s="1" t="str">
        <x:f>IF(AND(O623&gt;0,NOT(ISNUMBER(Q623))),"No proposed replacement standard",IF(X623&gt;0,"Demand exceeds available stock",""))</x:f>
      </x:c>
      <x:c r="Z623" s="1" t="n">
        <x:f>IF(ISNUMBER(Q623),1,0)</x:f>
        <x:v>0</x:v>
      </x:c>
    </x:row>
    <x:row r="624" ht="21" customHeight="1">
      <x:c r="A624" s="17" t="n">
        <x:f>Summary!B19</x:f>
        <x:v>46447</x:v>
      </x:c>
      <x:c r="B624" s="1" t="str">
        <x:f>'Current inventory'!A120</x:f>
        <x:v>60</x:v>
      </x:c>
      <x:c r="C624" s="1" t="str">
        <x:f>'Current inventory'!B120</x:f>
        <x:v>800WFGBRC</x:v>
      </x:c>
      <x:c r="D624" s="7" t="n">
        <x:f>A498</x:f>
        <x:v>46419</x:v>
      </x:c>
      <x:c r="E624" s="8" t="n">
        <x:f>L498</x:f>
        <x:v>0</x:v>
      </x:c>
      <x:c r="F624" s="8" t="n">
        <x:f>M498</x:f>
        <x:v>0</x:v>
      </x:c>
      <x:c r="G624" s="8" t="n">
        <x:f>N498</x:f>
        <x:v>0</x:v>
      </x:c>
      <x:c r="H624" s="8" t="n">
        <x:f>SUMIFS('PO detail'!$U$2:$U$672,'PO detail'!$A$2:$A$672,B624,'PO detail'!$B$2:$B$672,C624,'PO detail'!$G$2:$G$672,"&gt;="&amp;D624,'PO detail'!$G$2:$G$672,"&lt;"&amp;A624)</x:f>
        <x:v>0</x:v>
      </x:c>
      <x:c r="I624" s="8" t="n">
        <x:f>SUMIFS('PO detail'!$V$2:$V$672,'PO detail'!$A$2:$A$672,B624,'PO detail'!$B$2:$B$672,C624,'PO detail'!$G$2:$G$672,"&gt;="&amp;D624,'PO detail'!$G$2:$G$672,"&lt;"&amp;A624)</x:f>
        <x:v>0</x:v>
      </x:c>
      <x:c r="J624" s="8" t="n">
        <x:f>SUMIFS('PO detail'!$W$2:$W$672,'PO detail'!$A$2:$A$672,B624,'PO detail'!$B$2:$B$672,C624,'PO detail'!$G$2:$G$672,"&gt;="&amp;D624,'PO detail'!$G$2:$G$672,"&lt;"&amp;A624)</x:f>
        <x:v>0</x:v>
      </x:c>
      <x:c r="K624" s="8" t="n">
        <x:f>'Current inventory'!E120*Summary!$D$6*(A624-D624)/30.4375</x:f>
        <x:v>0</x:v>
      </x:c>
      <x:c r="L624" s="8" t="n">
        <x:f>MAX(0,E624+H624-K624)</x:f>
        <x:v>0</x:v>
      </x:c>
      <x:c r="M624" s="8" t="n">
        <x:f>MAX(0,F624+I624-MAX(0,K624-E624-H624))</x:f>
        <x:v>0</x:v>
      </x:c>
      <x:c r="N624" s="8" t="n">
        <x:f>MAX(0,G624+J624-K624)</x:f>
        <x:v>0</x:v>
      </x:c>
      <x:c r="O624" s="8" t="n">
        <x:f>SUM(L624:N624)</x:f>
        <x:v>0</x:v>
      </x:c>
      <x:c r="P624" s="14" t="n">
        <x:f>'Current inventory'!V120</x:f>
        <x:v>0.18469999999999998</x:v>
      </x:c>
      <x:c r="Q624" s="14" t="str">
        <x:f>'Current inventory'!W120</x:f>
        <x:v>n.a.</x:v>
      </x:c>
      <x:c r="R624" s="10" t="n">
        <x:f>L624*P624</x:f>
        <x:v>0</x:v>
      </x:c>
      <x:c r="S624" s="10" t="n">
        <x:f>M624*P624</x:f>
        <x:v>0</x:v>
      </x:c>
      <x:c r="T624" s="10" t="n">
        <x:f>N624*P624</x:f>
        <x:v>0</x:v>
      </x:c>
      <x:c r="U624" s="10" t="n">
        <x:f>O624*P624</x:f>
        <x:v>0</x:v>
      </x:c>
      <x:c r="V624" s="10" t="str">
        <x:f>IF(ISNUMBER(Q624),O624*(Q624-P624),"n.a.")</x:f>
        <x:v>n.a.</x:v>
      </x:c>
      <x:c r="W624" s="10" t="n">
        <x:f>IF(ISNUMBER(Q624),U624,0)</x:f>
        <x:v>0</x:v>
      </x:c>
      <x:c r="X624" s="8" t="n">
        <x:f>MAX(0,K624-SUM(E624:J624))</x:f>
        <x:v>0</x:v>
      </x:c>
      <x:c r="Y624" s="1" t="str">
        <x:f>IF(AND(O624&gt;0,NOT(ISNUMBER(Q624))),"No proposed replacement standard",IF(X624&gt;0,"Demand exceeds available stock",""))</x:f>
      </x:c>
      <x:c r="Z624" s="1" t="n">
        <x:f>IF(ISNUMBER(Q624),1,0)</x:f>
        <x:v>0</x:v>
      </x:c>
    </x:row>
    <x:row r="625" ht="21" customHeight="1">
      <x:c r="A625" s="17" t="n">
        <x:f>Summary!B19</x:f>
        <x:v>46447</x:v>
      </x:c>
      <x:c r="B625" s="1" t="str">
        <x:f>'Current inventory'!A121</x:f>
        <x:v>60</x:v>
      </x:c>
      <x:c r="C625" s="1" t="str">
        <x:f>'Current inventory'!B121</x:f>
        <x:v>800WMARASC</x:v>
      </x:c>
      <x:c r="D625" s="7" t="n">
        <x:f>A499</x:f>
        <x:v>46419</x:v>
      </x:c>
      <x:c r="E625" s="8" t="n">
        <x:f>L499</x:f>
        <x:v>0</x:v>
      </x:c>
      <x:c r="F625" s="8" t="n">
        <x:f>M499</x:f>
        <x:v>0</x:v>
      </x:c>
      <x:c r="G625" s="8" t="n">
        <x:f>N499</x:f>
        <x:v>0</x:v>
      </x:c>
      <x:c r="H625" s="8" t="n">
        <x:f>SUMIFS('PO detail'!$U$2:$U$672,'PO detail'!$A$2:$A$672,B625,'PO detail'!$B$2:$B$672,C625,'PO detail'!$G$2:$G$672,"&gt;="&amp;D625,'PO detail'!$G$2:$G$672,"&lt;"&amp;A625)</x:f>
        <x:v>0</x:v>
      </x:c>
      <x:c r="I625" s="8" t="n">
        <x:f>SUMIFS('PO detail'!$V$2:$V$672,'PO detail'!$A$2:$A$672,B625,'PO detail'!$B$2:$B$672,C625,'PO detail'!$G$2:$G$672,"&gt;="&amp;D625,'PO detail'!$G$2:$G$672,"&lt;"&amp;A625)</x:f>
        <x:v>0</x:v>
      </x:c>
      <x:c r="J625" s="8" t="n">
        <x:f>SUMIFS('PO detail'!$W$2:$W$672,'PO detail'!$A$2:$A$672,B625,'PO detail'!$B$2:$B$672,C625,'PO detail'!$G$2:$G$672,"&gt;="&amp;D625,'PO detail'!$G$2:$G$672,"&lt;"&amp;A625)</x:f>
        <x:v>0</x:v>
      </x:c>
      <x:c r="K625" s="8" t="n">
        <x:f>'Current inventory'!E121*Summary!$D$6*(A625-D625)/30.4375</x:f>
        <x:v>0</x:v>
      </x:c>
      <x:c r="L625" s="8" t="n">
        <x:f>MAX(0,E625+H625-K625)</x:f>
        <x:v>0</x:v>
      </x:c>
      <x:c r="M625" s="8" t="n">
        <x:f>MAX(0,F625+I625-MAX(0,K625-E625-H625))</x:f>
        <x:v>0</x:v>
      </x:c>
      <x:c r="N625" s="8" t="n">
        <x:f>MAX(0,G625+J625-K625)</x:f>
        <x:v>0</x:v>
      </x:c>
      <x:c r="O625" s="8" t="n">
        <x:f>SUM(L625:N625)</x:f>
        <x:v>0</x:v>
      </x:c>
      <x:c r="P625" s="14" t="n">
        <x:f>'Current inventory'!V121</x:f>
        <x:v>0.1383</x:v>
      </x:c>
      <x:c r="Q625" s="14" t="str">
        <x:f>'Current inventory'!W121</x:f>
        <x:v>n.a.</x:v>
      </x:c>
      <x:c r="R625" s="10" t="n">
        <x:f>L625*P625</x:f>
        <x:v>0</x:v>
      </x:c>
      <x:c r="S625" s="10" t="n">
        <x:f>M625*P625</x:f>
        <x:v>0</x:v>
      </x:c>
      <x:c r="T625" s="10" t="n">
        <x:f>N625*P625</x:f>
        <x:v>0</x:v>
      </x:c>
      <x:c r="U625" s="10" t="n">
        <x:f>O625*P625</x:f>
        <x:v>0</x:v>
      </x:c>
      <x:c r="V625" s="10" t="str">
        <x:f>IF(ISNUMBER(Q625),O625*(Q625-P625),"n.a.")</x:f>
        <x:v>n.a.</x:v>
      </x:c>
      <x:c r="W625" s="10" t="n">
        <x:f>IF(ISNUMBER(Q625),U625,0)</x:f>
        <x:v>0</x:v>
      </x:c>
      <x:c r="X625" s="8" t="n">
        <x:f>MAX(0,K625-SUM(E625:J625))</x:f>
        <x:v>0</x:v>
      </x:c>
      <x:c r="Y625" s="1" t="str">
        <x:f>IF(AND(O625&gt;0,NOT(ISNUMBER(Q625))),"No proposed replacement standard",IF(X625&gt;0,"Demand exceeds available stock",""))</x:f>
      </x:c>
      <x:c r="Z625" s="1" t="n">
        <x:f>IF(ISNUMBER(Q625),1,0)</x:f>
        <x:v>0</x:v>
      </x:c>
    </x:row>
    <x:row r="626" ht="21" customHeight="1">
      <x:c r="A626" s="17" t="n">
        <x:f>Summary!B19</x:f>
        <x:v>46447</x:v>
      </x:c>
      <x:c r="B626" s="1" t="str">
        <x:f>'Current inventory'!A122</x:f>
        <x:v>60</x:v>
      </x:c>
      <x:c r="C626" s="1" t="str">
        <x:f>'Current inventory'!B122</x:f>
        <x:v>800WMARBRC</x:v>
      </x:c>
      <x:c r="D626" s="7" t="n">
        <x:f>A500</x:f>
        <x:v>46419</x:v>
      </x:c>
      <x:c r="E626" s="8" t="n">
        <x:f>L500</x:f>
        <x:v>0</x:v>
      </x:c>
      <x:c r="F626" s="8" t="n">
        <x:f>M500</x:f>
        <x:v>0</x:v>
      </x:c>
      <x:c r="G626" s="8" t="n">
        <x:f>N500</x:f>
        <x:v>0</x:v>
      </x:c>
      <x:c r="H626" s="8" t="n">
        <x:f>SUMIFS('PO detail'!$U$2:$U$672,'PO detail'!$A$2:$A$672,B626,'PO detail'!$B$2:$B$672,C626,'PO detail'!$G$2:$G$672,"&gt;="&amp;D626,'PO detail'!$G$2:$G$672,"&lt;"&amp;A626)</x:f>
        <x:v>0</x:v>
      </x:c>
      <x:c r="I626" s="8" t="n">
        <x:f>SUMIFS('PO detail'!$V$2:$V$672,'PO detail'!$A$2:$A$672,B626,'PO detail'!$B$2:$B$672,C626,'PO detail'!$G$2:$G$672,"&gt;="&amp;D626,'PO detail'!$G$2:$G$672,"&lt;"&amp;A626)</x:f>
        <x:v>0</x:v>
      </x:c>
      <x:c r="J626" s="8" t="n">
        <x:f>SUMIFS('PO detail'!$W$2:$W$672,'PO detail'!$A$2:$A$672,B626,'PO detail'!$B$2:$B$672,C626,'PO detail'!$G$2:$G$672,"&gt;="&amp;D626,'PO detail'!$G$2:$G$672,"&lt;"&amp;A626)</x:f>
        <x:v>0</x:v>
      </x:c>
      <x:c r="K626" s="8" t="n">
        <x:f>'Current inventory'!E122*Summary!$D$6*(A626-D626)/30.4375</x:f>
        <x:v>0</x:v>
      </x:c>
      <x:c r="L626" s="8" t="n">
        <x:f>MAX(0,E626+H626-K626)</x:f>
        <x:v>0</x:v>
      </x:c>
      <x:c r="M626" s="8" t="n">
        <x:f>MAX(0,F626+I626-MAX(0,K626-E626-H626))</x:f>
        <x:v>0</x:v>
      </x:c>
      <x:c r="N626" s="8" t="n">
        <x:f>MAX(0,G626+J626-K626)</x:f>
        <x:v>0</x:v>
      </x:c>
      <x:c r="O626" s="8" t="n">
        <x:f>SUM(L626:N626)</x:f>
        <x:v>0</x:v>
      </x:c>
      <x:c r="P626" s="14" t="n">
        <x:f>'Current inventory'!V122</x:f>
        <x:v>0.17350000000000002</x:v>
      </x:c>
      <x:c r="Q626" s="14" t="str">
        <x:f>'Current inventory'!W122</x:f>
        <x:v>n.a.</x:v>
      </x:c>
      <x:c r="R626" s="10" t="n">
        <x:f>L626*P626</x:f>
        <x:v>0</x:v>
      </x:c>
      <x:c r="S626" s="10" t="n">
        <x:f>M626*P626</x:f>
        <x:v>0</x:v>
      </x:c>
      <x:c r="T626" s="10" t="n">
        <x:f>N626*P626</x:f>
        <x:v>0</x:v>
      </x:c>
      <x:c r="U626" s="10" t="n">
        <x:f>O626*P626</x:f>
        <x:v>0</x:v>
      </x:c>
      <x:c r="V626" s="10" t="str">
        <x:f>IF(ISNUMBER(Q626),O626*(Q626-P626),"n.a.")</x:f>
        <x:v>n.a.</x:v>
      </x:c>
      <x:c r="W626" s="10" t="n">
        <x:f>IF(ISNUMBER(Q626),U626,0)</x:f>
        <x:v>0</x:v>
      </x:c>
      <x:c r="X626" s="8" t="n">
        <x:f>MAX(0,K626-SUM(E626:J626))</x:f>
        <x:v>0</x:v>
      </x:c>
      <x:c r="Y626" s="1" t="str">
        <x:f>IF(AND(O626&gt;0,NOT(ISNUMBER(Q626))),"No proposed replacement standard",IF(X626&gt;0,"Demand exceeds available stock",""))</x:f>
      </x:c>
      <x:c r="Z626" s="1" t="n">
        <x:f>IF(ISNUMBER(Q626),1,0)</x:f>
        <x:v>0</x:v>
      </x:c>
    </x:row>
    <x:row r="627" ht="21" customHeight="1">
      <x:c r="A627" s="17" t="n">
        <x:f>Summary!B19</x:f>
        <x:v>46447</x:v>
      </x:c>
      <x:c r="B627" s="1" t="str">
        <x:f>'Current inventory'!A123</x:f>
        <x:v>60</x:v>
      </x:c>
      <x:c r="C627" s="1" t="str">
        <x:f>'Current inventory'!B123</x:f>
        <x:v>800WNAVBRC</x:v>
      </x:c>
      <x:c r="D627" s="7" t="n">
        <x:f>A501</x:f>
        <x:v>46419</x:v>
      </x:c>
      <x:c r="E627" s="8" t="n">
        <x:f>L501</x:f>
        <x:v>0</x:v>
      </x:c>
      <x:c r="F627" s="8" t="n">
        <x:f>M501</x:f>
        <x:v>0</x:v>
      </x:c>
      <x:c r="G627" s="8" t="n">
        <x:f>N501</x:f>
        <x:v>0</x:v>
      </x:c>
      <x:c r="H627" s="8" t="n">
        <x:f>SUMIFS('PO detail'!$U$2:$U$672,'PO detail'!$A$2:$A$672,B627,'PO detail'!$B$2:$B$672,C627,'PO detail'!$G$2:$G$672,"&gt;="&amp;D627,'PO detail'!$G$2:$G$672,"&lt;"&amp;A627)</x:f>
        <x:v>0</x:v>
      </x:c>
      <x:c r="I627" s="8" t="n">
        <x:f>SUMIFS('PO detail'!$V$2:$V$672,'PO detail'!$A$2:$A$672,B627,'PO detail'!$B$2:$B$672,C627,'PO detail'!$G$2:$G$672,"&gt;="&amp;D627,'PO detail'!$G$2:$G$672,"&lt;"&amp;A627)</x:f>
        <x:v>0</x:v>
      </x:c>
      <x:c r="J627" s="8" t="n">
        <x:f>SUMIFS('PO detail'!$W$2:$W$672,'PO detail'!$A$2:$A$672,B627,'PO detail'!$B$2:$B$672,C627,'PO detail'!$G$2:$G$672,"&gt;="&amp;D627,'PO detail'!$G$2:$G$672,"&lt;"&amp;A627)</x:f>
        <x:v>0</x:v>
      </x:c>
      <x:c r="K627" s="8" t="n">
        <x:f>'Current inventory'!E123*Summary!$D$6*(A627-D627)/30.4375</x:f>
        <x:v>0</x:v>
      </x:c>
      <x:c r="L627" s="8" t="n">
        <x:f>MAX(0,E627+H627-K627)</x:f>
        <x:v>0</x:v>
      </x:c>
      <x:c r="M627" s="8" t="n">
        <x:f>MAX(0,F627+I627-MAX(0,K627-E627-H627))</x:f>
        <x:v>0</x:v>
      </x:c>
      <x:c r="N627" s="8" t="n">
        <x:f>MAX(0,G627+J627-K627)</x:f>
        <x:v>0</x:v>
      </x:c>
      <x:c r="O627" s="8" t="n">
        <x:f>SUM(L627:N627)</x:f>
        <x:v>0</x:v>
      </x:c>
      <x:c r="P627" s="14" t="n">
        <x:f>'Current inventory'!V123</x:f>
        <x:v>0.17350000000000002</x:v>
      </x:c>
      <x:c r="Q627" s="14" t="str">
        <x:f>'Current inventory'!W123</x:f>
        <x:v>n.a.</x:v>
      </x:c>
      <x:c r="R627" s="10" t="n">
        <x:f>L627*P627</x:f>
        <x:v>0</x:v>
      </x:c>
      <x:c r="S627" s="10" t="n">
        <x:f>M627*P627</x:f>
        <x:v>0</x:v>
      </x:c>
      <x:c r="T627" s="10" t="n">
        <x:f>N627*P627</x:f>
        <x:v>0</x:v>
      </x:c>
      <x:c r="U627" s="10" t="n">
        <x:f>O627*P627</x:f>
        <x:v>0</x:v>
      </x:c>
      <x:c r="V627" s="10" t="str">
        <x:f>IF(ISNUMBER(Q627),O627*(Q627-P627),"n.a.")</x:f>
        <x:v>n.a.</x:v>
      </x:c>
      <x:c r="W627" s="10" t="n">
        <x:f>IF(ISNUMBER(Q627),U627,0)</x:f>
        <x:v>0</x:v>
      </x:c>
      <x:c r="X627" s="8" t="n">
        <x:f>MAX(0,K627-SUM(E627:J627))</x:f>
        <x:v>0</x:v>
      </x:c>
      <x:c r="Y627" s="1" t="str">
        <x:f>IF(AND(O627&gt;0,NOT(ISNUMBER(Q627))),"No proposed replacement standard",IF(X627&gt;0,"Demand exceeds available stock",""))</x:f>
      </x:c>
      <x:c r="Z627" s="1" t="n">
        <x:f>IF(ISNUMBER(Q627),1,0)</x:f>
        <x:v>0</x:v>
      </x:c>
    </x:row>
    <x:row r="628" ht="21" customHeight="1">
      <x:c r="A628" s="17" t="n">
        <x:f>Summary!B19</x:f>
        <x:v>46447</x:v>
      </x:c>
      <x:c r="B628" s="1" t="str">
        <x:f>'Current inventory'!A124</x:f>
        <x:v>60</x:v>
      </x:c>
      <x:c r="C628" s="1" t="str">
        <x:f>'Current inventory'!B124</x:f>
        <x:v>800WREDASC</x:v>
      </x:c>
      <x:c r="D628" s="7" t="n">
        <x:f>A502</x:f>
        <x:v>46419</x:v>
      </x:c>
      <x:c r="E628" s="8" t="n">
        <x:f>L502</x:f>
        <x:v>0</x:v>
      </x:c>
      <x:c r="F628" s="8" t="n">
        <x:f>M502</x:f>
        <x:v>0</x:v>
      </x:c>
      <x:c r="G628" s="8" t="n">
        <x:f>N502</x:f>
        <x:v>0</x:v>
      </x:c>
      <x:c r="H628" s="8" t="n">
        <x:f>SUMIFS('PO detail'!$U$2:$U$672,'PO detail'!$A$2:$A$672,B628,'PO detail'!$B$2:$B$672,C628,'PO detail'!$G$2:$G$672,"&gt;="&amp;D628,'PO detail'!$G$2:$G$672,"&lt;"&amp;A628)</x:f>
        <x:v>0</x:v>
      </x:c>
      <x:c r="I628" s="8" t="n">
        <x:f>SUMIFS('PO detail'!$V$2:$V$672,'PO detail'!$A$2:$A$672,B628,'PO detail'!$B$2:$B$672,C628,'PO detail'!$G$2:$G$672,"&gt;="&amp;D628,'PO detail'!$G$2:$G$672,"&lt;"&amp;A628)</x:f>
        <x:v>0</x:v>
      </x:c>
      <x:c r="J628" s="8" t="n">
        <x:f>SUMIFS('PO detail'!$W$2:$W$672,'PO detail'!$A$2:$A$672,B628,'PO detail'!$B$2:$B$672,C628,'PO detail'!$G$2:$G$672,"&gt;="&amp;D628,'PO detail'!$G$2:$G$672,"&lt;"&amp;A628)</x:f>
        <x:v>0</x:v>
      </x:c>
      <x:c r="K628" s="8" t="n">
        <x:f>'Current inventory'!E124*Summary!$D$6*(A628-D628)/30.4375</x:f>
        <x:v>0</x:v>
      </x:c>
      <x:c r="L628" s="8" t="n">
        <x:f>MAX(0,E628+H628-K628)</x:f>
        <x:v>0</x:v>
      </x:c>
      <x:c r="M628" s="8" t="n">
        <x:f>MAX(0,F628+I628-MAX(0,K628-E628-H628))</x:f>
        <x:v>0</x:v>
      </x:c>
      <x:c r="N628" s="8" t="n">
        <x:f>MAX(0,G628+J628-K628)</x:f>
        <x:v>0</x:v>
      </x:c>
      <x:c r="O628" s="8" t="n">
        <x:f>SUM(L628:N628)</x:f>
        <x:v>0</x:v>
      </x:c>
      <x:c r="P628" s="14" t="n">
        <x:f>'Current inventory'!V124</x:f>
        <x:v>0.07919999999999999</x:v>
      </x:c>
      <x:c r="Q628" s="14" t="str">
        <x:f>'Current inventory'!W124</x:f>
        <x:v>n.a.</x:v>
      </x:c>
      <x:c r="R628" s="10" t="n">
        <x:f>L628*P628</x:f>
        <x:v>0</x:v>
      </x:c>
      <x:c r="S628" s="10" t="n">
        <x:f>M628*P628</x:f>
        <x:v>0</x:v>
      </x:c>
      <x:c r="T628" s="10" t="n">
        <x:f>N628*P628</x:f>
        <x:v>0</x:v>
      </x:c>
      <x:c r="U628" s="10" t="n">
        <x:f>O628*P628</x:f>
        <x:v>0</x:v>
      </x:c>
      <x:c r="V628" s="10" t="str">
        <x:f>IF(ISNUMBER(Q628),O628*(Q628-P628),"n.a.")</x:f>
        <x:v>n.a.</x:v>
      </x:c>
      <x:c r="W628" s="10" t="n">
        <x:f>IF(ISNUMBER(Q628),U628,0)</x:f>
        <x:v>0</x:v>
      </x:c>
      <x:c r="X628" s="8" t="n">
        <x:f>MAX(0,K628-SUM(E628:J628))</x:f>
        <x:v>0</x:v>
      </x:c>
      <x:c r="Y628" s="1" t="str">
        <x:f>IF(AND(O628&gt;0,NOT(ISNUMBER(Q628))),"No proposed replacement standard",IF(X628&gt;0,"Demand exceeds available stock",""))</x:f>
      </x:c>
      <x:c r="Z628" s="1" t="n">
        <x:f>IF(ISNUMBER(Q628),1,0)</x:f>
        <x:v>0</x:v>
      </x:c>
    </x:row>
    <x:row r="629" ht="21" customHeight="1">
      <x:c r="A629" s="17" t="n">
        <x:f>Summary!B19</x:f>
        <x:v>46447</x:v>
      </x:c>
      <x:c r="B629" s="1" t="str">
        <x:f>'Current inventory'!A125</x:f>
        <x:v>60</x:v>
      </x:c>
      <x:c r="C629" s="1" t="str">
        <x:f>'Current inventory'!B125</x:f>
        <x:v>800WREDBRC</x:v>
      </x:c>
      <x:c r="D629" s="7" t="n">
        <x:f>A503</x:f>
        <x:v>46419</x:v>
      </x:c>
      <x:c r="E629" s="8" t="n">
        <x:f>L503</x:f>
        <x:v>0</x:v>
      </x:c>
      <x:c r="F629" s="8" t="n">
        <x:f>M503</x:f>
        <x:v>0</x:v>
      </x:c>
      <x:c r="G629" s="8" t="n">
        <x:f>N503</x:f>
        <x:v>0</x:v>
      </x:c>
      <x:c r="H629" s="8" t="n">
        <x:f>SUMIFS('PO detail'!$U$2:$U$672,'PO detail'!$A$2:$A$672,B629,'PO detail'!$B$2:$B$672,C629,'PO detail'!$G$2:$G$672,"&gt;="&amp;D629,'PO detail'!$G$2:$G$672,"&lt;"&amp;A629)</x:f>
        <x:v>0</x:v>
      </x:c>
      <x:c r="I629" s="8" t="n">
        <x:f>SUMIFS('PO detail'!$V$2:$V$672,'PO detail'!$A$2:$A$672,B629,'PO detail'!$B$2:$B$672,C629,'PO detail'!$G$2:$G$672,"&gt;="&amp;D629,'PO detail'!$G$2:$G$672,"&lt;"&amp;A629)</x:f>
        <x:v>0</x:v>
      </x:c>
      <x:c r="J629" s="8" t="n">
        <x:f>SUMIFS('PO detail'!$W$2:$W$672,'PO detail'!$A$2:$A$672,B629,'PO detail'!$B$2:$B$672,C629,'PO detail'!$G$2:$G$672,"&gt;="&amp;D629,'PO detail'!$G$2:$G$672,"&lt;"&amp;A629)</x:f>
        <x:v>0</x:v>
      </x:c>
      <x:c r="K629" s="8" t="n">
        <x:f>'Current inventory'!E125*Summary!$D$6*(A629-D629)/30.4375</x:f>
        <x:v>0</x:v>
      </x:c>
      <x:c r="L629" s="8" t="n">
        <x:f>MAX(0,E629+H629-K629)</x:f>
        <x:v>0</x:v>
      </x:c>
      <x:c r="M629" s="8" t="n">
        <x:f>MAX(0,F629+I629-MAX(0,K629-E629-H629))</x:f>
        <x:v>0</x:v>
      </x:c>
      <x:c r="N629" s="8" t="n">
        <x:f>MAX(0,G629+J629-K629)</x:f>
        <x:v>0</x:v>
      </x:c>
      <x:c r="O629" s="8" t="n">
        <x:f>SUM(L629:N629)</x:f>
        <x:v>0</x:v>
      </x:c>
      <x:c r="P629" s="14" t="n">
        <x:f>'Current inventory'!V125</x:f>
        <x:v>0.0898</x:v>
      </x:c>
      <x:c r="Q629" s="14" t="str">
        <x:f>'Current inventory'!W125</x:f>
        <x:v>n.a.</x:v>
      </x:c>
      <x:c r="R629" s="10" t="n">
        <x:f>L629*P629</x:f>
        <x:v>0</x:v>
      </x:c>
      <x:c r="S629" s="10" t="n">
        <x:f>M629*P629</x:f>
        <x:v>0</x:v>
      </x:c>
      <x:c r="T629" s="10" t="n">
        <x:f>N629*P629</x:f>
        <x:v>0</x:v>
      </x:c>
      <x:c r="U629" s="10" t="n">
        <x:f>O629*P629</x:f>
        <x:v>0</x:v>
      </x:c>
      <x:c r="V629" s="10" t="str">
        <x:f>IF(ISNUMBER(Q629),O629*(Q629-P629),"n.a.")</x:f>
        <x:v>n.a.</x:v>
      </x:c>
      <x:c r="W629" s="10" t="n">
        <x:f>IF(ISNUMBER(Q629),U629,0)</x:f>
        <x:v>0</x:v>
      </x:c>
      <x:c r="X629" s="8" t="n">
        <x:f>MAX(0,K629-SUM(E629:J629))</x:f>
        <x:v>0</x:v>
      </x:c>
      <x:c r="Y629" s="1" t="str">
        <x:f>IF(AND(O629&gt;0,NOT(ISNUMBER(Q629))),"No proposed replacement standard",IF(X629&gt;0,"Demand exceeds available stock",""))</x:f>
      </x:c>
      <x:c r="Z629" s="1" t="n">
        <x:f>IF(ISNUMBER(Q629),1,0)</x:f>
        <x:v>0</x:v>
      </x:c>
    </x:row>
    <x:row r="630" ht="21" customHeight="1">
      <x:c r="A630" s="17" t="n">
        <x:f>Summary!B19</x:f>
        <x:v>46447</x:v>
      </x:c>
      <x:c r="B630" s="1" t="str">
        <x:f>'Current inventory'!A126</x:f>
        <x:v>60</x:v>
      </x:c>
      <x:c r="C630" s="1" t="str">
        <x:f>'Current inventory'!B126</x:f>
        <x:v>800WWHTASC</x:v>
      </x:c>
      <x:c r="D630" s="7" t="n">
        <x:f>A504</x:f>
        <x:v>46419</x:v>
      </x:c>
      <x:c r="E630" s="8" t="n">
        <x:f>L504</x:f>
        <x:v>0</x:v>
      </x:c>
      <x:c r="F630" s="8" t="n">
        <x:f>M504</x:f>
        <x:v>0</x:v>
      </x:c>
      <x:c r="G630" s="8" t="n">
        <x:f>N504</x:f>
        <x:v>0</x:v>
      </x:c>
      <x:c r="H630" s="8" t="n">
        <x:f>SUMIFS('PO detail'!$U$2:$U$672,'PO detail'!$A$2:$A$672,B630,'PO detail'!$B$2:$B$672,C630,'PO detail'!$G$2:$G$672,"&gt;="&amp;D630,'PO detail'!$G$2:$G$672,"&lt;"&amp;A630)</x:f>
        <x:v>0</x:v>
      </x:c>
      <x:c r="I630" s="8" t="n">
        <x:f>SUMIFS('PO detail'!$V$2:$V$672,'PO detail'!$A$2:$A$672,B630,'PO detail'!$B$2:$B$672,C630,'PO detail'!$G$2:$G$672,"&gt;="&amp;D630,'PO detail'!$G$2:$G$672,"&lt;"&amp;A630)</x:f>
        <x:v>0</x:v>
      </x:c>
      <x:c r="J630" s="8" t="n">
        <x:f>SUMIFS('PO detail'!$W$2:$W$672,'PO detail'!$A$2:$A$672,B630,'PO detail'!$B$2:$B$672,C630,'PO detail'!$G$2:$G$672,"&gt;="&amp;D630,'PO detail'!$G$2:$G$672,"&lt;"&amp;A630)</x:f>
        <x:v>0</x:v>
      </x:c>
      <x:c r="K630" s="8" t="n">
        <x:f>'Current inventory'!E126*Summary!$D$6*(A630-D630)/30.4375</x:f>
        <x:v>0</x:v>
      </x:c>
      <x:c r="L630" s="8" t="n">
        <x:f>MAX(0,E630+H630-K630)</x:f>
        <x:v>0</x:v>
      </x:c>
      <x:c r="M630" s="8" t="n">
        <x:f>MAX(0,F630+I630-MAX(0,K630-E630-H630))</x:f>
        <x:v>0</x:v>
      </x:c>
      <x:c r="N630" s="8" t="n">
        <x:f>MAX(0,G630+J630-K630)</x:f>
        <x:v>0</x:v>
      </x:c>
      <x:c r="O630" s="8" t="n">
        <x:f>SUM(L630:N630)</x:f>
        <x:v>0</x:v>
      </x:c>
      <x:c r="P630" s="14" t="n">
        <x:f>'Current inventory'!V126</x:f>
        <x:v>0.1456</x:v>
      </x:c>
      <x:c r="Q630" s="14" t="str">
        <x:f>'Current inventory'!W126</x:f>
        <x:v>n.a.</x:v>
      </x:c>
      <x:c r="R630" s="10" t="n">
        <x:f>L630*P630</x:f>
        <x:v>0</x:v>
      </x:c>
      <x:c r="S630" s="10" t="n">
        <x:f>M630*P630</x:f>
        <x:v>0</x:v>
      </x:c>
      <x:c r="T630" s="10" t="n">
        <x:f>N630*P630</x:f>
        <x:v>0</x:v>
      </x:c>
      <x:c r="U630" s="10" t="n">
        <x:f>O630*P630</x:f>
        <x:v>0</x:v>
      </x:c>
      <x:c r="V630" s="10" t="str">
        <x:f>IF(ISNUMBER(Q630),O630*(Q630-P630),"n.a.")</x:f>
        <x:v>n.a.</x:v>
      </x:c>
      <x:c r="W630" s="10" t="n">
        <x:f>IF(ISNUMBER(Q630),U630,0)</x:f>
        <x:v>0</x:v>
      </x:c>
      <x:c r="X630" s="8" t="n">
        <x:f>MAX(0,K630-SUM(E630:J630))</x:f>
        <x:v>0</x:v>
      </x:c>
      <x:c r="Y630" s="1" t="str">
        <x:f>IF(AND(O630&gt;0,NOT(ISNUMBER(Q630))),"No proposed replacement standard",IF(X630&gt;0,"Demand exceeds available stock",""))</x:f>
      </x:c>
      <x:c r="Z630" s="1" t="n">
        <x:f>IF(ISNUMBER(Q630),1,0)</x:f>
        <x:v>0</x:v>
      </x:c>
    </x:row>
    <x:row r="631" ht="21" customHeight="1">
      <x:c r="A631" s="17" t="n">
        <x:f>Summary!B19</x:f>
        <x:v>46447</x:v>
      </x:c>
      <x:c r="B631" s="1" t="str">
        <x:f>'Current inventory'!A127</x:f>
        <x:v>60</x:v>
      </x:c>
      <x:c r="C631" s="1" t="str">
        <x:f>'Current inventory'!B127</x:f>
        <x:v>800WWHTBRC</x:v>
      </x:c>
      <x:c r="D631" s="7" t="n">
        <x:f>A505</x:f>
        <x:v>46419</x:v>
      </x:c>
      <x:c r="E631" s="8" t="n">
        <x:f>L505</x:f>
        <x:v>0</x:v>
      </x:c>
      <x:c r="F631" s="8" t="n">
        <x:f>M505</x:f>
        <x:v>0</x:v>
      </x:c>
      <x:c r="G631" s="8" t="n">
        <x:f>N505</x:f>
        <x:v>0</x:v>
      </x:c>
      <x:c r="H631" s="8" t="n">
        <x:f>SUMIFS('PO detail'!$U$2:$U$672,'PO detail'!$A$2:$A$672,B631,'PO detail'!$B$2:$B$672,C631,'PO detail'!$G$2:$G$672,"&gt;="&amp;D631,'PO detail'!$G$2:$G$672,"&lt;"&amp;A631)</x:f>
        <x:v>0</x:v>
      </x:c>
      <x:c r="I631" s="8" t="n">
        <x:f>SUMIFS('PO detail'!$V$2:$V$672,'PO detail'!$A$2:$A$672,B631,'PO detail'!$B$2:$B$672,C631,'PO detail'!$G$2:$G$672,"&gt;="&amp;D631,'PO detail'!$G$2:$G$672,"&lt;"&amp;A631)</x:f>
        <x:v>0</x:v>
      </x:c>
      <x:c r="J631" s="8" t="n">
        <x:f>SUMIFS('PO detail'!$W$2:$W$672,'PO detail'!$A$2:$A$672,B631,'PO detail'!$B$2:$B$672,C631,'PO detail'!$G$2:$G$672,"&gt;="&amp;D631,'PO detail'!$G$2:$G$672,"&lt;"&amp;A631)</x:f>
        <x:v>0</x:v>
      </x:c>
      <x:c r="K631" s="8" t="n">
        <x:f>'Current inventory'!E127*Summary!$D$6*(A631-D631)/30.4375</x:f>
        <x:v>0</x:v>
      </x:c>
      <x:c r="L631" s="8" t="n">
        <x:f>MAX(0,E631+H631-K631)</x:f>
        <x:v>0</x:v>
      </x:c>
      <x:c r="M631" s="8" t="n">
        <x:f>MAX(0,F631+I631-MAX(0,K631-E631-H631))</x:f>
        <x:v>0</x:v>
      </x:c>
      <x:c r="N631" s="8" t="n">
        <x:f>MAX(0,G631+J631-K631)</x:f>
        <x:v>0</x:v>
      </x:c>
      <x:c r="O631" s="8" t="n">
        <x:f>SUM(L631:N631)</x:f>
        <x:v>0</x:v>
      </x:c>
      <x:c r="P631" s="14" t="n">
        <x:f>'Current inventory'!V127</x:f>
        <x:v>0.18469999999999998</x:v>
      </x:c>
      <x:c r="Q631" s="14" t="str">
        <x:f>'Current inventory'!W127</x:f>
        <x:v>n.a.</x:v>
      </x:c>
      <x:c r="R631" s="10" t="n">
        <x:f>L631*P631</x:f>
        <x:v>0</x:v>
      </x:c>
      <x:c r="S631" s="10" t="n">
        <x:f>M631*P631</x:f>
        <x:v>0</x:v>
      </x:c>
      <x:c r="T631" s="10" t="n">
        <x:f>N631*P631</x:f>
        <x:v>0</x:v>
      </x:c>
      <x:c r="U631" s="10" t="n">
        <x:f>O631*P631</x:f>
        <x:v>0</x:v>
      </x:c>
      <x:c r="V631" s="10" t="str">
        <x:f>IF(ISNUMBER(Q631),O631*(Q631-P631),"n.a.")</x:f>
        <x:v>n.a.</x:v>
      </x:c>
      <x:c r="W631" s="10" t="n">
        <x:f>IF(ISNUMBER(Q631),U631,0)</x:f>
        <x:v>0</x:v>
      </x:c>
      <x:c r="X631" s="8" t="n">
        <x:f>MAX(0,K631-SUM(E631:J631))</x:f>
        <x:v>0</x:v>
      </x:c>
      <x:c r="Y631" s="1" t="str">
        <x:f>IF(AND(O631&gt;0,NOT(ISNUMBER(Q631))),"No proposed replacement standard",IF(X631&gt;0,"Demand exceeds available stock",""))</x:f>
      </x:c>
      <x:c r="Z631" s="1" t="n">
        <x:f>IF(ISNUMBER(Q631),1,0)</x:f>
        <x:v>0</x:v>
      </x:c>
    </x:row>
    <x:row r="632" ht="21" customHeight="1">
      <x:c r="A632" s="17" t="n">
        <x:f>Summary!B20</x:f>
        <x:v>46478</x:v>
      </x:c>
      <x:c r="B632" s="1" t="str">
        <x:f>'Current inventory'!A2</x:f>
        <x:v>10</x:v>
      </x:c>
      <x:c r="C632" s="1" t="str">
        <x:f>'Current inventory'!B2</x:f>
        <x:v>800BBLKASC</x:v>
      </x:c>
      <x:c r="D632" s="7" t="n">
        <x:f>A506</x:f>
        <x:v>46447</x:v>
      </x:c>
      <x:c r="E632" s="8" t="n">
        <x:f>L506</x:f>
        <x:v>0</x:v>
      </x:c>
      <x:c r="F632" s="8" t="n">
        <x:f>M506</x:f>
        <x:v>493157.2054209445</x:v>
      </x:c>
      <x:c r="G632" s="8" t="n">
        <x:f>N506</x:f>
        <x:v>0</x:v>
      </x:c>
      <x:c r="H632" s="8" t="n">
        <x:f>SUMIFS('PO detail'!$U$2:$U$672,'PO detail'!$A$2:$A$672,B632,'PO detail'!$B$2:$B$672,C632,'PO detail'!$G$2:$G$672,"&gt;="&amp;D632,'PO detail'!$G$2:$G$672,"&lt;"&amp;A632)</x:f>
        <x:v>0</x:v>
      </x:c>
      <x:c r="I632" s="8" t="n">
        <x:f>SUMIFS('PO detail'!$V$2:$V$672,'PO detail'!$A$2:$A$672,B632,'PO detail'!$B$2:$B$672,C632,'PO detail'!$G$2:$G$672,"&gt;="&amp;D632,'PO detail'!$G$2:$G$672,"&lt;"&amp;A632)</x:f>
        <x:v>0</x:v>
      </x:c>
      <x:c r="J632" s="8" t="n">
        <x:f>SUMIFS('PO detail'!$W$2:$W$672,'PO detail'!$A$2:$A$672,B632,'PO detail'!$B$2:$B$672,C632,'PO detail'!$G$2:$G$672,"&gt;="&amp;D632,'PO detail'!$G$2:$G$672,"&lt;"&amp;A632)</x:f>
        <x:v>0</x:v>
      </x:c>
      <x:c r="K632" s="8" t="n">
        <x:f>'Current inventory'!E2*Summary!$D$6*(A632-D632)/30.4375</x:f>
        <x:v>157372.2142094456</x:v>
      </x:c>
      <x:c r="L632" s="8" t="n">
        <x:f>MAX(0,E632+H632-K632)</x:f>
        <x:v>0</x:v>
      </x:c>
      <x:c r="M632" s="8" t="n">
        <x:f>MAX(0,F632+I632-MAX(0,K632-E632-H632))</x:f>
        <x:v>335784.99121149885</x:v>
      </x:c>
      <x:c r="N632" s="8" t="n">
        <x:f>MAX(0,G632+J632-K632)</x:f>
        <x:v>0</x:v>
      </x:c>
      <x:c r="O632" s="8" t="n">
        <x:f>SUM(L632:N632)</x:f>
        <x:v>335784.99121149885</x:v>
      </x:c>
      <x:c r="P632" s="14" t="n">
        <x:f>'Current inventory'!V2</x:f>
        <x:v>0.1229</x:v>
      </x:c>
      <x:c r="Q632" s="14" t="n">
        <x:f>'Current inventory'!W2</x:f>
        <x:v>0.12841500000000003</x:v>
      </x:c>
      <x:c r="R632" s="10" t="n">
        <x:f>L632*P632</x:f>
        <x:v>0</x:v>
      </x:c>
      <x:c r="S632" s="10" t="n">
        <x:f>M632*P632</x:f>
        <x:v>41267.975419893206</x:v>
      </x:c>
      <x:c r="T632" s="10" t="n">
        <x:f>N632*P632</x:f>
        <x:v>0</x:v>
      </x:c>
      <x:c r="U632" s="10" t="n">
        <x:f>O632*P632</x:f>
        <x:v>41267.975419893206</x:v>
      </x:c>
      <x:c r="V632" s="10" t="n">
        <x:f>IF(ISNUMBER(Q632),O632*(Q632-P632),"n.a.")</x:f>
        <x:v>1851.8542265314275</x:v>
      </x:c>
      <x:c r="W632" s="10" t="n">
        <x:f>IF(ISNUMBER(Q632),U632,0)</x:f>
        <x:v>41267.975419893206</x:v>
      </x:c>
      <x:c r="X632" s="8" t="n">
        <x:f>MAX(0,K632-SUM(E632:J632))</x:f>
        <x:v>0</x:v>
      </x:c>
      <x:c r="Y632" s="1" t="str">
        <x:f>IF(AND(O632&gt;0,NOT(ISNUMBER(Q632))),"No proposed replacement standard",IF(X632&gt;0,"Demand exceeds available stock",""))</x:f>
      </x:c>
      <x:c r="Z632" s="1" t="n">
        <x:f>IF(ISNUMBER(Q632),1,0)</x:f>
        <x:v>1</x:v>
      </x:c>
    </x:row>
    <x:row r="633" ht="21" customHeight="1">
      <x:c r="A633" s="17" t="n">
        <x:f>Summary!B20</x:f>
        <x:v>46478</x:v>
      </x:c>
      <x:c r="B633" s="1" t="str">
        <x:f>'Current inventory'!A3</x:f>
        <x:v>60</x:v>
      </x:c>
      <x:c r="C633" s="1" t="str">
        <x:f>'Current inventory'!B3</x:f>
        <x:v>800BBLKASC</x:v>
      </x:c>
      <x:c r="D633" s="7" t="n">
        <x:f>A507</x:f>
        <x:v>46447</x:v>
      </x:c>
      <x:c r="E633" s="8" t="n">
        <x:f>L507</x:f>
        <x:v>0</x:v>
      </x:c>
      <x:c r="F633" s="8" t="n">
        <x:f>M507</x:f>
        <x:v>450368.90973305947</x:v>
      </x:c>
      <x:c r="G633" s="8" t="n">
        <x:f>N507</x:f>
        <x:v>0</x:v>
      </x:c>
      <x:c r="H633" s="8" t="n">
        <x:f>SUMIFS('PO detail'!$U$2:$U$672,'PO detail'!$A$2:$A$672,B633,'PO detail'!$B$2:$B$672,C633,'PO detail'!$G$2:$G$672,"&gt;="&amp;D633,'PO detail'!$G$2:$G$672,"&lt;"&amp;A633)</x:f>
        <x:v>0</x:v>
      </x:c>
      <x:c r="I633" s="8" t="n">
        <x:f>SUMIFS('PO detail'!$V$2:$V$672,'PO detail'!$A$2:$A$672,B633,'PO detail'!$B$2:$B$672,C633,'PO detail'!$G$2:$G$672,"&gt;="&amp;D633,'PO detail'!$G$2:$G$672,"&lt;"&amp;A633)</x:f>
        <x:v>0</x:v>
      </x:c>
      <x:c r="J633" s="8" t="n">
        <x:f>SUMIFS('PO detail'!$W$2:$W$672,'PO detail'!$A$2:$A$672,B633,'PO detail'!$B$2:$B$672,C633,'PO detail'!$G$2:$G$672,"&gt;="&amp;D633,'PO detail'!$G$2:$G$672,"&lt;"&amp;A633)</x:f>
        <x:v>0</x:v>
      </x:c>
      <x:c r="K633" s="8" t="n">
        <x:f>'Current inventory'!E3*Summary!$D$6*(A633-D633)/30.4375</x:f>
        <x:v>147289.2573305955</x:v>
      </x:c>
      <x:c r="L633" s="8" t="n">
        <x:f>MAX(0,E633+H633-K633)</x:f>
        <x:v>0</x:v>
      </x:c>
      <x:c r="M633" s="8" t="n">
        <x:f>MAX(0,F633+I633-MAX(0,K633-E633-H633))</x:f>
        <x:v>303079.65240246395</x:v>
      </x:c>
      <x:c r="N633" s="8" t="n">
        <x:f>MAX(0,G633+J633-K633)</x:f>
        <x:v>0</x:v>
      </x:c>
      <x:c r="O633" s="8" t="n">
        <x:f>SUM(L633:N633)</x:f>
        <x:v>303079.65240246395</x:v>
      </x:c>
      <x:c r="P633" s="14" t="n">
        <x:f>'Current inventory'!V3</x:f>
        <x:v>0.1229</x:v>
      </x:c>
      <x:c r="Q633" s="14" t="n">
        <x:f>'Current inventory'!W3</x:f>
        <x:v>0.12841500000000003</x:v>
      </x:c>
      <x:c r="R633" s="10" t="n">
        <x:f>L633*P633</x:f>
        <x:v>0</x:v>
      </x:c>
      <x:c r="S633" s="10" t="n">
        <x:f>M633*P633</x:f>
        <x:v>37248.48928026282</x:v>
      </x:c>
      <x:c r="T633" s="10" t="n">
        <x:f>N633*P633</x:f>
        <x:v>0</x:v>
      </x:c>
      <x:c r="U633" s="10" t="n">
        <x:f>O633*P633</x:f>
        <x:v>37248.48928026282</x:v>
      </x:c>
      <x:c r="V633" s="10" t="n">
        <x:f>IF(ISNUMBER(Q633),O633*(Q633-P633),"n.a.")</x:f>
        <x:v>1671.484282999599</x:v>
      </x:c>
      <x:c r="W633" s="10" t="n">
        <x:f>IF(ISNUMBER(Q633),U633,0)</x:f>
        <x:v>37248.48928026282</x:v>
      </x:c>
      <x:c r="X633" s="8" t="n">
        <x:f>MAX(0,K633-SUM(E633:J633))</x:f>
        <x:v>0</x:v>
      </x:c>
      <x:c r="Y633" s="1" t="str">
        <x:f>IF(AND(O633&gt;0,NOT(ISNUMBER(Q633))),"No proposed replacement standard",IF(X633&gt;0,"Demand exceeds available stock",""))</x:f>
      </x:c>
      <x:c r="Z633" s="1" t="n">
        <x:f>IF(ISNUMBER(Q633),1,0)</x:f>
        <x:v>1</x:v>
      </x:c>
    </x:row>
    <x:row r="634" ht="21" customHeight="1">
      <x:c r="A634" s="17" t="n">
        <x:f>Summary!B20</x:f>
        <x:v>46478</x:v>
      </x:c>
      <x:c r="B634" s="1" t="str">
        <x:f>'Current inventory'!A4</x:f>
        <x:v>30</x:v>
      </x:c>
      <x:c r="C634" s="1" t="str">
        <x:f>'Current inventory'!B4</x:f>
        <x:v>800BBLKASC</x:v>
      </x:c>
      <x:c r="D634" s="7" t="n">
        <x:f>A508</x:f>
        <x:v>46447</x:v>
      </x:c>
      <x:c r="E634" s="8" t="n">
        <x:f>L508</x:f>
        <x:v>0</x:v>
      </x:c>
      <x:c r="F634" s="8" t="n">
        <x:f>M508</x:f>
        <x:v>301105.95482546196</x:v>
      </x:c>
      <x:c r="G634" s="8" t="n">
        <x:f>N508</x:f>
        <x:v>0</x:v>
      </x:c>
      <x:c r="H634" s="8" t="n">
        <x:f>SUMIFS('PO detail'!$U$2:$U$672,'PO detail'!$A$2:$A$672,B634,'PO detail'!$B$2:$B$672,C634,'PO detail'!$G$2:$G$672,"&gt;="&amp;D634,'PO detail'!$G$2:$G$672,"&lt;"&amp;A634)</x:f>
        <x:v>0</x:v>
      </x:c>
      <x:c r="I634" s="8" t="n">
        <x:f>SUMIFS('PO detail'!$V$2:$V$672,'PO detail'!$A$2:$A$672,B634,'PO detail'!$B$2:$B$672,C634,'PO detail'!$G$2:$G$672,"&gt;="&amp;D634,'PO detail'!$G$2:$G$672,"&lt;"&amp;A634)</x:f>
        <x:v>0</x:v>
      </x:c>
      <x:c r="J634" s="8" t="n">
        <x:f>SUMIFS('PO detail'!$W$2:$W$672,'PO detail'!$A$2:$A$672,B634,'PO detail'!$B$2:$B$672,C634,'PO detail'!$G$2:$G$672,"&gt;="&amp;D634,'PO detail'!$G$2:$G$672,"&lt;"&amp;A634)</x:f>
        <x:v>0</x:v>
      </x:c>
      <x:c r="K634" s="8" t="n">
        <x:f>'Current inventory'!E4*Summary!$D$6*(A634-D634)/30.4375</x:f>
        <x:v>54259.548254620124</x:v>
      </x:c>
      <x:c r="L634" s="8" t="n">
        <x:f>MAX(0,E634+H634-K634)</x:f>
        <x:v>0</x:v>
      </x:c>
      <x:c r="M634" s="8" t="n">
        <x:f>MAX(0,F634+I634-MAX(0,K634-E634-H634))</x:f>
        <x:v>246846.40657084185</x:v>
      </x:c>
      <x:c r="N634" s="8" t="n">
        <x:f>MAX(0,G634+J634-K634)</x:f>
        <x:v>0</x:v>
      </x:c>
      <x:c r="O634" s="8" t="n">
        <x:f>SUM(L634:N634)</x:f>
        <x:v>246846.40657084185</x:v>
      </x:c>
      <x:c r="P634" s="14" t="n">
        <x:f>'Current inventory'!V4</x:f>
        <x:v>0.1229</x:v>
      </x:c>
      <x:c r="Q634" s="14" t="n">
        <x:f>'Current inventory'!W4</x:f>
        <x:v>0.12841500000000003</x:v>
      </x:c>
      <x:c r="R634" s="10" t="n">
        <x:f>L634*P634</x:f>
        <x:v>0</x:v>
      </x:c>
      <x:c r="S634" s="10" t="n">
        <x:f>M634*P634</x:f>
        <x:v>30337.42336755646</x:v>
      </x:c>
      <x:c r="T634" s="10" t="n">
        <x:f>N634*P634</x:f>
        <x:v>0</x:v>
      </x:c>
      <x:c r="U634" s="10" t="n">
        <x:f>O634*P634</x:f>
        <x:v>30337.42336755646</x:v>
      </x:c>
      <x:c r="V634" s="10" t="n">
        <x:f>IF(ISNUMBER(Q634),O634*(Q634-P634),"n.a.")</x:f>
        <x:v>1361.357932238201</x:v>
      </x:c>
      <x:c r="W634" s="10" t="n">
        <x:f>IF(ISNUMBER(Q634),U634,0)</x:f>
        <x:v>30337.42336755646</x:v>
      </x:c>
      <x:c r="X634" s="8" t="n">
        <x:f>MAX(0,K634-SUM(E634:J634))</x:f>
        <x:v>0</x:v>
      </x:c>
      <x:c r="Y634" s="1" t="str">
        <x:f>IF(AND(O634&gt;0,NOT(ISNUMBER(Q634))),"No proposed replacement standard",IF(X634&gt;0,"Demand exceeds available stock",""))</x:f>
      </x:c>
      <x:c r="Z634" s="1" t="n">
        <x:f>IF(ISNUMBER(Q634),1,0)</x:f>
        <x:v>1</x:v>
      </x:c>
    </x:row>
    <x:row r="635" ht="21" customHeight="1">
      <x:c r="A635" s="17" t="n">
        <x:f>Summary!B20</x:f>
        <x:v>46478</x:v>
      </x:c>
      <x:c r="B635" s="1" t="str">
        <x:f>'Current inventory'!A5</x:f>
        <x:v>60</x:v>
      </x:c>
      <x:c r="C635" s="1" t="str">
        <x:f>'Current inventory'!B5</x:f>
        <x:v>800BNAVASC</x:v>
      </x:c>
      <x:c r="D635" s="7" t="n">
        <x:f>A509</x:f>
        <x:v>46447</x:v>
      </x:c>
      <x:c r="E635" s="8" t="n">
        <x:f>L509</x:f>
        <x:v>0</x:v>
      </x:c>
      <x:c r="F635" s="8" t="n">
        <x:f>M509</x:f>
        <x:v>150492.81314168376</x:v>
      </x:c>
      <x:c r="G635" s="8" t="n">
        <x:f>N509</x:f>
        <x:v>0</x:v>
      </x:c>
      <x:c r="H635" s="8" t="n">
        <x:f>SUMIFS('PO detail'!$U$2:$U$672,'PO detail'!$A$2:$A$672,B635,'PO detail'!$B$2:$B$672,C635,'PO detail'!$G$2:$G$672,"&gt;="&amp;D635,'PO detail'!$G$2:$G$672,"&lt;"&amp;A635)</x:f>
        <x:v>0</x:v>
      </x:c>
      <x:c r="I635" s="8" t="n">
        <x:f>SUMIFS('PO detail'!$V$2:$V$672,'PO detail'!$A$2:$A$672,B635,'PO detail'!$B$2:$B$672,C635,'PO detail'!$G$2:$G$672,"&gt;="&amp;D635,'PO detail'!$G$2:$G$672,"&lt;"&amp;A635)</x:f>
        <x:v>0</x:v>
      </x:c>
      <x:c r="J635" s="8" t="n">
        <x:f>SUMIFS('PO detail'!$W$2:$W$672,'PO detail'!$A$2:$A$672,B635,'PO detail'!$B$2:$B$672,C635,'PO detail'!$G$2:$G$672,"&gt;="&amp;D635,'PO detail'!$G$2:$G$672,"&lt;"&amp;A635)</x:f>
        <x:v>0</x:v>
      </x:c>
      <x:c r="K635" s="8" t="n">
        <x:f>'Current inventory'!E5*Summary!$D$6*(A635-D635)/30.4375</x:f>
        <x:v>20496.919917864478</x:v>
      </x:c>
      <x:c r="L635" s="8" t="n">
        <x:f>MAX(0,E635+H635-K635)</x:f>
        <x:v>0</x:v>
      </x:c>
      <x:c r="M635" s="8" t="n">
        <x:f>MAX(0,F635+I635-MAX(0,K635-E635-H635))</x:f>
        <x:v>129995.89322381928</x:v>
      </x:c>
      <x:c r="N635" s="8" t="n">
        <x:f>MAX(0,G635+J635-K635)</x:f>
        <x:v>0</x:v>
      </x:c>
      <x:c r="O635" s="8" t="n">
        <x:f>SUM(L635:N635)</x:f>
        <x:v>129995.89322381928</x:v>
      </x:c>
      <x:c r="P635" s="14" t="n">
        <x:f>'Current inventory'!V5</x:f>
        <x:v>0.1515</x:v>
      </x:c>
      <x:c r="Q635" s="14" t="n">
        <x:f>'Current inventory'!W5</x:f>
        <x:v>0.15834</x:v>
      </x:c>
      <x:c r="R635" s="10" t="n">
        <x:f>L635*P635</x:f>
        <x:v>0</x:v>
      </x:c>
      <x:c r="S635" s="10" t="n">
        <x:f>M635*P635</x:f>
        <x:v>19694.37782340862</x:v>
      </x:c>
      <x:c r="T635" s="10" t="n">
        <x:f>N635*P635</x:f>
        <x:v>0</x:v>
      </x:c>
      <x:c r="U635" s="10" t="n">
        <x:f>O635*P635</x:f>
        <x:v>19694.37782340862</x:v>
      </x:c>
      <x:c r="V635" s="10" t="n">
        <x:f>IF(ISNUMBER(Q635),O635*(Q635-P635),"n.a.")</x:f>
        <x:v>889.1719096509255</x:v>
      </x:c>
      <x:c r="W635" s="10" t="n">
        <x:f>IF(ISNUMBER(Q635),U635,0)</x:f>
        <x:v>19694.37782340862</x:v>
      </x:c>
      <x:c r="X635" s="8" t="n">
        <x:f>MAX(0,K635-SUM(E635:J635))</x:f>
        <x:v>0</x:v>
      </x:c>
      <x:c r="Y635" s="1" t="str">
        <x:f>IF(AND(O635&gt;0,NOT(ISNUMBER(Q635))),"No proposed replacement standard",IF(X635&gt;0,"Demand exceeds available stock",""))</x:f>
      </x:c>
      <x:c r="Z635" s="1" t="n">
        <x:f>IF(ISNUMBER(Q635),1,0)</x:f>
        <x:v>1</x:v>
      </x:c>
    </x:row>
    <x:row r="636" ht="21" customHeight="1">
      <x:c r="A636" s="17" t="n">
        <x:f>Summary!B20</x:f>
        <x:v>46478</x:v>
      </x:c>
      <x:c r="B636" s="1" t="str">
        <x:f>'Current inventory'!A6</x:f>
        <x:v>10</x:v>
      </x:c>
      <x:c r="C636" s="1" t="str">
        <x:f>'Current inventory'!B6</x:f>
        <x:v>800BNAVASC</x:v>
      </x:c>
      <x:c r="D636" s="7" t="n">
        <x:f>A510</x:f>
        <x:v>46447</x:v>
      </x:c>
      <x:c r="E636" s="8" t="n">
        <x:f>L510</x:f>
        <x:v>56421.64468172484</x:v>
      </x:c>
      <x:c r="F636" s="8" t="n">
        <x:f>M510</x:f>
        <x:v>130000</x:v>
      </x:c>
      <x:c r="G636" s="8" t="n">
        <x:f>N510</x:f>
        <x:v>0</x:v>
      </x:c>
      <x:c r="H636" s="8" t="n">
        <x:f>SUMIFS('PO detail'!$U$2:$U$672,'PO detail'!$A$2:$A$672,B636,'PO detail'!$B$2:$B$672,C636,'PO detail'!$G$2:$G$672,"&gt;="&amp;D636,'PO detail'!$G$2:$G$672,"&lt;"&amp;A636)</x:f>
        <x:v>0</x:v>
      </x:c>
      <x:c r="I636" s="8" t="n">
        <x:f>SUMIFS('PO detail'!$V$2:$V$672,'PO detail'!$A$2:$A$672,B636,'PO detail'!$B$2:$B$672,C636,'PO detail'!$G$2:$G$672,"&gt;="&amp;D636,'PO detail'!$G$2:$G$672,"&lt;"&amp;A636)</x:f>
        <x:v>0</x:v>
      </x:c>
      <x:c r="J636" s="8" t="n">
        <x:f>SUMIFS('PO detail'!$W$2:$W$672,'PO detail'!$A$2:$A$672,B636,'PO detail'!$B$2:$B$672,C636,'PO detail'!$G$2:$G$672,"&gt;="&amp;D636,'PO detail'!$G$2:$G$672,"&lt;"&amp;A636)</x:f>
        <x:v>0</x:v>
      </x:c>
      <x:c r="K636" s="8" t="n">
        <x:f>'Current inventory'!E6*Summary!$D$6*(A636-D636)/30.4375</x:f>
        <x:v>14216.28681724846</x:v>
      </x:c>
      <x:c r="L636" s="8" t="n">
        <x:f>MAX(0,E636+H636-K636)</x:f>
        <x:v>42205.357864476384</x:v>
      </x:c>
      <x:c r="M636" s="8" t="n">
        <x:f>MAX(0,F636+I636-MAX(0,K636-E636-H636))</x:f>
        <x:v>130000</x:v>
      </x:c>
      <x:c r="N636" s="8" t="n">
        <x:f>MAX(0,G636+J636-K636)</x:f>
        <x:v>0</x:v>
      </x:c>
      <x:c r="O636" s="8" t="n">
        <x:f>SUM(L636:N636)</x:f>
        <x:v>172205.3578644764</x:v>
      </x:c>
      <x:c r="P636" s="14" t="n">
        <x:f>'Current inventory'!V6</x:f>
        <x:v>0.1515</x:v>
      </x:c>
      <x:c r="Q636" s="14" t="n">
        <x:f>'Current inventory'!W6</x:f>
        <x:v>0.15834</x:v>
      </x:c>
      <x:c r="R636" s="10" t="n">
        <x:f>L636*P636</x:f>
        <x:v>6394.111716468172</x:v>
      </x:c>
      <x:c r="S636" s="10" t="n">
        <x:f>M636*P636</x:f>
        <x:v>19695</x:v>
      </x:c>
      <x:c r="T636" s="10" t="n">
        <x:f>N636*P636</x:f>
        <x:v>0</x:v>
      </x:c>
      <x:c r="U636" s="10" t="n">
        <x:f>O636*P636</x:f>
        <x:v>26089.11171646817</x:v>
      </x:c>
      <x:c r="V636" s="10" t="n">
        <x:f>IF(ISNUMBER(Q636),O636*(Q636-P636),"n.a.")</x:f>
        <x:v>1177.8846477930208</x:v>
      </x:c>
      <x:c r="W636" s="10" t="n">
        <x:f>IF(ISNUMBER(Q636),U636,0)</x:f>
        <x:v>26089.11171646817</x:v>
      </x:c>
      <x:c r="X636" s="8" t="n">
        <x:f>MAX(0,K636-SUM(E636:J636))</x:f>
        <x:v>0</x:v>
      </x:c>
      <x:c r="Y636" s="1" t="str">
        <x:f>IF(AND(O636&gt;0,NOT(ISNUMBER(Q636))),"No proposed replacement standard",IF(X636&gt;0,"Demand exceeds available stock",""))</x:f>
      </x:c>
      <x:c r="Z636" s="1" t="n">
        <x:f>IF(ISNUMBER(Q636),1,0)</x:f>
        <x:v>1</x:v>
      </x:c>
    </x:row>
    <x:row r="637" ht="21" customHeight="1">
      <x:c r="A637" s="17" t="n">
        <x:f>Summary!B20</x:f>
        <x:v>46478</x:v>
      </x:c>
      <x:c r="B637" s="1" t="str">
        <x:f>'Current inventory'!A7</x:f>
        <x:v>10</x:v>
      </x:c>
      <x:c r="C637" s="1" t="str">
        <x:f>'Current inventory'!B7</x:f>
        <x:v>800BBLKISC</x:v>
      </x:c>
      <x:c r="D637" s="7" t="n">
        <x:f>A511</x:f>
        <x:v>46447</x:v>
      </x:c>
      <x:c r="E637" s="8" t="n">
        <x:f>L511</x:f>
        <x:v>37690.55441478439</x:v>
      </x:c>
      <x:c r="F637" s="8" t="n">
        <x:f>M511</x:f>
        <x:v>0</x:v>
      </x:c>
      <x:c r="G637" s="8" t="n">
        <x:f>N511</x:f>
        <x:v>0</x:v>
      </x:c>
      <x:c r="H637" s="8" t="n">
        <x:f>SUMIFS('PO detail'!$U$2:$U$672,'PO detail'!$A$2:$A$672,B637,'PO detail'!$B$2:$B$672,C637,'PO detail'!$G$2:$G$672,"&gt;="&amp;D637,'PO detail'!$G$2:$G$672,"&lt;"&amp;A637)</x:f>
        <x:v>0</x:v>
      </x:c>
      <x:c r="I637" s="8" t="n">
        <x:f>SUMIFS('PO detail'!$V$2:$V$672,'PO detail'!$A$2:$A$672,B637,'PO detail'!$B$2:$B$672,C637,'PO detail'!$G$2:$G$672,"&gt;="&amp;D637,'PO detail'!$G$2:$G$672,"&lt;"&amp;A637)</x:f>
        <x:v>0</x:v>
      </x:c>
      <x:c r="J637" s="8" t="n">
        <x:f>SUMIFS('PO detail'!$W$2:$W$672,'PO detail'!$A$2:$A$672,B637,'PO detail'!$B$2:$B$672,C637,'PO detail'!$G$2:$G$672,"&gt;="&amp;D637,'PO detail'!$G$2:$G$672,"&lt;"&amp;A637)</x:f>
        <x:v>0</x:v>
      </x:c>
      <x:c r="K637" s="8" t="n">
        <x:f>'Current inventory'!E7*Summary!$D$6*(A637-D637)/30.4375</x:f>
        <x:v>12705.544147843942</x:v>
      </x:c>
      <x:c r="L637" s="8" t="n">
        <x:f>MAX(0,E637+H637-K637)</x:f>
        <x:v>24985.010266940448</x:v>
      </x:c>
      <x:c r="M637" s="8" t="n">
        <x:f>MAX(0,F637+I637-MAX(0,K637-E637-H637))</x:f>
        <x:v>0</x:v>
      </x:c>
      <x:c r="N637" s="8" t="n">
        <x:f>MAX(0,G637+J637-K637)</x:f>
        <x:v>0</x:v>
      </x:c>
      <x:c r="O637" s="8" t="n">
        <x:f>SUM(L637:N637)</x:f>
        <x:v>24985.010266940448</x:v>
      </x:c>
      <x:c r="P637" s="14" t="n">
        <x:f>'Current inventory'!V7</x:f>
        <x:v>0.1612</x:v>
      </x:c>
      <x:c r="Q637" s="14" t="n">
        <x:f>'Current inventory'!W7</x:f>
        <x:v>0.16842</x:v>
      </x:c>
      <x:c r="R637" s="10" t="n">
        <x:f>L637*P637</x:f>
        <x:v>4027.5836550308004</x:v>
      </x:c>
      <x:c r="S637" s="10" t="n">
        <x:f>M637*P637</x:f>
        <x:v>0</x:v>
      </x:c>
      <x:c r="T637" s="10" t="n">
        <x:f>N637*P637</x:f>
        <x:v>0</x:v>
      </x:c>
      <x:c r="U637" s="10" t="n">
        <x:f>O637*P637</x:f>
        <x:v>4027.5836550308004</x:v>
      </x:c>
      <x:c r="V637" s="10" t="n">
        <x:f>IF(ISNUMBER(Q637),O637*(Q637-P637),"n.a.")</x:f>
        <x:v>180.39177412730945</x:v>
      </x:c>
      <x:c r="W637" s="10" t="n">
        <x:f>IF(ISNUMBER(Q637),U637,0)</x:f>
        <x:v>4027.5836550308004</x:v>
      </x:c>
      <x:c r="X637" s="8" t="n">
        <x:f>MAX(0,K637-SUM(E637:J637))</x:f>
        <x:v>0</x:v>
      </x:c>
      <x:c r="Y637" s="1" t="str">
        <x:f>IF(AND(O637&gt;0,NOT(ISNUMBER(Q637))),"No proposed replacement standard",IF(X637&gt;0,"Demand exceeds available stock",""))</x:f>
      </x:c>
      <x:c r="Z637" s="1" t="n">
        <x:f>IF(ISNUMBER(Q637),1,0)</x:f>
        <x:v>1</x:v>
      </x:c>
    </x:row>
    <x:row r="638" ht="21" customHeight="1">
      <x:c r="A638" s="17" t="n">
        <x:f>Summary!B20</x:f>
        <x:v>46478</x:v>
      </x:c>
      <x:c r="B638" s="1" t="str">
        <x:f>'Current inventory'!A8</x:f>
        <x:v>60</x:v>
      </x:c>
      <x:c r="C638" s="1" t="str">
        <x:f>'Current inventory'!B8</x:f>
        <x:v>800BBLKDSC</x:v>
      </x:c>
      <x:c r="D638" s="7" t="n">
        <x:f>A512</x:f>
        <x:v>46447</x:v>
      </x:c>
      <x:c r="E638" s="8" t="n">
        <x:f>L512</x:f>
        <x:v>0</x:v>
      </x:c>
      <x:c r="F638" s="8" t="n">
        <x:f>M512</x:f>
        <x:v>70328.33675564681</x:v>
      </x:c>
      <x:c r="G638" s="8" t="n">
        <x:f>N512</x:f>
        <x:v>0</x:v>
      </x:c>
      <x:c r="H638" s="8" t="n">
        <x:f>SUMIFS('PO detail'!$U$2:$U$672,'PO detail'!$A$2:$A$672,B638,'PO detail'!$B$2:$B$672,C638,'PO detail'!$G$2:$G$672,"&gt;="&amp;D638,'PO detail'!$G$2:$G$672,"&lt;"&amp;A638)</x:f>
        <x:v>0</x:v>
      </x:c>
      <x:c r="I638" s="8" t="n">
        <x:f>SUMIFS('PO detail'!$V$2:$V$672,'PO detail'!$A$2:$A$672,B638,'PO detail'!$B$2:$B$672,C638,'PO detail'!$G$2:$G$672,"&gt;="&amp;D638,'PO detail'!$G$2:$G$672,"&lt;"&amp;A638)</x:f>
        <x:v>0</x:v>
      </x:c>
      <x:c r="J638" s="8" t="n">
        <x:f>SUMIFS('PO detail'!$W$2:$W$672,'PO detail'!$A$2:$A$672,B638,'PO detail'!$B$2:$B$672,C638,'PO detail'!$G$2:$G$672,"&gt;="&amp;D638,'PO detail'!$G$2:$G$672,"&lt;"&amp;A638)</x:f>
        <x:v>0</x:v>
      </x:c>
      <x:c r="K638" s="8" t="n">
        <x:f>'Current inventory'!E8*Summary!$D$6*(A638-D638)/30.4375</x:f>
        <x:v>11483.367556468173</x:v>
      </x:c>
      <x:c r="L638" s="8" t="n">
        <x:f>MAX(0,E638+H638-K638)</x:f>
        <x:v>0</x:v>
      </x:c>
      <x:c r="M638" s="8" t="n">
        <x:f>MAX(0,F638+I638-MAX(0,K638-E638-H638))</x:f>
        <x:v>58844.96919917864</x:v>
      </x:c>
      <x:c r="N638" s="8" t="n">
        <x:f>MAX(0,G638+J638-K638)</x:f>
        <x:v>0</x:v>
      </x:c>
      <x:c r="O638" s="8" t="n">
        <x:f>SUM(L638:N638)</x:f>
        <x:v>58844.96919917864</x:v>
      </x:c>
      <x:c r="P638" s="14" t="n">
        <x:f>'Current inventory'!V8</x:f>
        <x:v>0.3332</x:v>
      </x:c>
      <x:c r="Q638" s="14" t="n">
        <x:f>'Current inventory'!W8</x:f>
        <x:v>0.34818</x:v>
      </x:c>
      <x:c r="R638" s="10" t="n">
        <x:f>L638*P638</x:f>
        <x:v>0</x:v>
      </x:c>
      <x:c r="S638" s="10" t="n">
        <x:f>M638*P638</x:f>
        <x:v>19607.143737166323</x:v>
      </x:c>
      <x:c r="T638" s="10" t="n">
        <x:f>N638*P638</x:f>
        <x:v>0</x:v>
      </x:c>
      <x:c r="U638" s="10" t="n">
        <x:f>O638*P638</x:f>
        <x:v>19607.143737166323</x:v>
      </x:c>
      <x:c r="V638" s="10" t="n">
        <x:f>IF(ISNUMBER(Q638),O638*(Q638-P638),"n.a.")</x:f>
        <x:v>881.4976386036956</x:v>
      </x:c>
      <x:c r="W638" s="10" t="n">
        <x:f>IF(ISNUMBER(Q638),U638,0)</x:f>
        <x:v>19607.143737166323</x:v>
      </x:c>
      <x:c r="X638" s="8" t="n">
        <x:f>MAX(0,K638-SUM(E638:J638))</x:f>
        <x:v>0</x:v>
      </x:c>
      <x:c r="Y638" s="1" t="str">
        <x:f>IF(AND(O638&gt;0,NOT(ISNUMBER(Q638))),"No proposed replacement standard",IF(X638&gt;0,"Demand exceeds available stock",""))</x:f>
      </x:c>
      <x:c r="Z638" s="1" t="n">
        <x:f>IF(ISNUMBER(Q638),1,0)</x:f>
        <x:v>1</x:v>
      </x:c>
    </x:row>
    <x:row r="639" ht="21" customHeight="1">
      <x:c r="A639" s="17" t="n">
        <x:f>Summary!B20</x:f>
        <x:v>46478</x:v>
      </x:c>
      <x:c r="B639" s="1" t="str">
        <x:f>'Current inventory'!A9</x:f>
        <x:v>10</x:v>
      </x:c>
      <x:c r="C639" s="1" t="str">
        <x:f>'Current inventory'!B9</x:f>
        <x:v>800BBLKDSC</x:v>
      </x:c>
      <x:c r="D639" s="7" t="n">
        <x:f>A513</x:f>
        <x:v>46447</x:v>
      </x:c>
      <x:c r="E639" s="8" t="n">
        <x:f>L513</x:f>
        <x:v>0</x:v>
      </x:c>
      <x:c r="F639" s="8" t="n">
        <x:f>M513</x:f>
        <x:v>79861.39630390143</x:v>
      </x:c>
      <x:c r="G639" s="8" t="n">
        <x:f>N513</x:f>
        <x:v>0</x:v>
      </x:c>
      <x:c r="H639" s="8" t="n">
        <x:f>SUMIFS('PO detail'!$U$2:$U$672,'PO detail'!$A$2:$A$672,B639,'PO detail'!$B$2:$B$672,C639,'PO detail'!$G$2:$G$672,"&gt;="&amp;D639,'PO detail'!$G$2:$G$672,"&lt;"&amp;A639)</x:f>
        <x:v>0</x:v>
      </x:c>
      <x:c r="I639" s="8" t="n">
        <x:f>SUMIFS('PO detail'!$V$2:$V$672,'PO detail'!$A$2:$A$672,B639,'PO detail'!$B$2:$B$672,C639,'PO detail'!$G$2:$G$672,"&gt;="&amp;D639,'PO detail'!$G$2:$G$672,"&lt;"&amp;A639)</x:f>
        <x:v>0</x:v>
      </x:c>
      <x:c r="J639" s="8" t="n">
        <x:f>SUMIFS('PO detail'!$W$2:$W$672,'PO detail'!$A$2:$A$672,B639,'PO detail'!$B$2:$B$672,C639,'PO detail'!$G$2:$G$672,"&gt;="&amp;D639,'PO detail'!$G$2:$G$672,"&lt;"&amp;A639)</x:f>
        <x:v>0</x:v>
      </x:c>
      <x:c r="K639" s="8" t="n">
        <x:f>'Current inventory'!E9*Summary!$D$6*(A639-D639)/30.4375</x:f>
        <x:v>10413.963039014374</x:v>
      </x:c>
      <x:c r="L639" s="8" t="n">
        <x:f>MAX(0,E639+H639-K639)</x:f>
        <x:v>0</x:v>
      </x:c>
      <x:c r="M639" s="8" t="n">
        <x:f>MAX(0,F639+I639-MAX(0,K639-E639-H639))</x:f>
        <x:v>69447.43326488706</x:v>
      </x:c>
      <x:c r="N639" s="8" t="n">
        <x:f>MAX(0,G639+J639-K639)</x:f>
        <x:v>0</x:v>
      </x:c>
      <x:c r="O639" s="8" t="n">
        <x:f>SUM(L639:N639)</x:f>
        <x:v>69447.43326488706</x:v>
      </x:c>
      <x:c r="P639" s="14" t="n">
        <x:f>'Current inventory'!V9</x:f>
        <x:v>0.3332</x:v>
      </x:c>
      <x:c r="Q639" s="14" t="n">
        <x:f>'Current inventory'!W9</x:f>
        <x:v>0.34818</x:v>
      </x:c>
      <x:c r="R639" s="10" t="n">
        <x:f>L639*P639</x:f>
        <x:v>0</x:v>
      </x:c>
      <x:c r="S639" s="10" t="n">
        <x:f>M639*P639</x:f>
        <x:v>23139.88476386037</x:v>
      </x:c>
      <x:c r="T639" s="10" t="n">
        <x:f>N639*P639</x:f>
        <x:v>0</x:v>
      </x:c>
      <x:c r="U639" s="10" t="n">
        <x:f>O639*P639</x:f>
        <x:v>23139.88476386037</x:v>
      </x:c>
      <x:c r="V639" s="10" t="n">
        <x:f>IF(ISNUMBER(Q639),O639*(Q639-P639),"n.a.")</x:f>
        <x:v>1040.3225503080077</x:v>
      </x:c>
      <x:c r="W639" s="10" t="n">
        <x:f>IF(ISNUMBER(Q639),U639,0)</x:f>
        <x:v>23139.88476386037</x:v>
      </x:c>
      <x:c r="X639" s="8" t="n">
        <x:f>MAX(0,K639-SUM(E639:J639))</x:f>
        <x:v>0</x:v>
      </x:c>
      <x:c r="Y639" s="1" t="str">
        <x:f>IF(AND(O639&gt;0,NOT(ISNUMBER(Q639))),"No proposed replacement standard",IF(X639&gt;0,"Demand exceeds available stock",""))</x:f>
      </x:c>
      <x:c r="Z639" s="1" t="n">
        <x:f>IF(ISNUMBER(Q639),1,0)</x:f>
        <x:v>1</x:v>
      </x:c>
    </x:row>
    <x:row r="640" ht="21" customHeight="1">
      <x:c r="A640" s="17" t="n">
        <x:f>Summary!B20</x:f>
        <x:v>46478</x:v>
      </x:c>
      <x:c r="B640" s="1" t="str">
        <x:f>'Current inventory'!A10</x:f>
        <x:v>60</x:v>
      </x:c>
      <x:c r="C640" s="1" t="str">
        <x:f>'Current inventory'!B10</x:f>
        <x:v>800BBLKISC</x:v>
      </x:c>
      <x:c r="D640" s="7" t="n">
        <x:f>A514</x:f>
        <x:v>46447</x:v>
      </x:c>
      <x:c r="E640" s="8" t="n">
        <x:f>L514</x:f>
        <x:v>62642.589240246394</x:v>
      </x:c>
      <x:c r="F640" s="8" t="n">
        <x:f>M514</x:f>
        <x:v>0</x:v>
      </x:c>
      <x:c r="G640" s="8" t="n">
        <x:f>N514</x:f>
        <x:v>0</x:v>
      </x:c>
      <x:c r="H640" s="8" t="n">
        <x:f>SUMIFS('PO detail'!$U$2:$U$672,'PO detail'!$A$2:$A$672,B640,'PO detail'!$B$2:$B$672,C640,'PO detail'!$G$2:$G$672,"&gt;="&amp;D640,'PO detail'!$G$2:$G$672,"&lt;"&amp;A640)</x:f>
        <x:v>0</x:v>
      </x:c>
      <x:c r="I640" s="8" t="n">
        <x:f>SUMIFS('PO detail'!$V$2:$V$672,'PO detail'!$A$2:$A$672,B640,'PO detail'!$B$2:$B$672,C640,'PO detail'!$G$2:$G$672,"&gt;="&amp;D640,'PO detail'!$G$2:$G$672,"&lt;"&amp;A640)</x:f>
        <x:v>0</x:v>
      </x:c>
      <x:c r="J640" s="8" t="n">
        <x:f>SUMIFS('PO detail'!$W$2:$W$672,'PO detail'!$A$2:$A$672,B640,'PO detail'!$B$2:$B$672,C640,'PO detail'!$G$2:$G$672,"&gt;="&amp;D640,'PO detail'!$G$2:$G$672,"&lt;"&amp;A640)</x:f>
        <x:v>0</x:v>
      </x:c>
      <x:c r="K640" s="8" t="n">
        <x:f>'Current inventory'!E10*Summary!$D$6*(A640-D640)/30.4375</x:f>
        <x:v>9225.732402464066</x:v>
      </x:c>
      <x:c r="L640" s="8" t="n">
        <x:f>MAX(0,E640+H640-K640)</x:f>
        <x:v>53416.856837782325</x:v>
      </x:c>
      <x:c r="M640" s="8" t="n">
        <x:f>MAX(0,F640+I640-MAX(0,K640-E640-H640))</x:f>
        <x:v>0</x:v>
      </x:c>
      <x:c r="N640" s="8" t="n">
        <x:f>MAX(0,G640+J640-K640)</x:f>
        <x:v>0</x:v>
      </x:c>
      <x:c r="O640" s="8" t="n">
        <x:f>SUM(L640:N640)</x:f>
        <x:v>53416.856837782325</x:v>
      </x:c>
      <x:c r="P640" s="14" t="n">
        <x:f>'Current inventory'!V10</x:f>
        <x:v>0.1612</x:v>
      </x:c>
      <x:c r="Q640" s="14" t="n">
        <x:f>'Current inventory'!W10</x:f>
        <x:v>0.16842</x:v>
      </x:c>
      <x:c r="R640" s="10" t="n">
        <x:f>L640*P640</x:f>
        <x:v>8610.797322250512</x:v>
      </x:c>
      <x:c r="S640" s="10" t="n">
        <x:f>M640*P640</x:f>
        <x:v>0</x:v>
      </x:c>
      <x:c r="T640" s="10" t="n">
        <x:f>N640*P640</x:f>
        <x:v>0</x:v>
      </x:c>
      <x:c r="U640" s="10" t="n">
        <x:f>O640*P640</x:f>
        <x:v>8610.797322250512</x:v>
      </x:c>
      <x:c r="V640" s="10" t="n">
        <x:f>IF(ISNUMBER(Q640),O640*(Q640-P640),"n.a.")</x:f>
        <x:v>385.6697063687871</x:v>
      </x:c>
      <x:c r="W640" s="10" t="n">
        <x:f>IF(ISNUMBER(Q640),U640,0)</x:f>
        <x:v>8610.797322250512</x:v>
      </x:c>
      <x:c r="X640" s="8" t="n">
        <x:f>MAX(0,K640-SUM(E640:J640))</x:f>
        <x:v>0</x:v>
      </x:c>
      <x:c r="Y640" s="1" t="str">
        <x:f>IF(AND(O640&gt;0,NOT(ISNUMBER(Q640))),"No proposed replacement standard",IF(X640&gt;0,"Demand exceeds available stock",""))</x:f>
      </x:c>
      <x:c r="Z640" s="1" t="n">
        <x:f>IF(ISNUMBER(Q640),1,0)</x:f>
        <x:v>1</x:v>
      </x:c>
    </x:row>
    <x:row r="641" ht="21" customHeight="1">
      <x:c r="A641" s="17" t="n">
        <x:f>Summary!B20</x:f>
        <x:v>46478</x:v>
      </x:c>
      <x:c r="B641" s="1" t="str">
        <x:f>'Current inventory'!A11</x:f>
        <x:v>30</x:v>
      </x:c>
      <x:c r="C641" s="1" t="str">
        <x:f>'Current inventory'!B11</x:f>
        <x:v>800BNAVASC</x:v>
      </x:c>
      <x:c r="D641" s="7" t="n">
        <x:f>A515</x:f>
        <x:v>46447</x:v>
      </x:c>
      <x:c r="E641" s="8" t="n">
        <x:f>L515</x:f>
        <x:v>0</x:v>
      </x:c>
      <x:c r="F641" s="8" t="n">
        <x:f>M515</x:f>
        <x:v>39377.944640657086</x:v>
      </x:c>
      <x:c r="G641" s="8" t="n">
        <x:f>N515</x:f>
        <x:v>0</x:v>
      </x:c>
      <x:c r="H641" s="8" t="n">
        <x:f>SUMIFS('PO detail'!$U$2:$U$672,'PO detail'!$A$2:$A$672,B641,'PO detail'!$B$2:$B$672,C641,'PO detail'!$G$2:$G$672,"&gt;="&amp;D641,'PO detail'!$G$2:$G$672,"&lt;"&amp;A641)</x:f>
        <x:v>0</x:v>
      </x:c>
      <x:c r="I641" s="8" t="n">
        <x:f>SUMIFS('PO detail'!$V$2:$V$672,'PO detail'!$A$2:$A$672,B641,'PO detail'!$B$2:$B$672,C641,'PO detail'!$G$2:$G$672,"&gt;="&amp;D641,'PO detail'!$G$2:$G$672,"&lt;"&amp;A641)</x:f>
        <x:v>0</x:v>
      </x:c>
      <x:c r="J641" s="8" t="n">
        <x:f>SUMIFS('PO detail'!$W$2:$W$672,'PO detail'!$A$2:$A$672,B641,'PO detail'!$B$2:$B$672,C641,'PO detail'!$G$2:$G$672,"&gt;="&amp;D641,'PO detail'!$G$2:$G$672,"&lt;"&amp;A641)</x:f>
        <x:v>0</x:v>
      </x:c>
      <x:c r="K641" s="8" t="n">
        <x:f>'Current inventory'!E11*Summary!$D$6*(A641-D641)/30.4375</x:f>
        <x:v>8979.606406570843</x:v>
      </x:c>
      <x:c r="L641" s="8" t="n">
        <x:f>MAX(0,E641+H641-K641)</x:f>
        <x:v>0</x:v>
      </x:c>
      <x:c r="M641" s="8" t="n">
        <x:f>MAX(0,F641+I641-MAX(0,K641-E641-H641))</x:f>
        <x:v>30398.338234086244</x:v>
      </x:c>
      <x:c r="N641" s="8" t="n">
        <x:f>MAX(0,G641+J641-K641)</x:f>
        <x:v>0</x:v>
      </x:c>
      <x:c r="O641" s="8" t="n">
        <x:f>SUM(L641:N641)</x:f>
        <x:v>30398.338234086244</x:v>
      </x:c>
      <x:c r="P641" s="14" t="n">
        <x:f>'Current inventory'!V11</x:f>
        <x:v>0.1515</x:v>
      </x:c>
      <x:c r="Q641" s="14" t="n">
        <x:f>'Current inventory'!W11</x:f>
        <x:v>0.15834</x:v>
      </x:c>
      <x:c r="R641" s="10" t="n">
        <x:f>L641*P641</x:f>
        <x:v>0</x:v>
      </x:c>
      <x:c r="S641" s="10" t="n">
        <x:f>M641*P641</x:f>
        <x:v>4605.348242464066</x:v>
      </x:c>
      <x:c r="T641" s="10" t="n">
        <x:f>N641*P641</x:f>
        <x:v>0</x:v>
      </x:c>
      <x:c r="U641" s="10" t="n">
        <x:f>O641*P641</x:f>
        <x:v>4605.348242464066</x:v>
      </x:c>
      <x:c r="V641" s="10" t="n">
        <x:f>IF(ISNUMBER(Q641),O641*(Q641-P641),"n.a.")</x:f>
        <x:v>207.9246335211503</x:v>
      </x:c>
      <x:c r="W641" s="10" t="n">
        <x:f>IF(ISNUMBER(Q641),U641,0)</x:f>
        <x:v>4605.348242464066</x:v>
      </x:c>
      <x:c r="X641" s="8" t="n">
        <x:f>MAX(0,K641-SUM(E641:J641))</x:f>
        <x:v>0</x:v>
      </x:c>
      <x:c r="Y641" s="1" t="str">
        <x:f>IF(AND(O641&gt;0,NOT(ISNUMBER(Q641))),"No proposed replacement standard",IF(X641&gt;0,"Demand exceeds available stock",""))</x:f>
      </x:c>
      <x:c r="Z641" s="1" t="n">
        <x:f>IF(ISNUMBER(Q641),1,0)</x:f>
        <x:v>1</x:v>
      </x:c>
    </x:row>
    <x:row r="642" ht="21" customHeight="1">
      <x:c r="A642" s="17" t="n">
        <x:f>Summary!B20</x:f>
        <x:v>46478</x:v>
      </x:c>
      <x:c r="B642" s="1" t="str">
        <x:f>'Current inventory'!A12</x:f>
        <x:v>30</x:v>
      </x:c>
      <x:c r="C642" s="1" t="str">
        <x:f>'Current inventory'!B12</x:f>
        <x:v>800BBLKDSC</x:v>
      </x:c>
      <x:c r="D642" s="7" t="n">
        <x:f>A516</x:f>
        <x:v>46447</x:v>
      </x:c>
      <x:c r="E642" s="8" t="n">
        <x:f>L516</x:f>
        <x:v>0</x:v>
      </x:c>
      <x:c r="F642" s="8" t="n">
        <x:f>M516</x:f>
        <x:v>61297.741273100626</x:v>
      </x:c>
      <x:c r="G642" s="8" t="n">
        <x:f>N516</x:f>
        <x:v>0</x:v>
      </x:c>
      <x:c r="H642" s="8" t="n">
        <x:f>SUMIFS('PO detail'!$U$2:$U$672,'PO detail'!$A$2:$A$672,B642,'PO detail'!$B$2:$B$672,C642,'PO detail'!$G$2:$G$672,"&gt;="&amp;D642,'PO detail'!$G$2:$G$672,"&lt;"&amp;A642)</x:f>
        <x:v>0</x:v>
      </x:c>
      <x:c r="I642" s="8" t="n">
        <x:f>SUMIFS('PO detail'!$V$2:$V$672,'PO detail'!$A$2:$A$672,B642,'PO detail'!$B$2:$B$672,C642,'PO detail'!$G$2:$G$672,"&gt;="&amp;D642,'PO detail'!$G$2:$G$672,"&lt;"&amp;A642)</x:f>
        <x:v>0</x:v>
      </x:c>
      <x:c r="J642" s="8" t="n">
        <x:f>SUMIFS('PO detail'!$W$2:$W$672,'PO detail'!$A$2:$A$672,B642,'PO detail'!$B$2:$B$672,C642,'PO detail'!$G$2:$G$672,"&gt;="&amp;D642,'PO detail'!$G$2:$G$672,"&lt;"&amp;A642)</x:f>
        <x:v>0</x:v>
      </x:c>
      <x:c r="K642" s="8" t="n">
        <x:f>'Current inventory'!E12*Summary!$D$6*(A642-D642)/30.4375</x:f>
        <x:v>6441.889117043122</x:v>
      </x:c>
      <x:c r="L642" s="8" t="n">
        <x:f>MAX(0,E642+H642-K642)</x:f>
        <x:v>0</x:v>
      </x:c>
      <x:c r="M642" s="8" t="n">
        <x:f>MAX(0,F642+I642-MAX(0,K642-E642-H642))</x:f>
        <x:v>54855.8521560575</x:v>
      </x:c>
      <x:c r="N642" s="8" t="n">
        <x:f>MAX(0,G642+J642-K642)</x:f>
        <x:v>0</x:v>
      </x:c>
      <x:c r="O642" s="8" t="n">
        <x:f>SUM(L642:N642)</x:f>
        <x:v>54855.8521560575</x:v>
      </x:c>
      <x:c r="P642" s="14" t="n">
        <x:f>'Current inventory'!V12</x:f>
        <x:v>0.3332</x:v>
      </x:c>
      <x:c r="Q642" s="14" t="n">
        <x:f>'Current inventory'!W12</x:f>
        <x:v>0.34818</x:v>
      </x:c>
      <x:c r="R642" s="10" t="n">
        <x:f>L642*P642</x:f>
        <x:v>0</x:v>
      </x:c>
      <x:c r="S642" s="10" t="n">
        <x:f>M642*P642</x:f>
        <x:v>18277.96993839836</x:v>
      </x:c>
      <x:c r="T642" s="10" t="n">
        <x:f>N642*P642</x:f>
        <x:v>0</x:v>
      </x:c>
      <x:c r="U642" s="10" t="n">
        <x:f>O642*P642</x:f>
        <x:v>18277.96993839836</x:v>
      </x:c>
      <x:c r="V642" s="10" t="n">
        <x:f>IF(ISNUMBER(Q642),O642*(Q642-P642),"n.a.")</x:f>
        <x:v>821.740665297741</x:v>
      </x:c>
      <x:c r="W642" s="10" t="n">
        <x:f>IF(ISNUMBER(Q642),U642,0)</x:f>
        <x:v>18277.96993839836</x:v>
      </x:c>
      <x:c r="X642" s="8" t="n">
        <x:f>MAX(0,K642-SUM(E642:J642))</x:f>
        <x:v>0</x:v>
      </x:c>
      <x:c r="Y642" s="1" t="str">
        <x:f>IF(AND(O642&gt;0,NOT(ISNUMBER(Q642))),"No proposed replacement standard",IF(X642&gt;0,"Demand exceeds available stock",""))</x:f>
      </x:c>
      <x:c r="Z642" s="1" t="n">
        <x:f>IF(ISNUMBER(Q642),1,0)</x:f>
        <x:v>1</x:v>
      </x:c>
    </x:row>
    <x:row r="643" ht="21" customHeight="1">
      <x:c r="A643" s="17" t="n">
        <x:f>Summary!B20</x:f>
        <x:v>46478</x:v>
      </x:c>
      <x:c r="B643" s="1" t="str">
        <x:f>'Current inventory'!A13</x:f>
        <x:v>60</x:v>
      </x:c>
      <x:c r="C643" s="1" t="str">
        <x:f>'Current inventory'!B13</x:f>
        <x:v>800BBLKCSC</x:v>
      </x:c>
      <x:c r="D643" s="7" t="n">
        <x:f>A517</x:f>
        <x:v>46447</x:v>
      </x:c>
      <x:c r="E643" s="8" t="n">
        <x:f>L517</x:f>
        <x:v>0</x:v>
      </x:c>
      <x:c r="F643" s="8" t="n">
        <x:f>M517</x:f>
        <x:v>0</x:v>
      </x:c>
      <x:c r="G643" s="8" t="n">
        <x:f>N517</x:f>
        <x:v>0</x:v>
      </x:c>
      <x:c r="H643" s="8" t="n">
        <x:f>SUMIFS('PO detail'!$U$2:$U$672,'PO detail'!$A$2:$A$672,B643,'PO detail'!$B$2:$B$672,C643,'PO detail'!$G$2:$G$672,"&gt;="&amp;D643,'PO detail'!$G$2:$G$672,"&lt;"&amp;A643)</x:f>
        <x:v>0</x:v>
      </x:c>
      <x:c r="I643" s="8" t="n">
        <x:f>SUMIFS('PO detail'!$V$2:$V$672,'PO detail'!$A$2:$A$672,B643,'PO detail'!$B$2:$B$672,C643,'PO detail'!$G$2:$G$672,"&gt;="&amp;D643,'PO detail'!$G$2:$G$672,"&lt;"&amp;A643)</x:f>
        <x:v>0</x:v>
      </x:c>
      <x:c r="J643" s="8" t="n">
        <x:f>SUMIFS('PO detail'!$W$2:$W$672,'PO detail'!$A$2:$A$672,B643,'PO detail'!$B$2:$B$672,C643,'PO detail'!$G$2:$G$672,"&gt;="&amp;D643,'PO detail'!$G$2:$G$672,"&lt;"&amp;A643)</x:f>
        <x:v>0</x:v>
      </x:c>
      <x:c r="K643" s="8" t="n">
        <x:f>'Current inventory'!E13*Summary!$D$6*(A643-D643)/30.4375</x:f>
        <x:v>4303.080082135523</x:v>
      </x:c>
      <x:c r="L643" s="8" t="n">
        <x:f>MAX(0,E643+H643-K643)</x:f>
        <x:v>0</x:v>
      </x:c>
      <x:c r="M643" s="8" t="n">
        <x:f>MAX(0,F643+I643-MAX(0,K643-E643-H643))</x:f>
        <x:v>0</x:v>
      </x:c>
      <x:c r="N643" s="8" t="n">
        <x:f>MAX(0,G643+J643-K643)</x:f>
        <x:v>0</x:v>
      </x:c>
      <x:c r="O643" s="8" t="n">
        <x:f>SUM(L643:N643)</x:f>
        <x:v>0</x:v>
      </x:c>
      <x:c r="P643" s="14" t="n">
        <x:f>'Current inventory'!V13</x:f>
        <x:v>0.1957</x:v>
      </x:c>
      <x:c r="Q643" s="14" t="str">
        <x:f>'Current inventory'!W13</x:f>
        <x:v>n.a.</x:v>
      </x:c>
      <x:c r="R643" s="10" t="n">
        <x:f>L643*P643</x:f>
        <x:v>0</x:v>
      </x:c>
      <x:c r="S643" s="10" t="n">
        <x:f>M643*P643</x:f>
        <x:v>0</x:v>
      </x:c>
      <x:c r="T643" s="10" t="n">
        <x:f>N643*P643</x:f>
        <x:v>0</x:v>
      </x:c>
      <x:c r="U643" s="10" t="n">
        <x:f>O643*P643</x:f>
        <x:v>0</x:v>
      </x:c>
      <x:c r="V643" s="10" t="str">
        <x:f>IF(ISNUMBER(Q643),O643*(Q643-P643),"n.a.")</x:f>
        <x:v>n.a.</x:v>
      </x:c>
      <x:c r="W643" s="10" t="n">
        <x:f>IF(ISNUMBER(Q643),U643,0)</x:f>
        <x:v>0</x:v>
      </x:c>
      <x:c r="X643" s="8" t="n">
        <x:f>MAX(0,K643-SUM(E643:J643))</x:f>
        <x:v>4303.080082135523</x:v>
      </x:c>
      <x:c r="Y643" s="1" t="str">
        <x:f>IF(AND(O643&gt;0,NOT(ISNUMBER(Q643))),"No proposed replacement standard",IF(X643&gt;0,"Demand exceeds available stock",""))</x:f>
        <x:v>Demand exceeds available stock</x:v>
      </x:c>
      <x:c r="Z643" s="1" t="n">
        <x:f>IF(ISNUMBER(Q643),1,0)</x:f>
        <x:v>0</x:v>
      </x:c>
    </x:row>
    <x:row r="644" ht="21" customHeight="1">
      <x:c r="A644" s="17" t="n">
        <x:f>Summary!B20</x:f>
        <x:v>46478</x:v>
      </x:c>
      <x:c r="B644" s="1" t="str">
        <x:f>'Current inventory'!A14</x:f>
        <x:v>10</x:v>
      </x:c>
      <x:c r="C644" s="1" t="str">
        <x:f>'Current inventory'!B14</x:f>
        <x:v>800BBLKCSC</x:v>
      </x:c>
      <x:c r="D644" s="7" t="n">
        <x:f>A518</x:f>
        <x:v>46447</x:v>
      </x:c>
      <x:c r="E644" s="8" t="n">
        <x:f>L518</x:f>
        <x:v>0</x:v>
      </x:c>
      <x:c r="F644" s="8" t="n">
        <x:f>M518</x:f>
        <x:v>0</x:v>
      </x:c>
      <x:c r="G644" s="8" t="n">
        <x:f>N518</x:f>
        <x:v>0</x:v>
      </x:c>
      <x:c r="H644" s="8" t="n">
        <x:f>SUMIFS('PO detail'!$U$2:$U$672,'PO detail'!$A$2:$A$672,B644,'PO detail'!$B$2:$B$672,C644,'PO detail'!$G$2:$G$672,"&gt;="&amp;D644,'PO detail'!$G$2:$G$672,"&lt;"&amp;A644)</x:f>
        <x:v>0</x:v>
      </x:c>
      <x:c r="I644" s="8" t="n">
        <x:f>SUMIFS('PO detail'!$V$2:$V$672,'PO detail'!$A$2:$A$672,B644,'PO detail'!$B$2:$B$672,C644,'PO detail'!$G$2:$G$672,"&gt;="&amp;D644,'PO detail'!$G$2:$G$672,"&lt;"&amp;A644)</x:f>
        <x:v>0</x:v>
      </x:c>
      <x:c r="J644" s="8" t="n">
        <x:f>SUMIFS('PO detail'!$W$2:$W$672,'PO detail'!$A$2:$A$672,B644,'PO detail'!$B$2:$B$672,C644,'PO detail'!$G$2:$G$672,"&gt;="&amp;D644,'PO detail'!$G$2:$G$672,"&lt;"&amp;A644)</x:f>
        <x:v>0</x:v>
      </x:c>
      <x:c r="K644" s="8" t="n">
        <x:f>'Current inventory'!E14*Summary!$D$6*(A644-D644)/30.4375</x:f>
        <x:v>3878.7200000000003</x:v>
      </x:c>
      <x:c r="L644" s="8" t="n">
        <x:f>MAX(0,E644+H644-K644)</x:f>
        <x:v>0</x:v>
      </x:c>
      <x:c r="M644" s="8" t="n">
        <x:f>MAX(0,F644+I644-MAX(0,K644-E644-H644))</x:f>
        <x:v>0</x:v>
      </x:c>
      <x:c r="N644" s="8" t="n">
        <x:f>MAX(0,G644+J644-K644)</x:f>
        <x:v>0</x:v>
      </x:c>
      <x:c r="O644" s="8" t="n">
        <x:f>SUM(L644:N644)</x:f>
        <x:v>0</x:v>
      </x:c>
      <x:c r="P644" s="14" t="n">
        <x:f>'Current inventory'!V14</x:f>
        <x:v>0.1957</x:v>
      </x:c>
      <x:c r="Q644" s="14" t="str">
        <x:f>'Current inventory'!W14</x:f>
        <x:v>n.a.</x:v>
      </x:c>
      <x:c r="R644" s="10" t="n">
        <x:f>L644*P644</x:f>
        <x:v>0</x:v>
      </x:c>
      <x:c r="S644" s="10" t="n">
        <x:f>M644*P644</x:f>
        <x:v>0</x:v>
      </x:c>
      <x:c r="T644" s="10" t="n">
        <x:f>N644*P644</x:f>
        <x:v>0</x:v>
      </x:c>
      <x:c r="U644" s="10" t="n">
        <x:f>O644*P644</x:f>
        <x:v>0</x:v>
      </x:c>
      <x:c r="V644" s="10" t="str">
        <x:f>IF(ISNUMBER(Q644),O644*(Q644-P644),"n.a.")</x:f>
        <x:v>n.a.</x:v>
      </x:c>
      <x:c r="W644" s="10" t="n">
        <x:f>IF(ISNUMBER(Q644),U644,0)</x:f>
        <x:v>0</x:v>
      </x:c>
      <x:c r="X644" s="8" t="n">
        <x:f>MAX(0,K644-SUM(E644:J644))</x:f>
        <x:v>3878.7200000000003</x:v>
      </x:c>
      <x:c r="Y644" s="1" t="str">
        <x:f>IF(AND(O644&gt;0,NOT(ISNUMBER(Q644))),"No proposed replacement standard",IF(X644&gt;0,"Demand exceeds available stock",""))</x:f>
        <x:v>Demand exceeds available stock</x:v>
      </x:c>
      <x:c r="Z644" s="1" t="n">
        <x:f>IF(ISNUMBER(Q644),1,0)</x:f>
        <x:v>0</x:v>
      </x:c>
    </x:row>
    <x:row r="645" ht="21" customHeight="1">
      <x:c r="A645" s="17" t="n">
        <x:f>Summary!B20</x:f>
        <x:v>46478</x:v>
      </x:c>
      <x:c r="B645" s="1" t="str">
        <x:f>'Current inventory'!A15</x:f>
        <x:v>10</x:v>
      </x:c>
      <x:c r="C645" s="1" t="str">
        <x:f>'Current inventory'!B15</x:f>
        <x:v>800BNAVBRC</x:v>
      </x:c>
      <x:c r="D645" s="7" t="n">
        <x:f>A519</x:f>
        <x:v>46447</x:v>
      </x:c>
      <x:c r="E645" s="8" t="n">
        <x:f>L519</x:f>
        <x:v>0</x:v>
      </x:c>
      <x:c r="F645" s="8" t="n">
        <x:f>M519</x:f>
        <x:v>0</x:v>
      </x:c>
      <x:c r="G645" s="8" t="n">
        <x:f>N519</x:f>
        <x:v>0</x:v>
      </x:c>
      <x:c r="H645" s="8" t="n">
        <x:f>SUMIFS('PO detail'!$U$2:$U$672,'PO detail'!$A$2:$A$672,B645,'PO detail'!$B$2:$B$672,C645,'PO detail'!$G$2:$G$672,"&gt;="&amp;D645,'PO detail'!$G$2:$G$672,"&lt;"&amp;A645)</x:f>
        <x:v>0</x:v>
      </x:c>
      <x:c r="I645" s="8" t="n">
        <x:f>SUMIFS('PO detail'!$V$2:$V$672,'PO detail'!$A$2:$A$672,B645,'PO detail'!$B$2:$B$672,C645,'PO detail'!$G$2:$G$672,"&gt;="&amp;D645,'PO detail'!$G$2:$G$672,"&lt;"&amp;A645)</x:f>
        <x:v>0</x:v>
      </x:c>
      <x:c r="J645" s="8" t="n">
        <x:f>SUMIFS('PO detail'!$W$2:$W$672,'PO detail'!$A$2:$A$672,B645,'PO detail'!$B$2:$B$672,C645,'PO detail'!$G$2:$G$672,"&gt;="&amp;D645,'PO detail'!$G$2:$G$672,"&lt;"&amp;A645)</x:f>
        <x:v>0</x:v>
      </x:c>
      <x:c r="K645" s="8" t="n">
        <x:f>'Current inventory'!E15*Summary!$D$6*(A645-D645)/30.4375</x:f>
        <x:v>3666.5297741273102</x:v>
      </x:c>
      <x:c r="L645" s="8" t="n">
        <x:f>MAX(0,E645+H645-K645)</x:f>
        <x:v>0</x:v>
      </x:c>
      <x:c r="M645" s="8" t="n">
        <x:f>MAX(0,F645+I645-MAX(0,K645-E645-H645))</x:f>
        <x:v>0</x:v>
      </x:c>
      <x:c r="N645" s="8" t="n">
        <x:f>MAX(0,G645+J645-K645)</x:f>
        <x:v>0</x:v>
      </x:c>
      <x:c r="O645" s="8" t="n">
        <x:f>SUM(L645:N645)</x:f>
        <x:v>0</x:v>
      </x:c>
      <x:c r="P645" s="14" t="n">
        <x:f>'Current inventory'!V15</x:f>
        <x:v>0.17370000000000002</x:v>
      </x:c>
      <x:c r="Q645" s="14" t="str">
        <x:f>'Current inventory'!W15</x:f>
        <x:v>n.a.</x:v>
      </x:c>
      <x:c r="R645" s="10" t="n">
        <x:f>L645*P645</x:f>
        <x:v>0</x:v>
      </x:c>
      <x:c r="S645" s="10" t="n">
        <x:f>M645*P645</x:f>
        <x:v>0</x:v>
      </x:c>
      <x:c r="T645" s="10" t="n">
        <x:f>N645*P645</x:f>
        <x:v>0</x:v>
      </x:c>
      <x:c r="U645" s="10" t="n">
        <x:f>O645*P645</x:f>
        <x:v>0</x:v>
      </x:c>
      <x:c r="V645" s="10" t="str">
        <x:f>IF(ISNUMBER(Q645),O645*(Q645-P645),"n.a.")</x:f>
        <x:v>n.a.</x:v>
      </x:c>
      <x:c r="W645" s="10" t="n">
        <x:f>IF(ISNUMBER(Q645),U645,0)</x:f>
        <x:v>0</x:v>
      </x:c>
      <x:c r="X645" s="8" t="n">
        <x:f>MAX(0,K645-SUM(E645:J645))</x:f>
        <x:v>3666.5297741273102</x:v>
      </x:c>
      <x:c r="Y645" s="1" t="str">
        <x:f>IF(AND(O645&gt;0,NOT(ISNUMBER(Q645))),"No proposed replacement standard",IF(X645&gt;0,"Demand exceeds available stock",""))</x:f>
        <x:v>Demand exceeds available stock</x:v>
      </x:c>
      <x:c r="Z645" s="1" t="n">
        <x:f>IF(ISNUMBER(Q645),1,0)</x:f>
        <x:v>0</x:v>
      </x:c>
    </x:row>
    <x:row r="646" ht="21" customHeight="1">
      <x:c r="A646" s="17" t="n">
        <x:f>Summary!B20</x:f>
        <x:v>46478</x:v>
      </x:c>
      <x:c r="B646" s="1" t="str">
        <x:f>'Current inventory'!A16</x:f>
        <x:v>10</x:v>
      </x:c>
      <x:c r="C646" s="1" t="str">
        <x:f>'Current inventory'!B16</x:f>
        <x:v>800BMARASC</x:v>
      </x:c>
      <x:c r="D646" s="7" t="n">
        <x:f>A520</x:f>
        <x:v>46447</x:v>
      </x:c>
      <x:c r="E646" s="8" t="n">
        <x:f>L520</x:f>
        <x:v>15521.560574948662</x:v>
      </x:c>
      <x:c r="F646" s="8" t="n">
        <x:f>M520</x:f>
        <x:v>20000</x:v>
      </x:c>
      <x:c r="G646" s="8" t="n">
        <x:f>N520</x:f>
        <x:v>0</x:v>
      </x:c>
      <x:c r="H646" s="8" t="n">
        <x:f>SUMIFS('PO detail'!$U$2:$U$672,'PO detail'!$A$2:$A$672,B646,'PO detail'!$B$2:$B$672,C646,'PO detail'!$G$2:$G$672,"&gt;="&amp;D646,'PO detail'!$G$2:$G$672,"&lt;"&amp;A646)</x:f>
        <x:v>0</x:v>
      </x:c>
      <x:c r="I646" s="8" t="n">
        <x:f>SUMIFS('PO detail'!$V$2:$V$672,'PO detail'!$A$2:$A$672,B646,'PO detail'!$B$2:$B$672,C646,'PO detail'!$G$2:$G$672,"&gt;="&amp;D646,'PO detail'!$G$2:$G$672,"&lt;"&amp;A646)</x:f>
        <x:v>0</x:v>
      </x:c>
      <x:c r="J646" s="8" t="n">
        <x:f>SUMIFS('PO detail'!$W$2:$W$672,'PO detail'!$A$2:$A$672,B646,'PO detail'!$B$2:$B$672,C646,'PO detail'!$G$2:$G$672,"&gt;="&amp;D646,'PO detail'!$G$2:$G$672,"&lt;"&amp;A646)</x:f>
        <x:v>0</x:v>
      </x:c>
      <x:c r="K646" s="8" t="n">
        <x:f>'Current inventory'!E16*Summary!$D$6*(A646-D646)/30.4375</x:f>
        <x:v>3615.605749486653</x:v>
      </x:c>
      <x:c r="L646" s="8" t="n">
        <x:f>MAX(0,E646+H646-K646)</x:f>
        <x:v>11905.95482546201</x:v>
      </x:c>
      <x:c r="M646" s="8" t="n">
        <x:f>MAX(0,F646+I646-MAX(0,K646-E646-H646))</x:f>
        <x:v>20000</x:v>
      </x:c>
      <x:c r="N646" s="8" t="n">
        <x:f>MAX(0,G646+J646-K646)</x:f>
        <x:v>0</x:v>
      </x:c>
      <x:c r="O646" s="8" t="n">
        <x:f>SUM(L646:N646)</x:f>
        <x:v>31905.95482546201</x:v>
      </x:c>
      <x:c r="P646" s="14" t="n">
        <x:f>'Current inventory'!V16</x:f>
        <x:v>0.1598</x:v>
      </x:c>
      <x:c r="Q646" s="14" t="n">
        <x:f>'Current inventory'!W16</x:f>
        <x:v>0.16695000000000002</x:v>
      </x:c>
      <x:c r="R646" s="10" t="n">
        <x:f>L646*P646</x:f>
        <x:v>1902.5715811088292</x:v>
      </x:c>
      <x:c r="S646" s="10" t="n">
        <x:f>M646*P646</x:f>
        <x:v>3196</x:v>
      </x:c>
      <x:c r="T646" s="10" t="n">
        <x:f>N646*P646</x:f>
        <x:v>0</x:v>
      </x:c>
      <x:c r="U646" s="10" t="n">
        <x:f>O646*P646</x:f>
        <x:v>5098.571581108829</x:v>
      </x:c>
      <x:c r="V646" s="10" t="n">
        <x:f>IF(ISNUMBER(Q646),O646*(Q646-P646),"n.a.")</x:f>
        <x:v>228.12757700205393</x:v>
      </x:c>
      <x:c r="W646" s="10" t="n">
        <x:f>IF(ISNUMBER(Q646),U646,0)</x:f>
        <x:v>5098.571581108829</x:v>
      </x:c>
      <x:c r="X646" s="8" t="n">
        <x:f>MAX(0,K646-SUM(E646:J646))</x:f>
        <x:v>0</x:v>
      </x:c>
      <x:c r="Y646" s="1" t="str">
        <x:f>IF(AND(O646&gt;0,NOT(ISNUMBER(Q646))),"No proposed replacement standard",IF(X646&gt;0,"Demand exceeds available stock",""))</x:f>
      </x:c>
      <x:c r="Z646" s="1" t="n">
        <x:f>IF(ISNUMBER(Q646),1,0)</x:f>
        <x:v>1</x:v>
      </x:c>
    </x:row>
    <x:row r="647" ht="21" customHeight="1">
      <x:c r="A647" s="17" t="n">
        <x:f>Summary!B20</x:f>
        <x:v>46478</x:v>
      </x:c>
      <x:c r="B647" s="1" t="str">
        <x:f>'Current inventory'!A17</x:f>
        <x:v>60</x:v>
      </x:c>
      <x:c r="C647" s="1" t="str">
        <x:f>'Current inventory'!B17</x:f>
        <x:v>800BNAVISC</x:v>
      </x:c>
      <x:c r="D647" s="7" t="n">
        <x:f>A521</x:f>
        <x:v>46447</x:v>
      </x:c>
      <x:c r="E647" s="8" t="n">
        <x:f>L521</x:f>
        <x:v>0</x:v>
      </x:c>
      <x:c r="F647" s="8" t="n">
        <x:f>M521</x:f>
        <x:v>0</x:v>
      </x:c>
      <x:c r="G647" s="8" t="n">
        <x:f>N521</x:f>
        <x:v>0</x:v>
      </x:c>
      <x:c r="H647" s="8" t="n">
        <x:f>SUMIFS('PO detail'!$U$2:$U$672,'PO detail'!$A$2:$A$672,B647,'PO detail'!$B$2:$B$672,C647,'PO detail'!$G$2:$G$672,"&gt;="&amp;D647,'PO detail'!$G$2:$G$672,"&lt;"&amp;A647)</x:f>
        <x:v>0</x:v>
      </x:c>
      <x:c r="I647" s="8" t="n">
        <x:f>SUMIFS('PO detail'!$V$2:$V$672,'PO detail'!$A$2:$A$672,B647,'PO detail'!$B$2:$B$672,C647,'PO detail'!$G$2:$G$672,"&gt;="&amp;D647,'PO detail'!$G$2:$G$672,"&lt;"&amp;A647)</x:f>
        <x:v>0</x:v>
      </x:c>
      <x:c r="J647" s="8" t="n">
        <x:f>SUMIFS('PO detail'!$W$2:$W$672,'PO detail'!$A$2:$A$672,B647,'PO detail'!$B$2:$B$672,C647,'PO detail'!$G$2:$G$672,"&gt;="&amp;D647,'PO detail'!$G$2:$G$672,"&lt;"&amp;A647)</x:f>
        <x:v>0</x:v>
      </x:c>
      <x:c r="K647" s="8" t="n">
        <x:f>'Current inventory'!E17*Summary!$D$6*(A647-D647)/30.4375</x:f>
        <x:v>3174.2675975359343</x:v>
      </x:c>
      <x:c r="L647" s="8" t="n">
        <x:f>MAX(0,E647+H647-K647)</x:f>
        <x:v>0</x:v>
      </x:c>
      <x:c r="M647" s="8" t="n">
        <x:f>MAX(0,F647+I647-MAX(0,K647-E647-H647))</x:f>
        <x:v>0</x:v>
      </x:c>
      <x:c r="N647" s="8" t="n">
        <x:f>MAX(0,G647+J647-K647)</x:f>
        <x:v>0</x:v>
      </x:c>
      <x:c r="O647" s="8" t="n">
        <x:f>SUM(L647:N647)</x:f>
        <x:v>0</x:v>
      </x:c>
      <x:c r="P647" s="14" t="n">
        <x:f>'Current inventory'!V17</x:f>
        <x:v>0.16870000000000002</x:v>
      </x:c>
      <x:c r="Q647" s="14" t="str">
        <x:f>'Current inventory'!W17</x:f>
        <x:v>n.a.</x:v>
      </x:c>
      <x:c r="R647" s="10" t="n">
        <x:f>L647*P647</x:f>
        <x:v>0</x:v>
      </x:c>
      <x:c r="S647" s="10" t="n">
        <x:f>M647*P647</x:f>
        <x:v>0</x:v>
      </x:c>
      <x:c r="T647" s="10" t="n">
        <x:f>N647*P647</x:f>
        <x:v>0</x:v>
      </x:c>
      <x:c r="U647" s="10" t="n">
        <x:f>O647*P647</x:f>
        <x:v>0</x:v>
      </x:c>
      <x:c r="V647" s="10" t="str">
        <x:f>IF(ISNUMBER(Q647),O647*(Q647-P647),"n.a.")</x:f>
        <x:v>n.a.</x:v>
      </x:c>
      <x:c r="W647" s="10" t="n">
        <x:f>IF(ISNUMBER(Q647),U647,0)</x:f>
        <x:v>0</x:v>
      </x:c>
      <x:c r="X647" s="8" t="n">
        <x:f>MAX(0,K647-SUM(E647:J647))</x:f>
        <x:v>3174.2675975359343</x:v>
      </x:c>
      <x:c r="Y647" s="1" t="str">
        <x:f>IF(AND(O647&gt;0,NOT(ISNUMBER(Q647))),"No proposed replacement standard",IF(X647&gt;0,"Demand exceeds available stock",""))</x:f>
        <x:v>Demand exceeds available stock</x:v>
      </x:c>
      <x:c r="Z647" s="1" t="n">
        <x:f>IF(ISNUMBER(Q647),1,0)</x:f>
        <x:v>0</x:v>
      </x:c>
    </x:row>
    <x:row r="648" ht="21" customHeight="1">
      <x:c r="A648" s="17" t="n">
        <x:f>Summary!B20</x:f>
        <x:v>46478</x:v>
      </x:c>
      <x:c r="B648" s="1" t="str">
        <x:f>'Current inventory'!A18</x:f>
        <x:v>10</x:v>
      </x:c>
      <x:c r="C648" s="1" t="str">
        <x:f>'Current inventory'!B18</x:f>
        <x:v>800BNAVISC</x:v>
      </x:c>
      <x:c r="D648" s="7" t="n">
        <x:f>A522</x:f>
        <x:v>46447</x:v>
      </x:c>
      <x:c r="E648" s="8" t="n">
        <x:f>L522</x:f>
        <x:v>0</x:v>
      </x:c>
      <x:c r="F648" s="8" t="n">
        <x:f>M522</x:f>
        <x:v>0</x:v>
      </x:c>
      <x:c r="G648" s="8" t="n">
        <x:f>N522</x:f>
        <x:v>0</x:v>
      </x:c>
      <x:c r="H648" s="8" t="n">
        <x:f>SUMIFS('PO detail'!$U$2:$U$672,'PO detail'!$A$2:$A$672,B648,'PO detail'!$B$2:$B$672,C648,'PO detail'!$G$2:$G$672,"&gt;="&amp;D648,'PO detail'!$G$2:$G$672,"&lt;"&amp;A648)</x:f>
        <x:v>0</x:v>
      </x:c>
      <x:c r="I648" s="8" t="n">
        <x:f>SUMIFS('PO detail'!$V$2:$V$672,'PO detail'!$A$2:$A$672,B648,'PO detail'!$B$2:$B$672,C648,'PO detail'!$G$2:$G$672,"&gt;="&amp;D648,'PO detail'!$G$2:$G$672,"&lt;"&amp;A648)</x:f>
        <x:v>0</x:v>
      </x:c>
      <x:c r="J648" s="8" t="n">
        <x:f>SUMIFS('PO detail'!$W$2:$W$672,'PO detail'!$A$2:$A$672,B648,'PO detail'!$B$2:$B$672,C648,'PO detail'!$G$2:$G$672,"&gt;="&amp;D648,'PO detail'!$G$2:$G$672,"&lt;"&amp;A648)</x:f>
        <x:v>0</x:v>
      </x:c>
      <x:c r="K648" s="8" t="n">
        <x:f>'Current inventory'!E18*Summary!$D$6*(A648-D648)/30.4375</x:f>
        <x:v>3123.3435728952772</x:v>
      </x:c>
      <x:c r="L648" s="8" t="n">
        <x:f>MAX(0,E648+H648-K648)</x:f>
        <x:v>0</x:v>
      </x:c>
      <x:c r="M648" s="8" t="n">
        <x:f>MAX(0,F648+I648-MAX(0,K648-E648-H648))</x:f>
        <x:v>0</x:v>
      </x:c>
      <x:c r="N648" s="8" t="n">
        <x:f>MAX(0,G648+J648-K648)</x:f>
        <x:v>0</x:v>
      </x:c>
      <x:c r="O648" s="8" t="n">
        <x:f>SUM(L648:N648)</x:f>
        <x:v>0</x:v>
      </x:c>
      <x:c r="P648" s="14" t="n">
        <x:f>'Current inventory'!V18</x:f>
        <x:v>0.16870000000000002</x:v>
      </x:c>
      <x:c r="Q648" s="14" t="str">
        <x:f>'Current inventory'!W18</x:f>
        <x:v>n.a.</x:v>
      </x:c>
      <x:c r="R648" s="10" t="n">
        <x:f>L648*P648</x:f>
        <x:v>0</x:v>
      </x:c>
      <x:c r="S648" s="10" t="n">
        <x:f>M648*P648</x:f>
        <x:v>0</x:v>
      </x:c>
      <x:c r="T648" s="10" t="n">
        <x:f>N648*P648</x:f>
        <x:v>0</x:v>
      </x:c>
      <x:c r="U648" s="10" t="n">
        <x:f>O648*P648</x:f>
        <x:v>0</x:v>
      </x:c>
      <x:c r="V648" s="10" t="str">
        <x:f>IF(ISNUMBER(Q648),O648*(Q648-P648),"n.a.")</x:f>
        <x:v>n.a.</x:v>
      </x:c>
      <x:c r="W648" s="10" t="n">
        <x:f>IF(ISNUMBER(Q648),U648,0)</x:f>
        <x:v>0</x:v>
      </x:c>
      <x:c r="X648" s="8" t="n">
        <x:f>MAX(0,K648-SUM(E648:J648))</x:f>
        <x:v>3123.3435728952772</x:v>
      </x:c>
      <x:c r="Y648" s="1" t="str">
        <x:f>IF(AND(O648&gt;0,NOT(ISNUMBER(Q648))),"No proposed replacement standard",IF(X648&gt;0,"Demand exceeds available stock",""))</x:f>
        <x:v>Demand exceeds available stock</x:v>
      </x:c>
      <x:c r="Z648" s="1" t="n">
        <x:f>IF(ISNUMBER(Q648),1,0)</x:f>
        <x:v>0</x:v>
      </x:c>
    </x:row>
    <x:row r="649" ht="21" customHeight="1">
      <x:c r="A649" s="17" t="n">
        <x:f>Summary!B20</x:f>
        <x:v>46478</x:v>
      </x:c>
      <x:c r="B649" s="1" t="str">
        <x:f>'Current inventory'!A19</x:f>
        <x:v>60</x:v>
      </x:c>
      <x:c r="C649" s="1" t="str">
        <x:f>'Current inventory'!B19</x:f>
        <x:v>800BMARASC</x:v>
      </x:c>
      <x:c r="D649" s="7" t="n">
        <x:f>A523</x:f>
        <x:v>46447</x:v>
      </x:c>
      <x:c r="E649" s="8" t="n">
        <x:f>L523</x:f>
        <x:v>0</x:v>
      </x:c>
      <x:c r="F649" s="8" t="n">
        <x:f>M523</x:f>
        <x:v>52271.131334702266</x:v>
      </x:c>
      <x:c r="G649" s="8" t="n">
        <x:f>N523</x:f>
        <x:v>0</x:v>
      </x:c>
      <x:c r="H649" s="8" t="n">
        <x:f>SUMIFS('PO detail'!$U$2:$U$672,'PO detail'!$A$2:$A$672,B649,'PO detail'!$B$2:$B$672,C649,'PO detail'!$G$2:$G$672,"&gt;="&amp;D649,'PO detail'!$G$2:$G$672,"&lt;"&amp;A649)</x:f>
        <x:v>0</x:v>
      </x:c>
      <x:c r="I649" s="8" t="n">
        <x:f>SUMIFS('PO detail'!$V$2:$V$672,'PO detail'!$A$2:$A$672,B649,'PO detail'!$B$2:$B$672,C649,'PO detail'!$G$2:$G$672,"&gt;="&amp;D649,'PO detail'!$G$2:$G$672,"&lt;"&amp;A649)</x:f>
        <x:v>0</x:v>
      </x:c>
      <x:c r="J649" s="8" t="n">
        <x:f>SUMIFS('PO detail'!$W$2:$W$672,'PO detail'!$A$2:$A$672,B649,'PO detail'!$B$2:$B$672,C649,'PO detail'!$G$2:$G$672,"&gt;="&amp;D649,'PO detail'!$G$2:$G$672,"&lt;"&amp;A649)</x:f>
        <x:v>0</x:v>
      </x:c>
      <x:c r="K649" s="8" t="n">
        <x:f>'Current inventory'!E19*Summary!$D$6*(A649-D649)/30.4375</x:f>
        <x:v>2911.1533470225872</x:v>
      </x:c>
      <x:c r="L649" s="8" t="n">
        <x:f>MAX(0,E649+H649-K649)</x:f>
        <x:v>0</x:v>
      </x:c>
      <x:c r="M649" s="8" t="n">
        <x:f>MAX(0,F649+I649-MAX(0,K649-E649-H649))</x:f>
        <x:v>49359.97798767968</x:v>
      </x:c>
      <x:c r="N649" s="8" t="n">
        <x:f>MAX(0,G649+J649-K649)</x:f>
        <x:v>0</x:v>
      </x:c>
      <x:c r="O649" s="8" t="n">
        <x:f>SUM(L649:N649)</x:f>
        <x:v>49359.97798767968</x:v>
      </x:c>
      <x:c r="P649" s="14" t="n">
        <x:f>'Current inventory'!V19</x:f>
        <x:v>0.1598</x:v>
      </x:c>
      <x:c r="Q649" s="14" t="n">
        <x:f>'Current inventory'!W19</x:f>
        <x:v>0.16695000000000002</x:v>
      </x:c>
      <x:c r="R649" s="10" t="n">
        <x:f>L649*P649</x:f>
        <x:v>0</x:v>
      </x:c>
      <x:c r="S649" s="10" t="n">
        <x:f>M649*P649</x:f>
        <x:v>7887.724482431213</x:v>
      </x:c>
      <x:c r="T649" s="10" t="n">
        <x:f>N649*P649</x:f>
        <x:v>0</x:v>
      </x:c>
      <x:c r="U649" s="10" t="n">
        <x:f>O649*P649</x:f>
        <x:v>7887.724482431213</x:v>
      </x:c>
      <x:c r="V649" s="10" t="n">
        <x:f>IF(ISNUMBER(Q649),O649*(Q649-P649),"n.a.")</x:f>
        <x:v>352.9238426119106</x:v>
      </x:c>
      <x:c r="W649" s="10" t="n">
        <x:f>IF(ISNUMBER(Q649),U649,0)</x:f>
        <x:v>7887.724482431213</x:v>
      </x:c>
      <x:c r="X649" s="8" t="n">
        <x:f>MAX(0,K649-SUM(E649:J649))</x:f>
        <x:v>0</x:v>
      </x:c>
      <x:c r="Y649" s="1" t="str">
        <x:f>IF(AND(O649&gt;0,NOT(ISNUMBER(Q649))),"No proposed replacement standard",IF(X649&gt;0,"Demand exceeds available stock",""))</x:f>
      </x:c>
      <x:c r="Z649" s="1" t="n">
        <x:f>IF(ISNUMBER(Q649),1,0)</x:f>
        <x:v>1</x:v>
      </x:c>
    </x:row>
    <x:row r="650" ht="21" customHeight="1">
      <x:c r="A650" s="17" t="n">
        <x:f>Summary!B20</x:f>
        <x:v>46478</x:v>
      </x:c>
      <x:c r="B650" s="1" t="str">
        <x:f>'Current inventory'!A20</x:f>
        <x:v>30</x:v>
      </x:c>
      <x:c r="C650" s="1" t="str">
        <x:f>'Current inventory'!B20</x:f>
        <x:v>800BBLKISC</x:v>
      </x:c>
      <x:c r="D650" s="7" t="n">
        <x:f>A524</x:f>
        <x:v>46447</x:v>
      </x:c>
      <x:c r="E650" s="8" t="n">
        <x:f>L524</x:f>
        <x:v>29067.35112936346</x:v>
      </x:c>
      <x:c r="F650" s="8" t="n">
        <x:f>M524</x:f>
        <x:v>0</x:v>
      </x:c>
      <x:c r="G650" s="8" t="n">
        <x:f>N524</x:f>
        <x:v>0</x:v>
      </x:c>
      <x:c r="H650" s="8" t="n">
        <x:f>SUMIFS('PO detail'!$U$2:$U$672,'PO detail'!$A$2:$A$672,B650,'PO detail'!$B$2:$B$672,C650,'PO detail'!$G$2:$G$672,"&gt;="&amp;D650,'PO detail'!$G$2:$G$672,"&lt;"&amp;A650)</x:f>
        <x:v>0</x:v>
      </x:c>
      <x:c r="I650" s="8" t="n">
        <x:f>SUMIFS('PO detail'!$V$2:$V$672,'PO detail'!$A$2:$A$672,B650,'PO detail'!$B$2:$B$672,C650,'PO detail'!$G$2:$G$672,"&gt;="&amp;D650,'PO detail'!$G$2:$G$672,"&lt;"&amp;A650)</x:f>
        <x:v>0</x:v>
      </x:c>
      <x:c r="J650" s="8" t="n">
        <x:f>SUMIFS('PO detail'!$W$2:$W$672,'PO detail'!$A$2:$A$672,B650,'PO detail'!$B$2:$B$672,C650,'PO detail'!$G$2:$G$672,"&gt;="&amp;D650,'PO detail'!$G$2:$G$672,"&lt;"&amp;A650)</x:f>
        <x:v>0</x:v>
      </x:c>
      <x:c r="K650" s="8" t="n">
        <x:f>'Current inventory'!E20*Summary!$D$6*(A650-D650)/30.4375</x:f>
        <x:v>2673.5112936344967</x:v>
      </x:c>
      <x:c r="L650" s="8" t="n">
        <x:f>MAX(0,E650+H650-K650)</x:f>
        <x:v>26393.839835728962</x:v>
      </x:c>
      <x:c r="M650" s="8" t="n">
        <x:f>MAX(0,F650+I650-MAX(0,K650-E650-H650))</x:f>
        <x:v>0</x:v>
      </x:c>
      <x:c r="N650" s="8" t="n">
        <x:f>MAX(0,G650+J650-K650)</x:f>
        <x:v>0</x:v>
      </x:c>
      <x:c r="O650" s="8" t="n">
        <x:f>SUM(L650:N650)</x:f>
        <x:v>26393.839835728962</x:v>
      </x:c>
      <x:c r="P650" s="14" t="n">
        <x:f>'Current inventory'!V20</x:f>
        <x:v>0.1612</x:v>
      </x:c>
      <x:c r="Q650" s="14" t="n">
        <x:f>'Current inventory'!W20</x:f>
        <x:v>0.16842</x:v>
      </x:c>
      <x:c r="R650" s="10" t="n">
        <x:f>L650*P650</x:f>
        <x:v>4254.686981519509</x:v>
      </x:c>
      <x:c r="S650" s="10" t="n">
        <x:f>M650*P650</x:f>
        <x:v>0</x:v>
      </x:c>
      <x:c r="T650" s="10" t="n">
        <x:f>N650*P650</x:f>
        <x:v>0</x:v>
      </x:c>
      <x:c r="U650" s="10" t="n">
        <x:f>O650*P650</x:f>
        <x:v>4254.686981519509</x:v>
      </x:c>
      <x:c r="V650" s="10" t="n">
        <x:f>IF(ISNUMBER(Q650),O650*(Q650-P650),"n.a.")</x:f>
        <x:v>190.56352361396247</x:v>
      </x:c>
      <x:c r="W650" s="10" t="n">
        <x:f>IF(ISNUMBER(Q650),U650,0)</x:f>
        <x:v>4254.686981519509</x:v>
      </x:c>
      <x:c r="X650" s="8" t="n">
        <x:f>MAX(0,K650-SUM(E650:J650))</x:f>
        <x:v>0</x:v>
      </x:c>
      <x:c r="Y650" s="1" t="str">
        <x:f>IF(AND(O650&gt;0,NOT(ISNUMBER(Q650))),"No proposed replacement standard",IF(X650&gt;0,"Demand exceeds available stock",""))</x:f>
      </x:c>
      <x:c r="Z650" s="1" t="n">
        <x:f>IF(ISNUMBER(Q650),1,0)</x:f>
        <x:v>1</x:v>
      </x:c>
    </x:row>
    <x:row r="651" ht="21" customHeight="1">
      <x:c r="A651" s="17" t="n">
        <x:f>Summary!B20</x:f>
        <x:v>46478</x:v>
      </x:c>
      <x:c r="B651" s="1" t="str">
        <x:f>'Current inventory'!A21</x:f>
        <x:v>10</x:v>
      </x:c>
      <x:c r="C651" s="1" t="str">
        <x:f>'Current inventory'!B21</x:f>
        <x:v>800BBLKBRC</x:v>
      </x:c>
      <x:c r="D651" s="7" t="n">
        <x:f>A525</x:f>
        <x:v>46447</x:v>
      </x:c>
      <x:c r="E651" s="8" t="n">
        <x:f>L525</x:f>
        <x:v>0</x:v>
      </x:c>
      <x:c r="F651" s="8" t="n">
        <x:f>M525</x:f>
        <x:v>0</x:v>
      </x:c>
      <x:c r="G651" s="8" t="n">
        <x:f>N525</x:f>
        <x:v>0</x:v>
      </x:c>
      <x:c r="H651" s="8" t="n">
        <x:f>SUMIFS('PO detail'!$U$2:$U$672,'PO detail'!$A$2:$A$672,B651,'PO detail'!$B$2:$B$672,C651,'PO detail'!$G$2:$G$672,"&gt;="&amp;D651,'PO detail'!$G$2:$G$672,"&lt;"&amp;A651)</x:f>
        <x:v>0</x:v>
      </x:c>
      <x:c r="I651" s="8" t="n">
        <x:f>SUMIFS('PO detail'!$V$2:$V$672,'PO detail'!$A$2:$A$672,B651,'PO detail'!$B$2:$B$672,C651,'PO detail'!$G$2:$G$672,"&gt;="&amp;D651,'PO detail'!$G$2:$G$672,"&lt;"&amp;A651)</x:f>
        <x:v>0</x:v>
      </x:c>
      <x:c r="J651" s="8" t="n">
        <x:f>SUMIFS('PO detail'!$W$2:$W$672,'PO detail'!$A$2:$A$672,B651,'PO detail'!$B$2:$B$672,C651,'PO detail'!$G$2:$G$672,"&gt;="&amp;D651,'PO detail'!$G$2:$G$672,"&lt;"&amp;A651)</x:f>
        <x:v>0</x:v>
      </x:c>
      <x:c r="K651" s="8" t="n">
        <x:f>'Current inventory'!E21*Summary!$D$6*(A651-D651)/30.4375</x:f>
        <x:v>2486.7932648870637</x:v>
      </x:c>
      <x:c r="L651" s="8" t="n">
        <x:f>MAX(0,E651+H651-K651)</x:f>
        <x:v>0</x:v>
      </x:c>
      <x:c r="M651" s="8" t="n">
        <x:f>MAX(0,F651+I651-MAX(0,K651-E651-H651))</x:f>
        <x:v>0</x:v>
      </x:c>
      <x:c r="N651" s="8" t="n">
        <x:f>MAX(0,G651+J651-K651)</x:f>
        <x:v>0</x:v>
      </x:c>
      <x:c r="O651" s="8" t="n">
        <x:f>SUM(L651:N651)</x:f>
        <x:v>0</x:v>
      </x:c>
      <x:c r="P651" s="14" t="n">
        <x:f>'Current inventory'!V21</x:f>
        <x:v>0.16829999999999998</x:v>
      </x:c>
      <x:c r="Q651" s="14" t="str">
        <x:f>'Current inventory'!W21</x:f>
        <x:v>n.a.</x:v>
      </x:c>
      <x:c r="R651" s="10" t="n">
        <x:f>L651*P651</x:f>
        <x:v>0</x:v>
      </x:c>
      <x:c r="S651" s="10" t="n">
        <x:f>M651*P651</x:f>
        <x:v>0</x:v>
      </x:c>
      <x:c r="T651" s="10" t="n">
        <x:f>N651*P651</x:f>
        <x:v>0</x:v>
      </x:c>
      <x:c r="U651" s="10" t="n">
        <x:f>O651*P651</x:f>
        <x:v>0</x:v>
      </x:c>
      <x:c r="V651" s="10" t="str">
        <x:f>IF(ISNUMBER(Q651),O651*(Q651-P651),"n.a.")</x:f>
        <x:v>n.a.</x:v>
      </x:c>
      <x:c r="W651" s="10" t="n">
        <x:f>IF(ISNUMBER(Q651),U651,0)</x:f>
        <x:v>0</x:v>
      </x:c>
      <x:c r="X651" s="8" t="n">
        <x:f>MAX(0,K651-SUM(E651:J651))</x:f>
        <x:v>2486.7932648870637</x:v>
      </x:c>
      <x:c r="Y651" s="1" t="str">
        <x:f>IF(AND(O651&gt;0,NOT(ISNUMBER(Q651))),"No proposed replacement standard",IF(X651&gt;0,"Demand exceeds available stock",""))</x:f>
        <x:v>Demand exceeds available stock</x:v>
      </x:c>
      <x:c r="Z651" s="1" t="n">
        <x:f>IF(ISNUMBER(Q651),1,0)</x:f>
        <x:v>0</x:v>
      </x:c>
    </x:row>
    <x:row r="652" ht="21" customHeight="1">
      <x:c r="A652" s="17" t="n">
        <x:f>Summary!B20</x:f>
        <x:v>46478</x:v>
      </x:c>
      <x:c r="B652" s="1" t="str">
        <x:f>'Current inventory'!A22</x:f>
        <x:v>60</x:v>
      </x:c>
      <x:c r="C652" s="1" t="str">
        <x:f>'Current inventory'!B22</x:f>
        <x:v>800NAVE</x:v>
      </x:c>
      <x:c r="D652" s="7" t="n">
        <x:f>A526</x:f>
        <x:v>46447</x:v>
      </x:c>
      <x:c r="E652" s="8" t="n">
        <x:f>L526</x:f>
        <x:v>0</x:v>
      </x:c>
      <x:c r="F652" s="8" t="n">
        <x:f>M526</x:f>
        <x:v>4202.954825462011</x:v>
      </x:c>
      <x:c r="G652" s="8" t="n">
        <x:f>N526</x:f>
        <x:v>0</x:v>
      </x:c>
      <x:c r="H652" s="8" t="n">
        <x:f>SUMIFS('PO detail'!$U$2:$U$672,'PO detail'!$A$2:$A$672,B652,'PO detail'!$B$2:$B$672,C652,'PO detail'!$G$2:$G$672,"&gt;="&amp;D652,'PO detail'!$G$2:$G$672,"&lt;"&amp;A652)</x:f>
        <x:v>0</x:v>
      </x:c>
      <x:c r="I652" s="8" t="n">
        <x:f>SUMIFS('PO detail'!$V$2:$V$672,'PO detail'!$A$2:$A$672,B652,'PO detail'!$B$2:$B$672,C652,'PO detail'!$G$2:$G$672,"&gt;="&amp;D652,'PO detail'!$G$2:$G$672,"&lt;"&amp;A652)</x:f>
        <x:v>0</x:v>
      </x:c>
      <x:c r="J652" s="8" t="n">
        <x:f>SUMIFS('PO detail'!$W$2:$W$672,'PO detail'!$A$2:$A$672,B652,'PO detail'!$B$2:$B$672,C652,'PO detail'!$G$2:$G$672,"&gt;="&amp;D652,'PO detail'!$G$2:$G$672,"&lt;"&amp;A652)</x:f>
        <x:v>0</x:v>
      </x:c>
      <x:c r="K652" s="8" t="n">
        <x:f>'Current inventory'!E22*Summary!$D$6*(A652-D652)/30.4375</x:f>
        <x:v>2427.5482546201233</x:v>
      </x:c>
      <x:c r="L652" s="8" t="n">
        <x:f>MAX(0,E652+H652-K652)</x:f>
        <x:v>0</x:v>
      </x:c>
      <x:c r="M652" s="8" t="n">
        <x:f>MAX(0,F652+I652-MAX(0,K652-E652-H652))</x:f>
        <x:v>1775.406570841888</x:v>
      </x:c>
      <x:c r="N652" s="8" t="n">
        <x:f>MAX(0,G652+J652-K652)</x:f>
        <x:v>0</x:v>
      </x:c>
      <x:c r="O652" s="8" t="n">
        <x:f>SUM(L652:N652)</x:f>
        <x:v>1775.406570841888</x:v>
      </x:c>
      <x:c r="P652" s="14" t="n">
        <x:f>'Current inventory'!V22</x:f>
        <x:v>1.04328</x:v>
      </x:c>
      <x:c r="Q652" s="14" t="n">
        <x:f>'Current inventory'!W22</x:f>
        <x:v>1.090215</x:v>
      </x:c>
      <x:c r="R652" s="10" t="n">
        <x:f>L652*P652</x:f>
        <x:v>0</x:v>
      </x:c>
      <x:c r="S652" s="10" t="n">
        <x:f>M652*P652</x:f>
        <x:v>1852.2461672279248</x:v>
      </x:c>
      <x:c r="T652" s="10" t="n">
        <x:f>N652*P652</x:f>
        <x:v>0</x:v>
      </x:c>
      <x:c r="U652" s="10" t="n">
        <x:f>O652*P652</x:f>
        <x:v>1852.2461672279248</x:v>
      </x:c>
      <x:c r="V652" s="10" t="n">
        <x:f>IF(ISNUMBER(Q652),O652*(Q652-P652),"n.a.")</x:f>
        <x:v>83.32870740246392</x:v>
      </x:c>
      <x:c r="W652" s="10" t="n">
        <x:f>IF(ISNUMBER(Q652),U652,0)</x:f>
        <x:v>1852.2461672279248</x:v>
      </x:c>
      <x:c r="X652" s="8" t="n">
        <x:f>MAX(0,K652-SUM(E652:J652))</x:f>
        <x:v>0</x:v>
      </x:c>
      <x:c r="Y652" s="1" t="str">
        <x:f>IF(AND(O652&gt;0,NOT(ISNUMBER(Q652))),"No proposed replacement standard",IF(X652&gt;0,"Demand exceeds available stock",""))</x:f>
      </x:c>
      <x:c r="Z652" s="1" t="n">
        <x:f>IF(ISNUMBER(Q652),1,0)</x:f>
        <x:v>1</x:v>
      </x:c>
    </x:row>
    <x:row r="653" ht="21" customHeight="1">
      <x:c r="A653" s="17" t="n">
        <x:f>Summary!B20</x:f>
        <x:v>46478</x:v>
      </x:c>
      <x:c r="B653" s="1" t="str">
        <x:f>'Current inventory'!A23</x:f>
        <x:v>10</x:v>
      </x:c>
      <x:c r="C653" s="1" t="str">
        <x:f>'Current inventory'!B23</x:f>
        <x:v>800NAVE</x:v>
      </x:c>
      <x:c r="D653" s="7" t="n">
        <x:f>A527</x:f>
        <x:v>46447</x:v>
      </x:c>
      <x:c r="E653" s="8" t="n">
        <x:f>L527</x:f>
        <x:v>8887.400492813142</x:v>
      </x:c>
      <x:c r="F653" s="8" t="n">
        <x:f>M527</x:f>
        <x:v>10000</x:v>
      </x:c>
      <x:c r="G653" s="8" t="n">
        <x:f>N527</x:f>
        <x:v>0</x:v>
      </x:c>
      <x:c r="H653" s="8" t="n">
        <x:f>SUMIFS('PO detail'!$U$2:$U$672,'PO detail'!$A$2:$A$672,B653,'PO detail'!$B$2:$B$672,C653,'PO detail'!$G$2:$G$672,"&gt;="&amp;D653,'PO detail'!$G$2:$G$672,"&lt;"&amp;A653)</x:f>
        <x:v>0</x:v>
      </x:c>
      <x:c r="I653" s="8" t="n">
        <x:f>SUMIFS('PO detail'!$V$2:$V$672,'PO detail'!$A$2:$A$672,B653,'PO detail'!$B$2:$B$672,C653,'PO detail'!$G$2:$G$672,"&gt;="&amp;D653,'PO detail'!$G$2:$G$672,"&lt;"&amp;A653)</x:f>
        <x:v>0</x:v>
      </x:c>
      <x:c r="J653" s="8" t="n">
        <x:f>SUMIFS('PO detail'!$W$2:$W$672,'PO detail'!$A$2:$A$672,B653,'PO detail'!$B$2:$B$672,C653,'PO detail'!$G$2:$G$672,"&gt;="&amp;D653,'PO detail'!$G$2:$G$672,"&lt;"&amp;A653)</x:f>
        <x:v>0</x:v>
      </x:c>
      <x:c r="K653" s="8" t="n">
        <x:f>'Current inventory'!E23*Summary!$D$6*(A653-D653)/30.4375</x:f>
        <x:v>1956.164928131417</x:v>
      </x:c>
      <x:c r="L653" s="8" t="n">
        <x:f>MAX(0,E653+H653-K653)</x:f>
        <x:v>6931.235564681725</x:v>
      </x:c>
      <x:c r="M653" s="8" t="n">
        <x:f>MAX(0,F653+I653-MAX(0,K653-E653-H653))</x:f>
        <x:v>10000</x:v>
      </x:c>
      <x:c r="N653" s="8" t="n">
        <x:f>MAX(0,G653+J653-K653)</x:f>
        <x:v>0</x:v>
      </x:c>
      <x:c r="O653" s="8" t="n">
        <x:f>SUM(L653:N653)</x:f>
        <x:v>16931.235564681723</x:v>
      </x:c>
      <x:c r="P653" s="14" t="n">
        <x:f>'Current inventory'!V23</x:f>
        <x:v>1.04328</x:v>
      </x:c>
      <x:c r="Q653" s="14" t="n">
        <x:f>'Current inventory'!W23</x:f>
        <x:v>1.090215</x:v>
      </x:c>
      <x:c r="R653" s="10" t="n">
        <x:f>L653*P653</x:f>
        <x:v>7231.21943992115</x:v>
      </x:c>
      <x:c r="S653" s="10" t="n">
        <x:f>M653*P653</x:f>
        <x:v>10432.8</x:v>
      </x:c>
      <x:c r="T653" s="10" t="n">
        <x:f>N653*P653</x:f>
        <x:v>0</x:v>
      </x:c>
      <x:c r="U653" s="10" t="n">
        <x:f>O653*P653</x:f>
        <x:v>17664.019439921147</x:v>
      </x:c>
      <x:c r="V653" s="10" t="n">
        <x:f>IF(ISNUMBER(Q653),O653*(Q653-P653),"n.a.")</x:f>
        <x:v>794.6675412283358</x:v>
      </x:c>
      <x:c r="W653" s="10" t="n">
        <x:f>IF(ISNUMBER(Q653),U653,0)</x:f>
        <x:v>17664.019439921147</x:v>
      </x:c>
      <x:c r="X653" s="8" t="n">
        <x:f>MAX(0,K653-SUM(E653:J653))</x:f>
        <x:v>0</x:v>
      </x:c>
      <x:c r="Y653" s="1" t="str">
        <x:f>IF(AND(O653&gt;0,NOT(ISNUMBER(Q653))),"No proposed replacement standard",IF(X653&gt;0,"Demand exceeds available stock",""))</x:f>
      </x:c>
      <x:c r="Z653" s="1" t="n">
        <x:f>IF(ISNUMBER(Q653),1,0)</x:f>
        <x:v>1</x:v>
      </x:c>
    </x:row>
    <x:row r="654" ht="21" customHeight="1">
      <x:c r="A654" s="17" t="n">
        <x:f>Summary!B20</x:f>
        <x:v>46478</x:v>
      </x:c>
      <x:c r="B654" s="1" t="str">
        <x:f>'Current inventory'!A24</x:f>
        <x:v>60</x:v>
      </x:c>
      <x:c r="C654" s="1" t="str">
        <x:f>'Current inventory'!B24</x:f>
        <x:v>800BBLKBRC</x:v>
      </x:c>
      <x:c r="D654" s="7" t="n">
        <x:f>A528</x:f>
        <x:v>46447</x:v>
      </x:c>
      <x:c r="E654" s="8" t="n">
        <x:f>L528</x:f>
        <x:v>0</x:v>
      </x:c>
      <x:c r="F654" s="8" t="n">
        <x:f>M528</x:f>
        <x:v>0</x:v>
      </x:c>
      <x:c r="G654" s="8" t="n">
        <x:f>N528</x:f>
        <x:v>0</x:v>
      </x:c>
      <x:c r="H654" s="8" t="n">
        <x:f>SUMIFS('PO detail'!$U$2:$U$672,'PO detail'!$A$2:$A$672,B654,'PO detail'!$B$2:$B$672,C654,'PO detail'!$G$2:$G$672,"&gt;="&amp;D654,'PO detail'!$G$2:$G$672,"&lt;"&amp;A654)</x:f>
        <x:v>0</x:v>
      </x:c>
      <x:c r="I654" s="8" t="n">
        <x:f>SUMIFS('PO detail'!$V$2:$V$672,'PO detail'!$A$2:$A$672,B654,'PO detail'!$B$2:$B$672,C654,'PO detail'!$G$2:$G$672,"&gt;="&amp;D654,'PO detail'!$G$2:$G$672,"&lt;"&amp;A654)</x:f>
        <x:v>0</x:v>
      </x:c>
      <x:c r="J654" s="8" t="n">
        <x:f>SUMIFS('PO detail'!$W$2:$W$672,'PO detail'!$A$2:$A$672,B654,'PO detail'!$B$2:$B$672,C654,'PO detail'!$G$2:$G$672,"&gt;="&amp;D654,'PO detail'!$G$2:$G$672,"&lt;"&amp;A654)</x:f>
        <x:v>0</x:v>
      </x:c>
      <x:c r="K654" s="8" t="n">
        <x:f>'Current inventory'!E24*Summary!$D$6*(A654-D654)/30.4375</x:f>
        <x:v>1833.2648870636551</x:v>
      </x:c>
      <x:c r="L654" s="8" t="n">
        <x:f>MAX(0,E654+H654-K654)</x:f>
        <x:v>0</x:v>
      </x:c>
      <x:c r="M654" s="8" t="n">
        <x:f>MAX(0,F654+I654-MAX(0,K654-E654-H654))</x:f>
        <x:v>0</x:v>
      </x:c>
      <x:c r="N654" s="8" t="n">
        <x:f>MAX(0,G654+J654-K654)</x:f>
        <x:v>0</x:v>
      </x:c>
      <x:c r="O654" s="8" t="n">
        <x:f>SUM(L654:N654)</x:f>
        <x:v>0</x:v>
      </x:c>
      <x:c r="P654" s="14" t="n">
        <x:f>'Current inventory'!V24</x:f>
        <x:v>0.16829999999999998</x:v>
      </x:c>
      <x:c r="Q654" s="14" t="str">
        <x:f>'Current inventory'!W24</x:f>
        <x:v>n.a.</x:v>
      </x:c>
      <x:c r="R654" s="10" t="n">
        <x:f>L654*P654</x:f>
        <x:v>0</x:v>
      </x:c>
      <x:c r="S654" s="10" t="n">
        <x:f>M654*P654</x:f>
        <x:v>0</x:v>
      </x:c>
      <x:c r="T654" s="10" t="n">
        <x:f>N654*P654</x:f>
        <x:v>0</x:v>
      </x:c>
      <x:c r="U654" s="10" t="n">
        <x:f>O654*P654</x:f>
        <x:v>0</x:v>
      </x:c>
      <x:c r="V654" s="10" t="str">
        <x:f>IF(ISNUMBER(Q654),O654*(Q654-P654),"n.a.")</x:f>
        <x:v>n.a.</x:v>
      </x:c>
      <x:c r="W654" s="10" t="n">
        <x:f>IF(ISNUMBER(Q654),U654,0)</x:f>
        <x:v>0</x:v>
      </x:c>
      <x:c r="X654" s="8" t="n">
        <x:f>MAX(0,K654-SUM(E654:J654))</x:f>
        <x:v>1833.2648870636551</x:v>
      </x:c>
      <x:c r="Y654" s="1" t="str">
        <x:f>IF(AND(O654&gt;0,NOT(ISNUMBER(Q654))),"No proposed replacement standard",IF(X654&gt;0,"Demand exceeds available stock",""))</x:f>
        <x:v>Demand exceeds available stock</x:v>
      </x:c>
      <x:c r="Z654" s="1" t="n">
        <x:f>IF(ISNUMBER(Q654),1,0)</x:f>
        <x:v>0</x:v>
      </x:c>
    </x:row>
    <x:row r="655" ht="21" customHeight="1">
      <x:c r="A655" s="17" t="n">
        <x:f>Summary!B20</x:f>
        <x:v>46478</x:v>
      </x:c>
      <x:c r="B655" s="1" t="str">
        <x:f>'Current inventory'!A25</x:f>
        <x:v>10</x:v>
      </x:c>
      <x:c r="C655" s="1" t="str">
        <x:f>'Current inventory'!B25</x:f>
        <x:v>800BLKE</x:v>
      </x:c>
      <x:c r="D655" s="7" t="n">
        <x:f>A529</x:f>
        <x:v>46447</x:v>
      </x:c>
      <x:c r="E655" s="8" t="n">
        <x:f>L529</x:f>
        <x:v>10915.155975359345</x:v>
      </x:c>
      <x:c r="F655" s="8" t="n">
        <x:f>M529</x:f>
        <x:v>0</x:v>
      </x:c>
      <x:c r="G655" s="8" t="n">
        <x:f>N529</x:f>
        <x:v>0</x:v>
      </x:c>
      <x:c r="H655" s="8" t="n">
        <x:f>SUMIFS('PO detail'!$U$2:$U$672,'PO detail'!$A$2:$A$672,B655,'PO detail'!$B$2:$B$672,C655,'PO detail'!$G$2:$G$672,"&gt;="&amp;D655,'PO detail'!$G$2:$G$672,"&lt;"&amp;A655)</x:f>
        <x:v>0</x:v>
      </x:c>
      <x:c r="I655" s="8" t="n">
        <x:f>SUMIFS('PO detail'!$V$2:$V$672,'PO detail'!$A$2:$A$672,B655,'PO detail'!$B$2:$B$672,C655,'PO detail'!$G$2:$G$672,"&gt;="&amp;D655,'PO detail'!$G$2:$G$672,"&lt;"&amp;A655)</x:f>
        <x:v>0</x:v>
      </x:c>
      <x:c r="J655" s="8" t="n">
        <x:f>SUMIFS('PO detail'!$W$2:$W$672,'PO detail'!$A$2:$A$672,B655,'PO detail'!$B$2:$B$672,C655,'PO detail'!$G$2:$G$672,"&gt;="&amp;D655,'PO detail'!$G$2:$G$672,"&lt;"&amp;A655)</x:f>
        <x:v>0</x:v>
      </x:c>
      <x:c r="K655" s="8" t="n">
        <x:f>'Current inventory'!E25*Summary!$D$6*(A655-D655)/30.4375</x:f>
        <x:v>1767.399753593429</x:v>
      </x:c>
      <x:c r="L655" s="8" t="n">
        <x:f>MAX(0,E655+H655-K655)</x:f>
        <x:v>9147.756221765916</x:v>
      </x:c>
      <x:c r="M655" s="8" t="n">
        <x:f>MAX(0,F655+I655-MAX(0,K655-E655-H655))</x:f>
        <x:v>0</x:v>
      </x:c>
      <x:c r="N655" s="8" t="n">
        <x:f>MAX(0,G655+J655-K655)</x:f>
        <x:v>0</x:v>
      </x:c>
      <x:c r="O655" s="8" t="n">
        <x:f>SUM(L655:N655)</x:f>
        <x:v>9147.756221765916</x:v>
      </x:c>
      <x:c r="P655" s="14" t="n">
        <x:f>'Current inventory'!V25</x:f>
        <x:v>0.90416</x:v>
      </x:c>
      <x:c r="Q655" s="14" t="n">
        <x:f>'Current inventory'!W25</x:f>
        <x:v>0.94479</x:v>
      </x:c>
      <x:c r="R655" s="10" t="n">
        <x:f>L655*P655</x:f>
        <x:v>8271.03526547187</x:v>
      </x:c>
      <x:c r="S655" s="10" t="n">
        <x:f>M655*P655</x:f>
        <x:v>0</x:v>
      </x:c>
      <x:c r="T655" s="10" t="n">
        <x:f>N655*P655</x:f>
        <x:v>0</x:v>
      </x:c>
      <x:c r="U655" s="10" t="n">
        <x:f>O655*P655</x:f>
        <x:v>8271.03526547187</x:v>
      </x:c>
      <x:c r="V655" s="10" t="n">
        <x:f>IF(ISNUMBER(Q655),O655*(Q655-P655),"n.a.")</x:f>
        <x:v>371.67333529034966</x:v>
      </x:c>
      <x:c r="W655" s="10" t="n">
        <x:f>IF(ISNUMBER(Q655),U655,0)</x:f>
        <x:v>8271.03526547187</x:v>
      </x:c>
      <x:c r="X655" s="8" t="n">
        <x:f>MAX(0,K655-SUM(E655:J655))</x:f>
        <x:v>0</x:v>
      </x:c>
      <x:c r="Y655" s="1" t="str">
        <x:f>IF(AND(O655&gt;0,NOT(ISNUMBER(Q655))),"No proposed replacement standard",IF(X655&gt;0,"Demand exceeds available stock",""))</x:f>
      </x:c>
      <x:c r="Z655" s="1" t="n">
        <x:f>IF(ISNUMBER(Q655),1,0)</x:f>
        <x:v>1</x:v>
      </x:c>
    </x:row>
    <x:row r="656" ht="21" customHeight="1">
      <x:c r="A656" s="17" t="n">
        <x:f>Summary!B20</x:f>
        <x:v>46478</x:v>
      </x:c>
      <x:c r="B656" s="1" t="str">
        <x:f>'Current inventory'!A26</x:f>
        <x:v>60</x:v>
      </x:c>
      <x:c r="C656" s="1" t="str">
        <x:f>'Current inventory'!B26</x:f>
        <x:v>800BLKE</x:v>
      </x:c>
      <x:c r="D656" s="7" t="n">
        <x:f>A530</x:f>
        <x:v>46447</x:v>
      </x:c>
      <x:c r="E656" s="8" t="n">
        <x:f>L530</x:f>
        <x:v>7865.905544147843</x:v>
      </x:c>
      <x:c r="F656" s="8" t="n">
        <x:f>M530</x:f>
        <x:v>0</x:v>
      </x:c>
      <x:c r="G656" s="8" t="n">
        <x:f>N530</x:f>
        <x:v>0</x:v>
      </x:c>
      <x:c r="H656" s="8" t="n">
        <x:f>SUMIFS('PO detail'!$U$2:$U$672,'PO detail'!$A$2:$A$672,B656,'PO detail'!$B$2:$B$672,C656,'PO detail'!$G$2:$G$672,"&gt;="&amp;D656,'PO detail'!$G$2:$G$672,"&lt;"&amp;A656)</x:f>
        <x:v>0</x:v>
      </x:c>
      <x:c r="I656" s="8" t="n">
        <x:f>SUMIFS('PO detail'!$V$2:$V$672,'PO detail'!$A$2:$A$672,B656,'PO detail'!$B$2:$B$672,C656,'PO detail'!$G$2:$G$672,"&gt;="&amp;D656,'PO detail'!$G$2:$G$672,"&lt;"&amp;A656)</x:f>
        <x:v>0</x:v>
      </x:c>
      <x:c r="J656" s="8" t="n">
        <x:f>SUMIFS('PO detail'!$W$2:$W$672,'PO detail'!$A$2:$A$672,B656,'PO detail'!$B$2:$B$672,C656,'PO detail'!$G$2:$G$672,"&gt;="&amp;D656,'PO detail'!$G$2:$G$672,"&lt;"&amp;A656)</x:f>
        <x:v>0</x:v>
      </x:c>
      <x:c r="K656" s="8" t="n">
        <x:f>'Current inventory'!E26*Summary!$D$6*(A656-D656)/30.4375</x:f>
        <x:v>1739.0554414784394</x:v>
      </x:c>
      <x:c r="L656" s="8" t="n">
        <x:f>MAX(0,E656+H656-K656)</x:f>
        <x:v>6126.850102669404</x:v>
      </x:c>
      <x:c r="M656" s="8" t="n">
        <x:f>MAX(0,F656+I656-MAX(0,K656-E656-H656))</x:f>
        <x:v>0</x:v>
      </x:c>
      <x:c r="N656" s="8" t="n">
        <x:f>MAX(0,G656+J656-K656)</x:f>
        <x:v>0</x:v>
      </x:c>
      <x:c r="O656" s="8" t="n">
        <x:f>SUM(L656:N656)</x:f>
        <x:v>6126.850102669404</x:v>
      </x:c>
      <x:c r="P656" s="14" t="n">
        <x:f>'Current inventory'!V26</x:f>
        <x:v>0.90416</x:v>
      </x:c>
      <x:c r="Q656" s="14" t="n">
        <x:f>'Current inventory'!W26</x:f>
        <x:v>0.94479</x:v>
      </x:c>
      <x:c r="R656" s="10" t="n">
        <x:f>L656*P656</x:f>
        <x:v>5539.652788829568</x:v>
      </x:c>
      <x:c r="S656" s="10" t="n">
        <x:f>M656*P656</x:f>
        <x:v>0</x:v>
      </x:c>
      <x:c r="T656" s="10" t="n">
        <x:f>N656*P656</x:f>
        <x:v>0</x:v>
      </x:c>
      <x:c r="U656" s="10" t="n">
        <x:f>O656*P656</x:f>
        <x:v>5539.652788829568</x:v>
      </x:c>
      <x:c r="V656" s="10" t="n">
        <x:f>IF(ISNUMBER(Q656),O656*(Q656-P656),"n.a.")</x:f>
        <x:v>248.93391967145823</x:v>
      </x:c>
      <x:c r="W656" s="10" t="n">
        <x:f>IF(ISNUMBER(Q656),U656,0)</x:f>
        <x:v>5539.652788829568</x:v>
      </x:c>
      <x:c r="X656" s="8" t="n">
        <x:f>MAX(0,K656-SUM(E656:J656))</x:f>
        <x:v>0</x:v>
      </x:c>
      <x:c r="Y656" s="1" t="str">
        <x:f>IF(AND(O656&gt;0,NOT(ISNUMBER(Q656))),"No proposed replacement standard",IF(X656&gt;0,"Demand exceeds available stock",""))</x:f>
      </x:c>
      <x:c r="Z656" s="1" t="n">
        <x:f>IF(ISNUMBER(Q656),1,0)</x:f>
        <x:v>1</x:v>
      </x:c>
    </x:row>
    <x:row r="657" ht="21" customHeight="1">
      <x:c r="A657" s="17" t="n">
        <x:f>Summary!B20</x:f>
        <x:v>46478</x:v>
      </x:c>
      <x:c r="B657" s="1" t="str">
        <x:f>'Current inventory'!A27</x:f>
        <x:v>60</x:v>
      </x:c>
      <x:c r="C657" s="1" t="str">
        <x:f>'Current inventory'!B27</x:f>
        <x:v>800BNAVDSC</x:v>
      </x:c>
      <x:c r="D657" s="7" t="n">
        <x:f>A531</x:f>
        <x:v>46447</x:v>
      </x:c>
      <x:c r="E657" s="8" t="n">
        <x:f>L531</x:f>
        <x:v>0</x:v>
      </x:c>
      <x:c r="F657" s="8" t="n">
        <x:f>M531</x:f>
        <x:v>0</x:v>
      </x:c>
      <x:c r="G657" s="8" t="n">
        <x:f>N531</x:f>
        <x:v>0</x:v>
      </x:c>
      <x:c r="H657" s="8" t="n">
        <x:f>SUMIFS('PO detail'!$U$2:$U$672,'PO detail'!$A$2:$A$672,B657,'PO detail'!$B$2:$B$672,C657,'PO detail'!$G$2:$G$672,"&gt;="&amp;D657,'PO detail'!$G$2:$G$672,"&lt;"&amp;A657)</x:f>
        <x:v>0</x:v>
      </x:c>
      <x:c r="I657" s="8" t="n">
        <x:f>SUMIFS('PO detail'!$V$2:$V$672,'PO detail'!$A$2:$A$672,B657,'PO detail'!$B$2:$B$672,C657,'PO detail'!$G$2:$G$672,"&gt;="&amp;D657,'PO detail'!$G$2:$G$672,"&lt;"&amp;A657)</x:f>
        <x:v>0</x:v>
      </x:c>
      <x:c r="J657" s="8" t="n">
        <x:f>SUMIFS('PO detail'!$W$2:$W$672,'PO detail'!$A$2:$A$672,B657,'PO detail'!$B$2:$B$672,C657,'PO detail'!$G$2:$G$672,"&gt;="&amp;D657,'PO detail'!$G$2:$G$672,"&lt;"&amp;A657)</x:f>
        <x:v>0</x:v>
      </x:c>
      <x:c r="K657" s="8" t="n">
        <x:f>'Current inventory'!E27*Summary!$D$6*(A657-D657)/30.4375</x:f>
        <x:v>1629.5687885010268</x:v>
      </x:c>
      <x:c r="L657" s="8" t="n">
        <x:f>MAX(0,E657+H657-K657)</x:f>
        <x:v>0</x:v>
      </x:c>
      <x:c r="M657" s="8" t="n">
        <x:f>MAX(0,F657+I657-MAX(0,K657-E657-H657))</x:f>
        <x:v>0</x:v>
      </x:c>
      <x:c r="N657" s="8" t="n">
        <x:f>MAX(0,G657+J657-K657)</x:f>
        <x:v>0</x:v>
      </x:c>
      <x:c r="O657" s="8" t="n">
        <x:f>SUM(L657:N657)</x:f>
        <x:v>0</x:v>
      </x:c>
      <x:c r="P657" s="14" t="n">
        <x:f>'Current inventory'!V27</x:f>
        <x:v>0.34509999999999996</x:v>
      </x:c>
      <x:c r="Q657" s="14" t="str">
        <x:f>'Current inventory'!W27</x:f>
        <x:v>n.a.</x:v>
      </x:c>
      <x:c r="R657" s="10" t="n">
        <x:f>L657*P657</x:f>
        <x:v>0</x:v>
      </x:c>
      <x:c r="S657" s="10" t="n">
        <x:f>M657*P657</x:f>
        <x:v>0</x:v>
      </x:c>
      <x:c r="T657" s="10" t="n">
        <x:f>N657*P657</x:f>
        <x:v>0</x:v>
      </x:c>
      <x:c r="U657" s="10" t="n">
        <x:f>O657*P657</x:f>
        <x:v>0</x:v>
      </x:c>
      <x:c r="V657" s="10" t="str">
        <x:f>IF(ISNUMBER(Q657),O657*(Q657-P657),"n.a.")</x:f>
        <x:v>n.a.</x:v>
      </x:c>
      <x:c r="W657" s="10" t="n">
        <x:f>IF(ISNUMBER(Q657),U657,0)</x:f>
        <x:v>0</x:v>
      </x:c>
      <x:c r="X657" s="8" t="n">
        <x:f>MAX(0,K657-SUM(E657:J657))</x:f>
        <x:v>1629.5687885010268</x:v>
      </x:c>
      <x:c r="Y657" s="1" t="str">
        <x:f>IF(AND(O657&gt;0,NOT(ISNUMBER(Q657))),"No proposed replacement standard",IF(X657&gt;0,"Demand exceeds available stock",""))</x:f>
        <x:v>Demand exceeds available stock</x:v>
      </x:c>
      <x:c r="Z657" s="1" t="n">
        <x:f>IF(ISNUMBER(Q657),1,0)</x:f>
        <x:v>0</x:v>
      </x:c>
    </x:row>
    <x:row r="658" ht="21" customHeight="1">
      <x:c r="A658" s="17" t="n">
        <x:f>Summary!B20</x:f>
        <x:v>46478</x:v>
      </x:c>
      <x:c r="B658" s="1" t="str">
        <x:f>'Current inventory'!A28</x:f>
        <x:v>10</x:v>
      </x:c>
      <x:c r="C658" s="1" t="str">
        <x:f>'Current inventory'!B28</x:f>
        <x:v>800BNAVDSC</x:v>
      </x:c>
      <x:c r="D658" s="7" t="n">
        <x:f>A532</x:f>
        <x:v>46447</x:v>
      </x:c>
      <x:c r="E658" s="8" t="n">
        <x:f>L532</x:f>
        <x:v>0</x:v>
      </x:c>
      <x:c r="F658" s="8" t="n">
        <x:f>M532</x:f>
        <x:v>0</x:v>
      </x:c>
      <x:c r="G658" s="8" t="n">
        <x:f>N532</x:f>
        <x:v>0</x:v>
      </x:c>
      <x:c r="H658" s="8" t="n">
        <x:f>SUMIFS('PO detail'!$U$2:$U$672,'PO detail'!$A$2:$A$672,B658,'PO detail'!$B$2:$B$672,C658,'PO detail'!$G$2:$G$672,"&gt;="&amp;D658,'PO detail'!$G$2:$G$672,"&lt;"&amp;A658)</x:f>
        <x:v>0</x:v>
      </x:c>
      <x:c r="I658" s="8" t="n">
        <x:f>SUMIFS('PO detail'!$V$2:$V$672,'PO detail'!$A$2:$A$672,B658,'PO detail'!$B$2:$B$672,C658,'PO detail'!$G$2:$G$672,"&gt;="&amp;D658,'PO detail'!$G$2:$G$672,"&lt;"&amp;A658)</x:f>
        <x:v>0</x:v>
      </x:c>
      <x:c r="J658" s="8" t="n">
        <x:f>SUMIFS('PO detail'!$W$2:$W$672,'PO detail'!$A$2:$A$672,B658,'PO detail'!$B$2:$B$672,C658,'PO detail'!$G$2:$G$672,"&gt;="&amp;D658,'PO detail'!$G$2:$G$672,"&lt;"&amp;A658)</x:f>
        <x:v>0</x:v>
      </x:c>
      <x:c r="K658" s="8" t="n">
        <x:f>'Current inventory'!E28*Summary!$D$6*(A658-D658)/30.4375</x:f>
        <x:v>1468.3025872689939</x:v>
      </x:c>
      <x:c r="L658" s="8" t="n">
        <x:f>MAX(0,E658+H658-K658)</x:f>
        <x:v>0</x:v>
      </x:c>
      <x:c r="M658" s="8" t="n">
        <x:f>MAX(0,F658+I658-MAX(0,K658-E658-H658))</x:f>
        <x:v>0</x:v>
      </x:c>
      <x:c r="N658" s="8" t="n">
        <x:f>MAX(0,G658+J658-K658)</x:f>
        <x:v>0</x:v>
      </x:c>
      <x:c r="O658" s="8" t="n">
        <x:f>SUM(L658:N658)</x:f>
        <x:v>0</x:v>
      </x:c>
      <x:c r="P658" s="14" t="n">
        <x:f>'Current inventory'!V28</x:f>
        <x:v>0.34509999999999996</x:v>
      </x:c>
      <x:c r="Q658" s="14" t="str">
        <x:f>'Current inventory'!W28</x:f>
        <x:v>n.a.</x:v>
      </x:c>
      <x:c r="R658" s="10" t="n">
        <x:f>L658*P658</x:f>
        <x:v>0</x:v>
      </x:c>
      <x:c r="S658" s="10" t="n">
        <x:f>M658*P658</x:f>
        <x:v>0</x:v>
      </x:c>
      <x:c r="T658" s="10" t="n">
        <x:f>N658*P658</x:f>
        <x:v>0</x:v>
      </x:c>
      <x:c r="U658" s="10" t="n">
        <x:f>O658*P658</x:f>
        <x:v>0</x:v>
      </x:c>
      <x:c r="V658" s="10" t="str">
        <x:f>IF(ISNUMBER(Q658),O658*(Q658-P658),"n.a.")</x:f>
        <x:v>n.a.</x:v>
      </x:c>
      <x:c r="W658" s="10" t="n">
        <x:f>IF(ISNUMBER(Q658),U658,0)</x:f>
        <x:v>0</x:v>
      </x:c>
      <x:c r="X658" s="8" t="n">
        <x:f>MAX(0,K658-SUM(E658:J658))</x:f>
        <x:v>1468.3025872689939</x:v>
      </x:c>
      <x:c r="Y658" s="1" t="str">
        <x:f>IF(AND(O658&gt;0,NOT(ISNUMBER(Q658))),"No proposed replacement standard",IF(X658&gt;0,"Demand exceeds available stock",""))</x:f>
        <x:v>Demand exceeds available stock</x:v>
      </x:c>
      <x:c r="Z658" s="1" t="n">
        <x:f>IF(ISNUMBER(Q658),1,0)</x:f>
        <x:v>0</x:v>
      </x:c>
    </x:row>
    <x:row r="659" ht="21" customHeight="1">
      <x:c r="A659" s="17" t="n">
        <x:f>Summary!B20</x:f>
        <x:v>46478</x:v>
      </x:c>
      <x:c r="B659" s="1" t="str">
        <x:f>'Current inventory'!A29</x:f>
        <x:v>30</x:v>
      </x:c>
      <x:c r="C659" s="1" t="str">
        <x:f>'Current inventory'!B29</x:f>
        <x:v>800BMARASC</x:v>
      </x:c>
      <x:c r="D659" s="7" t="n">
        <x:f>A533</x:f>
        <x:v>46447</x:v>
      </x:c>
      <x:c r="E659" s="8" t="n">
        <x:f>L533</x:f>
        <x:v>14066.44566735113</x:v>
      </x:c>
      <x:c r="F659" s="8" t="n">
        <x:f>M533</x:f>
        <x:v>0</x:v>
      </x:c>
      <x:c r="G659" s="8" t="n">
        <x:f>N533</x:f>
        <x:v>0</x:v>
      </x:c>
      <x:c r="H659" s="8" t="n">
        <x:f>SUMIFS('PO detail'!$U$2:$U$672,'PO detail'!$A$2:$A$672,B659,'PO detail'!$B$2:$B$672,C659,'PO detail'!$G$2:$G$672,"&gt;="&amp;D659,'PO detail'!$G$2:$G$672,"&lt;"&amp;A659)</x:f>
        <x:v>0</x:v>
      </x:c>
      <x:c r="I659" s="8" t="n">
        <x:f>SUMIFS('PO detail'!$V$2:$V$672,'PO detail'!$A$2:$A$672,B659,'PO detail'!$B$2:$B$672,C659,'PO detail'!$G$2:$G$672,"&gt;="&amp;D659,'PO detail'!$G$2:$G$672,"&lt;"&amp;A659)</x:f>
        <x:v>0</x:v>
      </x:c>
      <x:c r="J659" s="8" t="n">
        <x:f>SUMIFS('PO detail'!$W$2:$W$672,'PO detail'!$A$2:$A$672,B659,'PO detail'!$B$2:$B$672,C659,'PO detail'!$G$2:$G$672,"&gt;="&amp;D659,'PO detail'!$G$2:$G$672,"&lt;"&amp;A659)</x:f>
        <x:v>0</x:v>
      </x:c>
      <x:c r="K659" s="8" t="n">
        <x:f>'Current inventory'!E29*Summary!$D$6*(A659-D659)/30.4375</x:f>
        <x:v>1264.6166735112938</x:v>
      </x:c>
      <x:c r="L659" s="8" t="n">
        <x:f>MAX(0,E659+H659-K659)</x:f>
        <x:v>12801.828993839837</x:v>
      </x:c>
      <x:c r="M659" s="8" t="n">
        <x:f>MAX(0,F659+I659-MAX(0,K659-E659-H659))</x:f>
        <x:v>0</x:v>
      </x:c>
      <x:c r="N659" s="8" t="n">
        <x:f>MAX(0,G659+J659-K659)</x:f>
        <x:v>0</x:v>
      </x:c>
      <x:c r="O659" s="8" t="n">
        <x:f>SUM(L659:N659)</x:f>
        <x:v>12801.828993839837</x:v>
      </x:c>
      <x:c r="P659" s="14" t="n">
        <x:f>'Current inventory'!V29</x:f>
        <x:v>0.1598</x:v>
      </x:c>
      <x:c r="Q659" s="14" t="n">
        <x:f>'Current inventory'!W29</x:f>
        <x:v>0.16695000000000002</x:v>
      </x:c>
      <x:c r="R659" s="10" t="n">
        <x:f>L659*P659</x:f>
        <x:v>2045.732273215606</x:v>
      </x:c>
      <x:c r="S659" s="10" t="n">
        <x:f>M659*P659</x:f>
        <x:v>0</x:v>
      </x:c>
      <x:c r="T659" s="10" t="n">
        <x:f>N659*P659</x:f>
        <x:v>0</x:v>
      </x:c>
      <x:c r="U659" s="10" t="n">
        <x:f>O659*P659</x:f>
        <x:v>2045.732273215606</x:v>
      </x:c>
      <x:c r="V659" s="10" t="n">
        <x:f>IF(ISNUMBER(Q659),O659*(Q659-P659),"n.a.")</x:f>
        <x:v>91.53307730595506</x:v>
      </x:c>
      <x:c r="W659" s="10" t="n">
        <x:f>IF(ISNUMBER(Q659),U659,0)</x:f>
        <x:v>2045.732273215606</x:v>
      </x:c>
      <x:c r="X659" s="8" t="n">
        <x:f>MAX(0,K659-SUM(E659:J659))</x:f>
        <x:v>0</x:v>
      </x:c>
      <x:c r="Y659" s="1" t="str">
        <x:f>IF(AND(O659&gt;0,NOT(ISNUMBER(Q659))),"No proposed replacement standard",IF(X659&gt;0,"Demand exceeds available stock",""))</x:f>
      </x:c>
      <x:c r="Z659" s="1" t="n">
        <x:f>IF(ISNUMBER(Q659),1,0)</x:f>
        <x:v>1</x:v>
      </x:c>
    </x:row>
    <x:row r="660" ht="21" customHeight="1">
      <x:c r="A660" s="17" t="n">
        <x:f>Summary!B20</x:f>
        <x:v>46478</x:v>
      </x:c>
      <x:c r="B660" s="1" t="str">
        <x:f>'Current inventory'!A30</x:f>
        <x:v>60</x:v>
      </x:c>
      <x:c r="C660" s="1" t="str">
        <x:f>'Current inventory'!B30</x:f>
        <x:v>800BNAVBRC</x:v>
      </x:c>
      <x:c r="D660" s="7" t="n">
        <x:f>A534</x:f>
        <x:v>46447</x:v>
      </x:c>
      <x:c r="E660" s="8" t="n">
        <x:f>L534</x:f>
        <x:v>0</x:v>
      </x:c>
      <x:c r="F660" s="8" t="n">
        <x:f>M534</x:f>
        <x:v>0</x:v>
      </x:c>
      <x:c r="G660" s="8" t="n">
        <x:f>N534</x:f>
        <x:v>318.8070636550299</x:v>
      </x:c>
      <x:c r="H660" s="8" t="n">
        <x:f>SUMIFS('PO detail'!$U$2:$U$672,'PO detail'!$A$2:$A$672,B660,'PO detail'!$B$2:$B$672,C660,'PO detail'!$G$2:$G$672,"&gt;="&amp;D660,'PO detail'!$G$2:$G$672,"&lt;"&amp;A660)</x:f>
        <x:v>0</x:v>
      </x:c>
      <x:c r="I660" s="8" t="n">
        <x:f>SUMIFS('PO detail'!$V$2:$V$672,'PO detail'!$A$2:$A$672,B660,'PO detail'!$B$2:$B$672,C660,'PO detail'!$G$2:$G$672,"&gt;="&amp;D660,'PO detail'!$G$2:$G$672,"&lt;"&amp;A660)</x:f>
        <x:v>0</x:v>
      </x:c>
      <x:c r="J660" s="8" t="n">
        <x:f>SUMIFS('PO detail'!$W$2:$W$672,'PO detail'!$A$2:$A$672,B660,'PO detail'!$B$2:$B$672,C660,'PO detail'!$G$2:$G$672,"&gt;="&amp;D660,'PO detail'!$G$2:$G$672,"&lt;"&amp;A660)</x:f>
        <x:v>0</x:v>
      </x:c>
      <x:c r="K660" s="8" t="n">
        <x:f>'Current inventory'!E30*Summary!$D$6*(A660-D660)/30.4375</x:f>
        <x:v>1188.2306365503082</x:v>
      </x:c>
      <x:c r="L660" s="8" t="n">
        <x:f>MAX(0,E660+H660-K660)</x:f>
        <x:v>0</x:v>
      </x:c>
      <x:c r="M660" s="8" t="n">
        <x:f>MAX(0,F660+I660-MAX(0,K660-E660-H660))</x:f>
        <x:v>0</x:v>
      </x:c>
      <x:c r="N660" s="8" t="n">
        <x:f>MAX(0,G660+J660-K660)</x:f>
        <x:v>0</x:v>
      </x:c>
      <x:c r="O660" s="8" t="n">
        <x:f>SUM(L660:N660)</x:f>
        <x:v>0</x:v>
      </x:c>
      <x:c r="P660" s="14" t="n">
        <x:f>'Current inventory'!V30</x:f>
        <x:v>0.17370000000000002</x:v>
      </x:c>
      <x:c r="Q660" s="14" t="str">
        <x:f>'Current inventory'!W30</x:f>
        <x:v>n.a.</x:v>
      </x:c>
      <x:c r="R660" s="10" t="n">
        <x:f>L660*P660</x:f>
        <x:v>0</x:v>
      </x:c>
      <x:c r="S660" s="10" t="n">
        <x:f>M660*P660</x:f>
        <x:v>0</x:v>
      </x:c>
      <x:c r="T660" s="10" t="n">
        <x:f>N660*P660</x:f>
        <x:v>0</x:v>
      </x:c>
      <x:c r="U660" s="10" t="n">
        <x:f>O660*P660</x:f>
        <x:v>0</x:v>
      </x:c>
      <x:c r="V660" s="10" t="str">
        <x:f>IF(ISNUMBER(Q660),O660*(Q660-P660),"n.a.")</x:f>
        <x:v>n.a.</x:v>
      </x:c>
      <x:c r="W660" s="10" t="n">
        <x:f>IF(ISNUMBER(Q660),U660,0)</x:f>
        <x:v>0</x:v>
      </x:c>
      <x:c r="X660" s="8" t="n">
        <x:f>MAX(0,K660-SUM(E660:J660))</x:f>
        <x:v>869.4235728952783</x:v>
      </x:c>
      <x:c r="Y660" s="1" t="str">
        <x:f>IF(AND(O660&gt;0,NOT(ISNUMBER(Q660))),"No proposed replacement standard",IF(X660&gt;0,"Demand exceeds available stock",""))</x:f>
        <x:v>Demand exceeds available stock</x:v>
      </x:c>
      <x:c r="Z660" s="1" t="n">
        <x:f>IF(ISNUMBER(Q660),1,0)</x:f>
        <x:v>0</x:v>
      </x:c>
    </x:row>
    <x:row r="661" ht="21" customHeight="1">
      <x:c r="A661" s="17" t="n">
        <x:f>Summary!B20</x:f>
        <x:v>46478</x:v>
      </x:c>
      <x:c r="B661" s="1" t="str">
        <x:f>'Current inventory'!A31</x:f>
        <x:v>10</x:v>
      </x:c>
      <x:c r="C661" s="1" t="str">
        <x:f>'Current inventory'!B31</x:f>
        <x:v>800BNAVCSC</x:v>
      </x:c>
      <x:c r="D661" s="7" t="n">
        <x:f>A535</x:f>
        <x:v>46447</x:v>
      </x:c>
      <x:c r="E661" s="8" t="n">
        <x:f>L535</x:f>
        <x:v>0</x:v>
      </x:c>
      <x:c r="F661" s="8" t="n">
        <x:f>M535</x:f>
        <x:v>0</x:v>
      </x:c>
      <x:c r="G661" s="8" t="n">
        <x:f>N535</x:f>
        <x:v>0</x:v>
      </x:c>
      <x:c r="H661" s="8" t="n">
        <x:f>SUMIFS('PO detail'!$U$2:$U$672,'PO detail'!$A$2:$A$672,B661,'PO detail'!$B$2:$B$672,C661,'PO detail'!$G$2:$G$672,"&gt;="&amp;D661,'PO detail'!$G$2:$G$672,"&lt;"&amp;A661)</x:f>
        <x:v>0</x:v>
      </x:c>
      <x:c r="I661" s="8" t="n">
        <x:f>SUMIFS('PO detail'!$V$2:$V$672,'PO detail'!$A$2:$A$672,B661,'PO detail'!$B$2:$B$672,C661,'PO detail'!$G$2:$G$672,"&gt;="&amp;D661,'PO detail'!$G$2:$G$672,"&lt;"&amp;A661)</x:f>
        <x:v>0</x:v>
      </x:c>
      <x:c r="J661" s="8" t="n">
        <x:f>SUMIFS('PO detail'!$W$2:$W$672,'PO detail'!$A$2:$A$672,B661,'PO detail'!$B$2:$B$672,C661,'PO detail'!$G$2:$G$672,"&gt;="&amp;D661,'PO detail'!$G$2:$G$672,"&lt;"&amp;A661)</x:f>
        <x:v>0</x:v>
      </x:c>
      <x:c r="K661" s="8" t="n">
        <x:f>'Current inventory'!E31*Summary!$D$6*(A661-D661)/30.4375</x:f>
        <x:v>1103.3504722792607</x:v>
      </x:c>
      <x:c r="L661" s="8" t="n">
        <x:f>MAX(0,E661+H661-K661)</x:f>
        <x:v>0</x:v>
      </x:c>
      <x:c r="M661" s="8" t="n">
        <x:f>MAX(0,F661+I661-MAX(0,K661-E661-H661))</x:f>
        <x:v>0</x:v>
      </x:c>
      <x:c r="N661" s="8" t="n">
        <x:f>MAX(0,G661+J661-K661)</x:f>
        <x:v>0</x:v>
      </x:c>
      <x:c r="O661" s="8" t="n">
        <x:f>SUM(L661:N661)</x:f>
        <x:v>0</x:v>
      </x:c>
      <x:c r="P661" s="14" t="n">
        <x:f>'Current inventory'!V31</x:f>
        <x:v>0.2022</x:v>
      </x:c>
      <x:c r="Q661" s="14" t="str">
        <x:f>'Current inventory'!W31</x:f>
        <x:v>n.a.</x:v>
      </x:c>
      <x:c r="R661" s="10" t="n">
        <x:f>L661*P661</x:f>
        <x:v>0</x:v>
      </x:c>
      <x:c r="S661" s="10" t="n">
        <x:f>M661*P661</x:f>
        <x:v>0</x:v>
      </x:c>
      <x:c r="T661" s="10" t="n">
        <x:f>N661*P661</x:f>
        <x:v>0</x:v>
      </x:c>
      <x:c r="U661" s="10" t="n">
        <x:f>O661*P661</x:f>
        <x:v>0</x:v>
      </x:c>
      <x:c r="V661" s="10" t="str">
        <x:f>IF(ISNUMBER(Q661),O661*(Q661-P661),"n.a.")</x:f>
        <x:v>n.a.</x:v>
      </x:c>
      <x:c r="W661" s="10" t="n">
        <x:f>IF(ISNUMBER(Q661),U661,0)</x:f>
        <x:v>0</x:v>
      </x:c>
      <x:c r="X661" s="8" t="n">
        <x:f>MAX(0,K661-SUM(E661:J661))</x:f>
        <x:v>1103.3504722792607</x:v>
      </x:c>
      <x:c r="Y661" s="1" t="str">
        <x:f>IF(AND(O661&gt;0,NOT(ISNUMBER(Q661))),"No proposed replacement standard",IF(X661&gt;0,"Demand exceeds available stock",""))</x:f>
        <x:v>Demand exceeds available stock</x:v>
      </x:c>
      <x:c r="Z661" s="1" t="n">
        <x:f>IF(ISNUMBER(Q661),1,0)</x:f>
        <x:v>0</x:v>
      </x:c>
    </x:row>
    <x:row r="662" ht="21" customHeight="1">
      <x:c r="A662" s="17" t="n">
        <x:f>Summary!B20</x:f>
        <x:v>46478</x:v>
      </x:c>
      <x:c r="B662" s="1" t="str">
        <x:f>'Current inventory'!A32</x:f>
        <x:v>30</x:v>
      </x:c>
      <x:c r="C662" s="1" t="str">
        <x:f>'Current inventory'!B32</x:f>
        <x:v>800BBLKCSC</x:v>
      </x:c>
      <x:c r="D662" s="7" t="n">
        <x:f>A536</x:f>
        <x:v>46447</x:v>
      </x:c>
      <x:c r="E662" s="8" t="n">
        <x:f>L536</x:f>
        <x:v>0</x:v>
      </x:c>
      <x:c r="F662" s="8" t="n">
        <x:f>M536</x:f>
        <x:v>0</x:v>
      </x:c>
      <x:c r="G662" s="8" t="n">
        <x:f>N536</x:f>
        <x:v>0</x:v>
      </x:c>
      <x:c r="H662" s="8" t="n">
        <x:f>SUMIFS('PO detail'!$U$2:$U$672,'PO detail'!$A$2:$A$672,B662,'PO detail'!$B$2:$B$672,C662,'PO detail'!$G$2:$G$672,"&gt;="&amp;D662,'PO detail'!$G$2:$G$672,"&lt;"&amp;A662)</x:f>
        <x:v>0</x:v>
      </x:c>
      <x:c r="I662" s="8" t="n">
        <x:f>SUMIFS('PO detail'!$V$2:$V$672,'PO detail'!$A$2:$A$672,B662,'PO detail'!$B$2:$B$672,C662,'PO detail'!$G$2:$G$672,"&gt;="&amp;D662,'PO detail'!$G$2:$G$672,"&lt;"&amp;A662)</x:f>
        <x:v>0</x:v>
      </x:c>
      <x:c r="J662" s="8" t="n">
        <x:f>SUMIFS('PO detail'!$W$2:$W$672,'PO detail'!$A$2:$A$672,B662,'PO detail'!$B$2:$B$672,C662,'PO detail'!$G$2:$G$672,"&gt;="&amp;D662,'PO detail'!$G$2:$G$672,"&lt;"&amp;A662)</x:f>
        <x:v>0</x:v>
      </x:c>
      <x:c r="K662" s="8" t="n">
        <x:f>'Current inventory'!E32*Summary!$D$6*(A662-D662)/30.4375</x:f>
        <x:v>959.0725256673511</x:v>
      </x:c>
      <x:c r="L662" s="8" t="n">
        <x:f>MAX(0,E662+H662-K662)</x:f>
        <x:v>0</x:v>
      </x:c>
      <x:c r="M662" s="8" t="n">
        <x:f>MAX(0,F662+I662-MAX(0,K662-E662-H662))</x:f>
        <x:v>0</x:v>
      </x:c>
      <x:c r="N662" s="8" t="n">
        <x:f>MAX(0,G662+J662-K662)</x:f>
        <x:v>0</x:v>
      </x:c>
      <x:c r="O662" s="8" t="n">
        <x:f>SUM(L662:N662)</x:f>
        <x:v>0</x:v>
      </x:c>
      <x:c r="P662" s="14" t="n">
        <x:f>'Current inventory'!V32</x:f>
        <x:v>0.1957</x:v>
      </x:c>
      <x:c r="Q662" s="14" t="str">
        <x:f>'Current inventory'!W32</x:f>
        <x:v>n.a.</x:v>
      </x:c>
      <x:c r="R662" s="10" t="n">
        <x:f>L662*P662</x:f>
        <x:v>0</x:v>
      </x:c>
      <x:c r="S662" s="10" t="n">
        <x:f>M662*P662</x:f>
        <x:v>0</x:v>
      </x:c>
      <x:c r="T662" s="10" t="n">
        <x:f>N662*P662</x:f>
        <x:v>0</x:v>
      </x:c>
      <x:c r="U662" s="10" t="n">
        <x:f>O662*P662</x:f>
        <x:v>0</x:v>
      </x:c>
      <x:c r="V662" s="10" t="str">
        <x:f>IF(ISNUMBER(Q662),O662*(Q662-P662),"n.a.")</x:f>
        <x:v>n.a.</x:v>
      </x:c>
      <x:c r="W662" s="10" t="n">
        <x:f>IF(ISNUMBER(Q662),U662,0)</x:f>
        <x:v>0</x:v>
      </x:c>
      <x:c r="X662" s="8" t="n">
        <x:f>MAX(0,K662-SUM(E662:J662))</x:f>
        <x:v>959.0725256673511</x:v>
      </x:c>
      <x:c r="Y662" s="1" t="str">
        <x:f>IF(AND(O662&gt;0,NOT(ISNUMBER(Q662))),"No proposed replacement standard",IF(X662&gt;0,"Demand exceeds available stock",""))</x:f>
        <x:v>Demand exceeds available stock</x:v>
      </x:c>
      <x:c r="Z662" s="1" t="n">
        <x:f>IF(ISNUMBER(Q662),1,0)</x:f>
        <x:v>0</x:v>
      </x:c>
    </x:row>
    <x:row r="663" ht="21" customHeight="1">
      <x:c r="A663" s="17" t="n">
        <x:f>Summary!B20</x:f>
        <x:v>46478</x:v>
      </x:c>
      <x:c r="B663" s="1" t="str">
        <x:f>'Current inventory'!A33</x:f>
        <x:v>60</x:v>
      </x:c>
      <x:c r="C663" s="1" t="str">
        <x:f>'Current inventory'!B33</x:f>
        <x:v>800BNAVCSC</x:v>
      </x:c>
      <x:c r="D663" s="7" t="n">
        <x:f>A537</x:f>
        <x:v>46447</x:v>
      </x:c>
      <x:c r="E663" s="8" t="n">
        <x:f>L537</x:f>
        <x:v>0</x:v>
      </x:c>
      <x:c r="F663" s="8" t="n">
        <x:f>M537</x:f>
        <x:v>0</x:v>
      </x:c>
      <x:c r="G663" s="8" t="n">
        <x:f>N537</x:f>
        <x:v>241.47843942505142</x:v>
      </x:c>
      <x:c r="H663" s="8" t="n">
        <x:f>SUMIFS('PO detail'!$U$2:$U$672,'PO detail'!$A$2:$A$672,B663,'PO detail'!$B$2:$B$672,C663,'PO detail'!$G$2:$G$672,"&gt;="&amp;D663,'PO detail'!$G$2:$G$672,"&lt;"&amp;A663)</x:f>
        <x:v>0</x:v>
      </x:c>
      <x:c r="I663" s="8" t="n">
        <x:f>SUMIFS('PO detail'!$V$2:$V$672,'PO detail'!$A$2:$A$672,B663,'PO detail'!$B$2:$B$672,C663,'PO detail'!$G$2:$G$672,"&gt;="&amp;D663,'PO detail'!$G$2:$G$672,"&lt;"&amp;A663)</x:f>
        <x:v>0</x:v>
      </x:c>
      <x:c r="J663" s="8" t="n">
        <x:f>SUMIFS('PO detail'!$W$2:$W$672,'PO detail'!$A$2:$A$672,B663,'PO detail'!$B$2:$B$672,C663,'PO detail'!$G$2:$G$672,"&gt;="&amp;D663,'PO detail'!$G$2:$G$672,"&lt;"&amp;A663)</x:f>
        <x:v>0</x:v>
      </x:c>
      <x:c r="K663" s="8" t="n">
        <x:f>'Current inventory'!E33*Summary!$D$6*(A663-D663)/30.4375</x:f>
        <x:v>814.7843942505134</x:v>
      </x:c>
      <x:c r="L663" s="8" t="n">
        <x:f>MAX(0,E663+H663-K663)</x:f>
        <x:v>0</x:v>
      </x:c>
      <x:c r="M663" s="8" t="n">
        <x:f>MAX(0,F663+I663-MAX(0,K663-E663-H663))</x:f>
        <x:v>0</x:v>
      </x:c>
      <x:c r="N663" s="8" t="n">
        <x:f>MAX(0,G663+J663-K663)</x:f>
        <x:v>0</x:v>
      </x:c>
      <x:c r="O663" s="8" t="n">
        <x:f>SUM(L663:N663)</x:f>
        <x:v>0</x:v>
      </x:c>
      <x:c r="P663" s="14" t="n">
        <x:f>'Current inventory'!V33</x:f>
        <x:v>0.2022</x:v>
      </x:c>
      <x:c r="Q663" s="14" t="str">
        <x:f>'Current inventory'!W33</x:f>
        <x:v>n.a.</x:v>
      </x:c>
      <x:c r="R663" s="10" t="n">
        <x:f>L663*P663</x:f>
        <x:v>0</x:v>
      </x:c>
      <x:c r="S663" s="10" t="n">
        <x:f>M663*P663</x:f>
        <x:v>0</x:v>
      </x:c>
      <x:c r="T663" s="10" t="n">
        <x:f>N663*P663</x:f>
        <x:v>0</x:v>
      </x:c>
      <x:c r="U663" s="10" t="n">
        <x:f>O663*P663</x:f>
        <x:v>0</x:v>
      </x:c>
      <x:c r="V663" s="10" t="str">
        <x:f>IF(ISNUMBER(Q663),O663*(Q663-P663),"n.a.")</x:f>
        <x:v>n.a.</x:v>
      </x:c>
      <x:c r="W663" s="10" t="n">
        <x:f>IF(ISNUMBER(Q663),U663,0)</x:f>
        <x:v>0</x:v>
      </x:c>
      <x:c r="X663" s="8" t="n">
        <x:f>MAX(0,K663-SUM(E663:J663))</x:f>
        <x:v>573.305954825462</x:v>
      </x:c>
      <x:c r="Y663" s="1" t="str">
        <x:f>IF(AND(O663&gt;0,NOT(ISNUMBER(Q663))),"No proposed replacement standard",IF(X663&gt;0,"Demand exceeds available stock",""))</x:f>
        <x:v>Demand exceeds available stock</x:v>
      </x:c>
      <x:c r="Z663" s="1" t="n">
        <x:f>IF(ISNUMBER(Q663),1,0)</x:f>
        <x:v>0</x:v>
      </x:c>
    </x:row>
    <x:row r="664" ht="21" customHeight="1">
      <x:c r="A664" s="17" t="n">
        <x:f>Summary!B20</x:f>
        <x:v>46478</x:v>
      </x:c>
      <x:c r="B664" s="1" t="str">
        <x:f>'Current inventory'!A34</x:f>
        <x:v>30</x:v>
      </x:c>
      <x:c r="C664" s="1" t="str">
        <x:f>'Current inventory'!B34</x:f>
        <x:v>800BNAVISC</x:v>
      </x:c>
      <x:c r="D664" s="7" t="n">
        <x:f>A538</x:f>
        <x:v>46447</x:v>
      </x:c>
      <x:c r="E664" s="8" t="n">
        <x:f>L538</x:f>
        <x:v>0</x:v>
      </x:c>
      <x:c r="F664" s="8" t="n">
        <x:f>M538</x:f>
        <x:v>0</x:v>
      </x:c>
      <x:c r="G664" s="8" t="n">
        <x:f>N538</x:f>
        <x:v>0</x:v>
      </x:c>
      <x:c r="H664" s="8" t="n">
        <x:f>SUMIFS('PO detail'!$U$2:$U$672,'PO detail'!$A$2:$A$672,B664,'PO detail'!$B$2:$B$672,C664,'PO detail'!$G$2:$G$672,"&gt;="&amp;D664,'PO detail'!$G$2:$G$672,"&lt;"&amp;A664)</x:f>
        <x:v>0</x:v>
      </x:c>
      <x:c r="I664" s="8" t="n">
        <x:f>SUMIFS('PO detail'!$V$2:$V$672,'PO detail'!$A$2:$A$672,B664,'PO detail'!$B$2:$B$672,C664,'PO detail'!$G$2:$G$672,"&gt;="&amp;D664,'PO detail'!$G$2:$G$672,"&lt;"&amp;A664)</x:f>
        <x:v>0</x:v>
      </x:c>
      <x:c r="J664" s="8" t="n">
        <x:f>SUMIFS('PO detail'!$W$2:$W$672,'PO detail'!$A$2:$A$672,B664,'PO detail'!$B$2:$B$672,C664,'PO detail'!$G$2:$G$672,"&gt;="&amp;D664,'PO detail'!$G$2:$G$672,"&lt;"&amp;A664)</x:f>
        <x:v>0</x:v>
      </x:c>
      <x:c r="K664" s="8" t="n">
        <x:f>'Current inventory'!E34*Summary!$D$6*(A664-D664)/30.4375</x:f>
        <x:v>611.088295687885</x:v>
      </x:c>
      <x:c r="L664" s="8" t="n">
        <x:f>MAX(0,E664+H664-K664)</x:f>
        <x:v>0</x:v>
      </x:c>
      <x:c r="M664" s="8" t="n">
        <x:f>MAX(0,F664+I664-MAX(0,K664-E664-H664))</x:f>
        <x:v>0</x:v>
      </x:c>
      <x:c r="N664" s="8" t="n">
        <x:f>MAX(0,G664+J664-K664)</x:f>
        <x:v>0</x:v>
      </x:c>
      <x:c r="O664" s="8" t="n">
        <x:f>SUM(L664:N664)</x:f>
        <x:v>0</x:v>
      </x:c>
      <x:c r="P664" s="14" t="n">
        <x:f>'Current inventory'!V34</x:f>
        <x:v>0.16870000000000002</x:v>
      </x:c>
      <x:c r="Q664" s="14" t="str">
        <x:f>'Current inventory'!W34</x:f>
        <x:v>n.a.</x:v>
      </x:c>
      <x:c r="R664" s="10" t="n">
        <x:f>L664*P664</x:f>
        <x:v>0</x:v>
      </x:c>
      <x:c r="S664" s="10" t="n">
        <x:f>M664*P664</x:f>
        <x:v>0</x:v>
      </x:c>
      <x:c r="T664" s="10" t="n">
        <x:f>N664*P664</x:f>
        <x:v>0</x:v>
      </x:c>
      <x:c r="U664" s="10" t="n">
        <x:f>O664*P664</x:f>
        <x:v>0</x:v>
      </x:c>
      <x:c r="V664" s="10" t="str">
        <x:f>IF(ISNUMBER(Q664),O664*(Q664-P664),"n.a.")</x:f>
        <x:v>n.a.</x:v>
      </x:c>
      <x:c r="W664" s="10" t="n">
        <x:f>IF(ISNUMBER(Q664),U664,0)</x:f>
        <x:v>0</x:v>
      </x:c>
      <x:c r="X664" s="8" t="n">
        <x:f>MAX(0,K664-SUM(E664:J664))</x:f>
        <x:v>611.088295687885</x:v>
      </x:c>
      <x:c r="Y664" s="1" t="str">
        <x:f>IF(AND(O664&gt;0,NOT(ISNUMBER(Q664))),"No proposed replacement standard",IF(X664&gt;0,"Demand exceeds available stock",""))</x:f>
        <x:v>Demand exceeds available stock</x:v>
      </x:c>
      <x:c r="Z664" s="1" t="n">
        <x:f>IF(ISNUMBER(Q664),1,0)</x:f>
        <x:v>0</x:v>
      </x:c>
    </x:row>
    <x:row r="665" ht="21" customHeight="1">
      <x:c r="A665" s="17" t="n">
        <x:f>Summary!B20</x:f>
        <x:v>46478</x:v>
      </x:c>
      <x:c r="B665" s="1" t="str">
        <x:f>'Current inventory'!A35</x:f>
        <x:v>10</x:v>
      </x:c>
      <x:c r="C665" s="1" t="str">
        <x:f>'Current inventory'!B35</x:f>
        <x:v>800BMARDSC</x:v>
      </x:c>
      <x:c r="D665" s="7" t="n">
        <x:f>A539</x:f>
        <x:v>46447</x:v>
      </x:c>
      <x:c r="E665" s="8" t="n">
        <x:f>L539</x:f>
        <x:v>0</x:v>
      </x:c>
      <x:c r="F665" s="8" t="n">
        <x:f>M539</x:f>
        <x:v>0</x:v>
      </x:c>
      <x:c r="G665" s="8" t="n">
        <x:f>N539</x:f>
        <x:v>0</x:v>
      </x:c>
      <x:c r="H665" s="8" t="n">
        <x:f>SUMIFS('PO detail'!$U$2:$U$672,'PO detail'!$A$2:$A$672,B665,'PO detail'!$B$2:$B$672,C665,'PO detail'!$G$2:$G$672,"&gt;="&amp;D665,'PO detail'!$G$2:$G$672,"&lt;"&amp;A665)</x:f>
        <x:v>0</x:v>
      </x:c>
      <x:c r="I665" s="8" t="n">
        <x:f>SUMIFS('PO detail'!$V$2:$V$672,'PO detail'!$A$2:$A$672,B665,'PO detail'!$B$2:$B$672,C665,'PO detail'!$G$2:$G$672,"&gt;="&amp;D665,'PO detail'!$G$2:$G$672,"&lt;"&amp;A665)</x:f>
        <x:v>0</x:v>
      </x:c>
      <x:c r="J665" s="8" t="n">
        <x:f>SUMIFS('PO detail'!$W$2:$W$672,'PO detail'!$A$2:$A$672,B665,'PO detail'!$B$2:$B$672,C665,'PO detail'!$G$2:$G$672,"&gt;="&amp;D665,'PO detail'!$G$2:$G$672,"&lt;"&amp;A665)</x:f>
        <x:v>0</x:v>
      </x:c>
      <x:c r="K665" s="8" t="n">
        <x:f>'Current inventory'!E35*Summary!$D$6*(A665-D665)/30.4375</x:f>
        <x:v>466.81034907597535</x:v>
      </x:c>
      <x:c r="L665" s="8" t="n">
        <x:f>MAX(0,E665+H665-K665)</x:f>
        <x:v>0</x:v>
      </x:c>
      <x:c r="M665" s="8" t="n">
        <x:f>MAX(0,F665+I665-MAX(0,K665-E665-H665))</x:f>
        <x:v>0</x:v>
      </x:c>
      <x:c r="N665" s="8" t="n">
        <x:f>MAX(0,G665+J665-K665)</x:f>
        <x:v>0</x:v>
      </x:c>
      <x:c r="O665" s="8" t="n">
        <x:f>SUM(L665:N665)</x:f>
        <x:v>0</x:v>
      </x:c>
      <x:c r="P665" s="14" t="n">
        <x:f>'Current inventory'!V35</x:f>
        <x:v>0.3998</x:v>
      </x:c>
      <x:c r="Q665" s="14" t="str">
        <x:f>'Current inventory'!W35</x:f>
        <x:v>n.a.</x:v>
      </x:c>
      <x:c r="R665" s="10" t="n">
        <x:f>L665*P665</x:f>
        <x:v>0</x:v>
      </x:c>
      <x:c r="S665" s="10" t="n">
        <x:f>M665*P665</x:f>
        <x:v>0</x:v>
      </x:c>
      <x:c r="T665" s="10" t="n">
        <x:f>N665*P665</x:f>
        <x:v>0</x:v>
      </x:c>
      <x:c r="U665" s="10" t="n">
        <x:f>O665*P665</x:f>
        <x:v>0</x:v>
      </x:c>
      <x:c r="V665" s="10" t="str">
        <x:f>IF(ISNUMBER(Q665),O665*(Q665-P665),"n.a.")</x:f>
        <x:v>n.a.</x:v>
      </x:c>
      <x:c r="W665" s="10" t="n">
        <x:f>IF(ISNUMBER(Q665),U665,0)</x:f>
        <x:v>0</x:v>
      </x:c>
      <x:c r="X665" s="8" t="n">
        <x:f>MAX(0,K665-SUM(E665:J665))</x:f>
        <x:v>466.81034907597535</x:v>
      </x:c>
      <x:c r="Y665" s="1" t="str">
        <x:f>IF(AND(O665&gt;0,NOT(ISNUMBER(Q665))),"No proposed replacement standard",IF(X665&gt;0,"Demand exceeds available stock",""))</x:f>
        <x:v>Demand exceeds available stock</x:v>
      </x:c>
      <x:c r="Z665" s="1" t="n">
        <x:f>IF(ISNUMBER(Q665),1,0)</x:f>
        <x:v>0</x:v>
      </x:c>
    </x:row>
    <x:row r="666" ht="21" customHeight="1">
      <x:c r="A666" s="17" t="n">
        <x:f>Summary!B20</x:f>
        <x:v>46478</x:v>
      </x:c>
      <x:c r="B666" s="1" t="str">
        <x:f>'Current inventory'!A36</x:f>
        <x:v>10</x:v>
      </x:c>
      <x:c r="C666" s="1" t="str">
        <x:f>'Current inventory'!B36</x:f>
        <x:v>800BMARISC</x:v>
      </x:c>
      <x:c r="D666" s="7" t="n">
        <x:f>A540</x:f>
        <x:v>46447</x:v>
      </x:c>
      <x:c r="E666" s="8" t="n">
        <x:f>L540</x:f>
        <x:v>0</x:v>
      </x:c>
      <x:c r="F666" s="8" t="n">
        <x:f>M540</x:f>
        <x:v>0</x:v>
      </x:c>
      <x:c r="G666" s="8" t="n">
        <x:f>N540</x:f>
        <x:v>0</x:v>
      </x:c>
      <x:c r="H666" s="8" t="n">
        <x:f>SUMIFS('PO detail'!$U$2:$U$672,'PO detail'!$A$2:$A$672,B666,'PO detail'!$B$2:$B$672,C666,'PO detail'!$G$2:$G$672,"&gt;="&amp;D666,'PO detail'!$G$2:$G$672,"&lt;"&amp;A666)</x:f>
        <x:v>0</x:v>
      </x:c>
      <x:c r="I666" s="8" t="n">
        <x:f>SUMIFS('PO detail'!$V$2:$V$672,'PO detail'!$A$2:$A$672,B666,'PO detail'!$B$2:$B$672,C666,'PO detail'!$G$2:$G$672,"&gt;="&amp;D666,'PO detail'!$G$2:$G$672,"&lt;"&amp;A666)</x:f>
        <x:v>0</x:v>
      </x:c>
      <x:c r="J666" s="8" t="n">
        <x:f>SUMIFS('PO detail'!$W$2:$W$672,'PO detail'!$A$2:$A$672,B666,'PO detail'!$B$2:$B$672,C666,'PO detail'!$G$2:$G$672,"&gt;="&amp;D666,'PO detail'!$G$2:$G$672,"&lt;"&amp;A666)</x:f>
        <x:v>0</x:v>
      </x:c>
      <x:c r="K666" s="8" t="n">
        <x:f>'Current inventory'!E36*Summary!$D$6*(A666-D666)/30.4375</x:f>
        <x:v>458.3162217659138</x:v>
      </x:c>
      <x:c r="L666" s="8" t="n">
        <x:f>MAX(0,E666+H666-K666)</x:f>
        <x:v>0</x:v>
      </x:c>
      <x:c r="M666" s="8" t="n">
        <x:f>MAX(0,F666+I666-MAX(0,K666-E666-H666))</x:f>
        <x:v>0</x:v>
      </x:c>
      <x:c r="N666" s="8" t="n">
        <x:f>MAX(0,G666+J666-K666)</x:f>
        <x:v>0</x:v>
      </x:c>
      <x:c r="O666" s="8" t="n">
        <x:f>SUM(L666:N666)</x:f>
        <x:v>0</x:v>
      </x:c>
      <x:c r="P666" s="14" t="n">
        <x:f>'Current inventory'!V36</x:f>
        <x:v>0.1946</x:v>
      </x:c>
      <x:c r="Q666" s="14" t="str">
        <x:f>'Current inventory'!W36</x:f>
        <x:v>n.a.</x:v>
      </x:c>
      <x:c r="R666" s="10" t="n">
        <x:f>L666*P666</x:f>
        <x:v>0</x:v>
      </x:c>
      <x:c r="S666" s="10" t="n">
        <x:f>M666*P666</x:f>
        <x:v>0</x:v>
      </x:c>
      <x:c r="T666" s="10" t="n">
        <x:f>N666*P666</x:f>
        <x:v>0</x:v>
      </x:c>
      <x:c r="U666" s="10" t="n">
        <x:f>O666*P666</x:f>
        <x:v>0</x:v>
      </x:c>
      <x:c r="V666" s="10" t="str">
        <x:f>IF(ISNUMBER(Q666),O666*(Q666-P666),"n.a.")</x:f>
        <x:v>n.a.</x:v>
      </x:c>
      <x:c r="W666" s="10" t="n">
        <x:f>IF(ISNUMBER(Q666),U666,0)</x:f>
        <x:v>0</x:v>
      </x:c>
      <x:c r="X666" s="8" t="n">
        <x:f>MAX(0,K666-SUM(E666:J666))</x:f>
        <x:v>458.3162217659138</x:v>
      </x:c>
      <x:c r="Y666" s="1" t="str">
        <x:f>IF(AND(O666&gt;0,NOT(ISNUMBER(Q666))),"No proposed replacement standard",IF(X666&gt;0,"Demand exceeds available stock",""))</x:f>
        <x:v>Demand exceeds available stock</x:v>
      </x:c>
      <x:c r="Z666" s="1" t="n">
        <x:f>IF(ISNUMBER(Q666),1,0)</x:f>
        <x:v>0</x:v>
      </x:c>
    </x:row>
    <x:row r="667" ht="21" customHeight="1">
      <x:c r="A667" s="17" t="n">
        <x:f>Summary!B20</x:f>
        <x:v>46478</x:v>
      </x:c>
      <x:c r="B667" s="1" t="str">
        <x:f>'Current inventory'!A37</x:f>
        <x:v>30</x:v>
      </x:c>
      <x:c r="C667" s="1" t="str">
        <x:f>'Current inventory'!B37</x:f>
        <x:v>800BNAVBRC</x:v>
      </x:c>
      <x:c r="D667" s="7" t="n">
        <x:f>A541</x:f>
        <x:v>46447</x:v>
      </x:c>
      <x:c r="E667" s="8" t="n">
        <x:f>L541</x:f>
        <x:v>0</x:v>
      </x:c>
      <x:c r="F667" s="8" t="n">
        <x:f>M541</x:f>
        <x:v>0</x:v>
      </x:c>
      <x:c r="G667" s="8" t="n">
        <x:f>N541</x:f>
        <x:v>0</x:v>
      </x:c>
      <x:c r="H667" s="8" t="n">
        <x:f>SUMIFS('PO detail'!$U$2:$U$672,'PO detail'!$A$2:$A$672,B667,'PO detail'!$B$2:$B$672,C667,'PO detail'!$G$2:$G$672,"&gt;="&amp;D667,'PO detail'!$G$2:$G$672,"&lt;"&amp;A667)</x:f>
        <x:v>0</x:v>
      </x:c>
      <x:c r="I667" s="8" t="n">
        <x:f>SUMIFS('PO detail'!$V$2:$V$672,'PO detail'!$A$2:$A$672,B667,'PO detail'!$B$2:$B$672,C667,'PO detail'!$G$2:$G$672,"&gt;="&amp;D667,'PO detail'!$G$2:$G$672,"&lt;"&amp;A667)</x:f>
        <x:v>0</x:v>
      </x:c>
      <x:c r="J667" s="8" t="n">
        <x:f>SUMIFS('PO detail'!$W$2:$W$672,'PO detail'!$A$2:$A$672,B667,'PO detail'!$B$2:$B$672,C667,'PO detail'!$G$2:$G$672,"&gt;="&amp;D667,'PO detail'!$G$2:$G$672,"&lt;"&amp;A667)</x:f>
        <x:v>0</x:v>
      </x:c>
      <x:c r="K667" s="8" t="n">
        <x:f>'Current inventory'!E37*Summary!$D$6*(A667-D667)/30.4375</x:f>
        <x:v>407.3921971252567</x:v>
      </x:c>
      <x:c r="L667" s="8" t="n">
        <x:f>MAX(0,E667+H667-K667)</x:f>
        <x:v>0</x:v>
      </x:c>
      <x:c r="M667" s="8" t="n">
        <x:f>MAX(0,F667+I667-MAX(0,K667-E667-H667))</x:f>
        <x:v>0</x:v>
      </x:c>
      <x:c r="N667" s="8" t="n">
        <x:f>MAX(0,G667+J667-K667)</x:f>
        <x:v>0</x:v>
      </x:c>
      <x:c r="O667" s="8" t="n">
        <x:f>SUM(L667:N667)</x:f>
        <x:v>0</x:v>
      </x:c>
      <x:c r="P667" s="14" t="n">
        <x:f>'Current inventory'!V37</x:f>
        <x:v>0.17370000000000002</x:v>
      </x:c>
      <x:c r="Q667" s="14" t="str">
        <x:f>'Current inventory'!W37</x:f>
        <x:v>n.a.</x:v>
      </x:c>
      <x:c r="R667" s="10" t="n">
        <x:f>L667*P667</x:f>
        <x:v>0</x:v>
      </x:c>
      <x:c r="S667" s="10" t="n">
        <x:f>M667*P667</x:f>
        <x:v>0</x:v>
      </x:c>
      <x:c r="T667" s="10" t="n">
        <x:f>N667*P667</x:f>
        <x:v>0</x:v>
      </x:c>
      <x:c r="U667" s="10" t="n">
        <x:f>O667*P667</x:f>
        <x:v>0</x:v>
      </x:c>
      <x:c r="V667" s="10" t="str">
        <x:f>IF(ISNUMBER(Q667),O667*(Q667-P667),"n.a.")</x:f>
        <x:v>n.a.</x:v>
      </x:c>
      <x:c r="W667" s="10" t="n">
        <x:f>IF(ISNUMBER(Q667),U667,0)</x:f>
        <x:v>0</x:v>
      </x:c>
      <x:c r="X667" s="8" t="n">
        <x:f>MAX(0,K667-SUM(E667:J667))</x:f>
        <x:v>407.3921971252567</x:v>
      </x:c>
      <x:c r="Y667" s="1" t="str">
        <x:f>IF(AND(O667&gt;0,NOT(ISNUMBER(Q667))),"No proposed replacement standard",IF(X667&gt;0,"Demand exceeds available stock",""))</x:f>
        <x:v>Demand exceeds available stock</x:v>
      </x:c>
      <x:c r="Z667" s="1" t="n">
        <x:f>IF(ISNUMBER(Q667),1,0)</x:f>
        <x:v>0</x:v>
      </x:c>
    </x:row>
    <x:row r="668" ht="21" customHeight="1">
      <x:c r="A668" s="17" t="n">
        <x:f>Summary!B20</x:f>
        <x:v>46478</x:v>
      </x:c>
      <x:c r="B668" s="1" t="str">
        <x:f>'Current inventory'!A38</x:f>
        <x:v>10</x:v>
      </x:c>
      <x:c r="C668" s="1" t="str">
        <x:f>'Current inventory'!B38</x:f>
        <x:v>800BMARBRC</x:v>
      </x:c>
      <x:c r="D668" s="7" t="n">
        <x:f>A542</x:f>
        <x:v>46447</x:v>
      </x:c>
      <x:c r="E668" s="8" t="n">
        <x:f>L542</x:f>
        <x:v>0</x:v>
      </x:c>
      <x:c r="F668" s="8" t="n">
        <x:f>M542</x:f>
        <x:v>0</x:v>
      </x:c>
      <x:c r="G668" s="8" t="n">
        <x:f>N542</x:f>
        <x:v>1638.1930184804928</x:v>
      </x:c>
      <x:c r="H668" s="8" t="n">
        <x:f>SUMIFS('PO detail'!$U$2:$U$672,'PO detail'!$A$2:$A$672,B668,'PO detail'!$B$2:$B$672,C668,'PO detail'!$G$2:$G$672,"&gt;="&amp;D668,'PO detail'!$G$2:$G$672,"&lt;"&amp;A668)</x:f>
        <x:v>0</x:v>
      </x:c>
      <x:c r="I668" s="8" t="n">
        <x:f>SUMIFS('PO detail'!$V$2:$V$672,'PO detail'!$A$2:$A$672,B668,'PO detail'!$B$2:$B$672,C668,'PO detail'!$G$2:$G$672,"&gt;="&amp;D668,'PO detail'!$G$2:$G$672,"&lt;"&amp;A668)</x:f>
        <x:v>0</x:v>
      </x:c>
      <x:c r="J668" s="8" t="n">
        <x:f>SUMIFS('PO detail'!$W$2:$W$672,'PO detail'!$A$2:$A$672,B668,'PO detail'!$B$2:$B$672,C668,'PO detail'!$G$2:$G$672,"&gt;="&amp;D668,'PO detail'!$G$2:$G$672,"&lt;"&amp;A668)</x:f>
        <x:v>0</x:v>
      </x:c>
      <x:c r="K668" s="8" t="n">
        <x:f>'Current inventory'!E38*Summary!$D$6*(A668-D668)/30.4375</x:f>
        <x:v>381.9301848049281</x:v>
      </x:c>
      <x:c r="L668" s="8" t="n">
        <x:f>MAX(0,E668+H668-K668)</x:f>
        <x:v>0</x:v>
      </x:c>
      <x:c r="M668" s="8" t="n">
        <x:f>MAX(0,F668+I668-MAX(0,K668-E668-H668))</x:f>
        <x:v>0</x:v>
      </x:c>
      <x:c r="N668" s="8" t="n">
        <x:f>MAX(0,G668+J668-K668)</x:f>
        <x:v>1256.2628336755647</x:v>
      </x:c>
      <x:c r="O668" s="8" t="n">
        <x:f>SUM(L668:N668)</x:f>
        <x:v>1256.2628336755647</x:v>
      </x:c>
      <x:c r="P668" s="14" t="n">
        <x:f>'Current inventory'!V38</x:f>
        <x:v>0.1996</x:v>
      </x:c>
      <x:c r="Q668" s="14" t="str">
        <x:f>'Current inventory'!W38</x:f>
        <x:v>n.a.</x:v>
      </x:c>
      <x:c r="R668" s="10" t="n">
        <x:f>L668*P668</x:f>
        <x:v>0</x:v>
      </x:c>
      <x:c r="S668" s="10" t="n">
        <x:f>M668*P668</x:f>
        <x:v>0</x:v>
      </x:c>
      <x:c r="T668" s="10" t="n">
        <x:f>N668*P668</x:f>
        <x:v>250.75006160164273</x:v>
      </x:c>
      <x:c r="U668" s="10" t="n">
        <x:f>O668*P668</x:f>
        <x:v>250.75006160164273</x:v>
      </x:c>
      <x:c r="V668" s="10" t="str">
        <x:f>IF(ISNUMBER(Q668),O668*(Q668-P668),"n.a.")</x:f>
        <x:v>n.a.</x:v>
      </x:c>
      <x:c r="W668" s="10" t="n">
        <x:f>IF(ISNUMBER(Q668),U668,0)</x:f>
        <x:v>0</x:v>
      </x:c>
      <x:c r="X668" s="8" t="n">
        <x:f>MAX(0,K668-SUM(E668:J668))</x:f>
        <x:v>0</x:v>
      </x:c>
      <x:c r="Y668" s="1" t="str">
        <x:f>IF(AND(O668&gt;0,NOT(ISNUMBER(Q668))),"No proposed replacement standard",IF(X668&gt;0,"Demand exceeds available stock",""))</x:f>
        <x:v>No proposed replacement standard</x:v>
      </x:c>
      <x:c r="Z668" s="1" t="n">
        <x:f>IF(ISNUMBER(Q668),1,0)</x:f>
        <x:v>0</x:v>
      </x:c>
    </x:row>
    <x:row r="669" ht="21" customHeight="1">
      <x:c r="A669" s="17" t="n">
        <x:f>Summary!B20</x:f>
        <x:v>46478</x:v>
      </x:c>
      <x:c r="B669" s="1" t="str">
        <x:f>'Current inventory'!A39</x:f>
        <x:v>30</x:v>
      </x:c>
      <x:c r="C669" s="1" t="str">
        <x:f>'Current inventory'!B39</x:f>
        <x:v>800BBLKBRC</x:v>
      </x:c>
      <x:c r="D669" s="7" t="n">
        <x:f>A543</x:f>
        <x:v>46447</x:v>
      </x:c>
      <x:c r="E669" s="8" t="n">
        <x:f>L543</x:f>
        <x:v>0</x:v>
      </x:c>
      <x:c r="F669" s="8" t="n">
        <x:f>M543</x:f>
        <x:v>0</x:v>
      </x:c>
      <x:c r="G669" s="8" t="n">
        <x:f>N543</x:f>
        <x:v>960.3696098562629</x:v>
      </x:c>
      <x:c r="H669" s="8" t="n">
        <x:f>SUMIFS('PO detail'!$U$2:$U$672,'PO detail'!$A$2:$A$672,B669,'PO detail'!$B$2:$B$672,C669,'PO detail'!$G$2:$G$672,"&gt;="&amp;D669,'PO detail'!$G$2:$G$672,"&lt;"&amp;A669)</x:f>
        <x:v>0</x:v>
      </x:c>
      <x:c r="I669" s="8" t="n">
        <x:f>SUMIFS('PO detail'!$V$2:$V$672,'PO detail'!$A$2:$A$672,B669,'PO detail'!$B$2:$B$672,C669,'PO detail'!$G$2:$G$672,"&gt;="&amp;D669,'PO detail'!$G$2:$G$672,"&lt;"&amp;A669)</x:f>
        <x:v>0</x:v>
      </x:c>
      <x:c r="J669" s="8" t="n">
        <x:f>SUMIFS('PO detail'!$W$2:$W$672,'PO detail'!$A$2:$A$672,B669,'PO detail'!$B$2:$B$672,C669,'PO detail'!$G$2:$G$672,"&gt;="&amp;D669,'PO detail'!$G$2:$G$672,"&lt;"&amp;A669)</x:f>
        <x:v>0</x:v>
      </x:c>
      <x:c r="K669" s="8" t="n">
        <x:f>'Current inventory'!E39*Summary!$D$6*(A669-D669)/30.4375</x:f>
        <x:v>203.69609856262835</x:v>
      </x:c>
      <x:c r="L669" s="8" t="n">
        <x:f>MAX(0,E669+H669-K669)</x:f>
        <x:v>0</x:v>
      </x:c>
      <x:c r="M669" s="8" t="n">
        <x:f>MAX(0,F669+I669-MAX(0,K669-E669-H669))</x:f>
        <x:v>0</x:v>
      </x:c>
      <x:c r="N669" s="8" t="n">
        <x:f>MAX(0,G669+J669-K669)</x:f>
        <x:v>756.6735112936345</x:v>
      </x:c>
      <x:c r="O669" s="8" t="n">
        <x:f>SUM(L669:N669)</x:f>
        <x:v>756.6735112936345</x:v>
      </x:c>
      <x:c r="P669" s="14" t="n">
        <x:f>'Current inventory'!V39</x:f>
        <x:v>0.16829999999999998</x:v>
      </x:c>
      <x:c r="Q669" s="14" t="str">
        <x:f>'Current inventory'!W39</x:f>
        <x:v>n.a.</x:v>
      </x:c>
      <x:c r="R669" s="10" t="n">
        <x:f>L669*P669</x:f>
        <x:v>0</x:v>
      </x:c>
      <x:c r="S669" s="10" t="n">
        <x:f>M669*P669</x:f>
        <x:v>0</x:v>
      </x:c>
      <x:c r="T669" s="10" t="n">
        <x:f>N669*P669</x:f>
        <x:v>127.34815195071867</x:v>
      </x:c>
      <x:c r="U669" s="10" t="n">
        <x:f>O669*P669</x:f>
        <x:v>127.34815195071867</x:v>
      </x:c>
      <x:c r="V669" s="10" t="str">
        <x:f>IF(ISNUMBER(Q669),O669*(Q669-P669),"n.a.")</x:f>
        <x:v>n.a.</x:v>
      </x:c>
      <x:c r="W669" s="10" t="n">
        <x:f>IF(ISNUMBER(Q669),U669,0)</x:f>
        <x:v>0</x:v>
      </x:c>
      <x:c r="X669" s="8" t="n">
        <x:f>MAX(0,K669-SUM(E669:J669))</x:f>
        <x:v>0</x:v>
      </x:c>
      <x:c r="Y669" s="1" t="str">
        <x:f>IF(AND(O669&gt;0,NOT(ISNUMBER(Q669))),"No proposed replacement standard",IF(X669&gt;0,"Demand exceeds available stock",""))</x:f>
        <x:v>No proposed replacement standard</x:v>
      </x:c>
      <x:c r="Z669" s="1" t="n">
        <x:f>IF(ISNUMBER(Q669),1,0)</x:f>
        <x:v>0</x:v>
      </x:c>
    </x:row>
    <x:row r="670" ht="21" customHeight="1">
      <x:c r="A670" s="17" t="n">
        <x:f>Summary!B20</x:f>
        <x:v>46478</x:v>
      </x:c>
      <x:c r="B670" s="1" t="str">
        <x:f>'Current inventory'!A40</x:f>
        <x:v>30</x:v>
      </x:c>
      <x:c r="C670" s="1" t="str">
        <x:f>'Current inventory'!B40</x:f>
        <x:v>800BNAVCSC</x:v>
      </x:c>
      <x:c r="D670" s="7" t="n">
        <x:f>A544</x:f>
        <x:v>46447</x:v>
      </x:c>
      <x:c r="E670" s="8" t="n">
        <x:f>L544</x:f>
        <x:v>0</x:v>
      </x:c>
      <x:c r="F670" s="8" t="n">
        <x:f>M544</x:f>
        <x:v>0</x:v>
      </x:c>
      <x:c r="G670" s="8" t="n">
        <x:f>N544</x:f>
        <x:v>0</x:v>
      </x:c>
      <x:c r="H670" s="8" t="n">
        <x:f>SUMIFS('PO detail'!$U$2:$U$672,'PO detail'!$A$2:$A$672,B670,'PO detail'!$B$2:$B$672,C670,'PO detail'!$G$2:$G$672,"&gt;="&amp;D670,'PO detail'!$G$2:$G$672,"&lt;"&amp;A670)</x:f>
        <x:v>0</x:v>
      </x:c>
      <x:c r="I670" s="8" t="n">
        <x:f>SUMIFS('PO detail'!$V$2:$V$672,'PO detail'!$A$2:$A$672,B670,'PO detail'!$B$2:$B$672,C670,'PO detail'!$G$2:$G$672,"&gt;="&amp;D670,'PO detail'!$G$2:$G$672,"&lt;"&amp;A670)</x:f>
        <x:v>0</x:v>
      </x:c>
      <x:c r="J670" s="8" t="n">
        <x:f>SUMIFS('PO detail'!$W$2:$W$672,'PO detail'!$A$2:$A$672,B670,'PO detail'!$B$2:$B$672,C670,'PO detail'!$G$2:$G$672,"&gt;="&amp;D670,'PO detail'!$G$2:$G$672,"&lt;"&amp;A670)</x:f>
        <x:v>0</x:v>
      </x:c>
      <x:c r="K670" s="8" t="n">
        <x:f>'Current inventory'!E40*Summary!$D$6*(A670-D670)/30.4375</x:f>
        <x:v>186.7180287474333</x:v>
      </x:c>
      <x:c r="L670" s="8" t="n">
        <x:f>MAX(0,E670+H670-K670)</x:f>
        <x:v>0</x:v>
      </x:c>
      <x:c r="M670" s="8" t="n">
        <x:f>MAX(0,F670+I670-MAX(0,K670-E670-H670))</x:f>
        <x:v>0</x:v>
      </x:c>
      <x:c r="N670" s="8" t="n">
        <x:f>MAX(0,G670+J670-K670)</x:f>
        <x:v>0</x:v>
      </x:c>
      <x:c r="O670" s="8" t="n">
        <x:f>SUM(L670:N670)</x:f>
        <x:v>0</x:v>
      </x:c>
      <x:c r="P670" s="14" t="n">
        <x:f>'Current inventory'!V40</x:f>
        <x:v>0.2022</x:v>
      </x:c>
      <x:c r="Q670" s="14" t="str">
        <x:f>'Current inventory'!W40</x:f>
        <x:v>n.a.</x:v>
      </x:c>
      <x:c r="R670" s="10" t="n">
        <x:f>L670*P670</x:f>
        <x:v>0</x:v>
      </x:c>
      <x:c r="S670" s="10" t="n">
        <x:f>M670*P670</x:f>
        <x:v>0</x:v>
      </x:c>
      <x:c r="T670" s="10" t="n">
        <x:f>N670*P670</x:f>
        <x:v>0</x:v>
      </x:c>
      <x:c r="U670" s="10" t="n">
        <x:f>O670*P670</x:f>
        <x:v>0</x:v>
      </x:c>
      <x:c r="V670" s="10" t="str">
        <x:f>IF(ISNUMBER(Q670),O670*(Q670-P670),"n.a.")</x:f>
        <x:v>n.a.</x:v>
      </x:c>
      <x:c r="W670" s="10" t="n">
        <x:f>IF(ISNUMBER(Q670),U670,0)</x:f>
        <x:v>0</x:v>
      </x:c>
      <x:c r="X670" s="8" t="n">
        <x:f>MAX(0,K670-SUM(E670:J670))</x:f>
        <x:v>186.7180287474333</x:v>
      </x:c>
      <x:c r="Y670" s="1" t="str">
        <x:f>IF(AND(O670&gt;0,NOT(ISNUMBER(Q670))),"No proposed replacement standard",IF(X670&gt;0,"Demand exceeds available stock",""))</x:f>
        <x:v>Demand exceeds available stock</x:v>
      </x:c>
      <x:c r="Z670" s="1" t="n">
        <x:f>IF(ISNUMBER(Q670),1,0)</x:f>
        <x:v>0</x:v>
      </x:c>
    </x:row>
    <x:row r="671" ht="21" customHeight="1">
      <x:c r="A671" s="17" t="n">
        <x:f>Summary!B20</x:f>
        <x:v>46478</x:v>
      </x:c>
      <x:c r="B671" s="1" t="str">
        <x:f>'Current inventory'!A41</x:f>
        <x:v>10</x:v>
      </x:c>
      <x:c r="C671" s="1" t="str">
        <x:f>'Current inventory'!B41</x:f>
        <x:v>800MARE</x:v>
      </x:c>
      <x:c r="D671" s="7" t="n">
        <x:f>A545</x:f>
        <x:v>46447</x:v>
      </x:c>
      <x:c r="E671" s="8" t="n">
        <x:f>L545</x:f>
        <x:v>356.3674743326487</x:v>
      </x:c>
      <x:c r="F671" s="8" t="n">
        <x:f>M545</x:f>
        <x:v>2500</x:v>
      </x:c>
      <x:c r="G671" s="8" t="n">
        <x:f>N545</x:f>
        <x:v>0</x:v>
      </x:c>
      <x:c r="H671" s="8" t="n">
        <x:f>SUMIFS('PO detail'!$U$2:$U$672,'PO detail'!$A$2:$A$672,B671,'PO detail'!$B$2:$B$672,C671,'PO detail'!$G$2:$G$672,"&gt;="&amp;D671,'PO detail'!$G$2:$G$672,"&lt;"&amp;A671)</x:f>
        <x:v>0</x:v>
      </x:c>
      <x:c r="I671" s="8" t="n">
        <x:f>SUMIFS('PO detail'!$V$2:$V$672,'PO detail'!$A$2:$A$672,B671,'PO detail'!$B$2:$B$672,C671,'PO detail'!$G$2:$G$672,"&gt;="&amp;D671,'PO detail'!$G$2:$G$672,"&lt;"&amp;A671)</x:f>
        <x:v>0</x:v>
      </x:c>
      <x:c r="J671" s="8" t="n">
        <x:f>SUMIFS('PO detail'!$W$2:$W$672,'PO detail'!$A$2:$A$672,B671,'PO detail'!$B$2:$B$672,C671,'PO detail'!$G$2:$G$672,"&gt;="&amp;D671,'PO detail'!$G$2:$G$672,"&lt;"&amp;A671)</x:f>
        <x:v>0</x:v>
      </x:c>
      <x:c r="K671" s="8" t="n">
        <x:f>'Current inventory'!E41*Summary!$D$6*(A671-D671)/30.4375</x:f>
        <x:v>175.5147433264887</x:v>
      </x:c>
      <x:c r="L671" s="8" t="n">
        <x:f>MAX(0,E671+H671-K671)</x:f>
        <x:v>180.85273100616</x:v>
      </x:c>
      <x:c r="M671" s="8" t="n">
        <x:f>MAX(0,F671+I671-MAX(0,K671-E671-H671))</x:f>
        <x:v>2500</x:v>
      </x:c>
      <x:c r="N671" s="8" t="n">
        <x:f>MAX(0,G671+J671-K671)</x:f>
        <x:v>0</x:v>
      </x:c>
      <x:c r="O671" s="8" t="n">
        <x:f>SUM(L671:N671)</x:f>
        <x:v>2680.85273100616</x:v>
      </x:c>
      <x:c r="P671" s="14" t="n">
        <x:f>'Current inventory'!V41</x:f>
        <x:v>1.29129</x:v>
      </x:c>
      <x:c r="Q671" s="14" t="n">
        <x:f>'Current inventory'!W41</x:f>
        <x:v>1.349355</x:v>
      </x:c>
      <x:c r="R671" s="10" t="n">
        <x:f>L671*P671</x:f>
        <x:v>233.53332302094438</x:v>
      </x:c>
      <x:c r="S671" s="10" t="n">
        <x:f>M671*P671</x:f>
        <x:v>3228.225</x:v>
      </x:c>
      <x:c r="T671" s="10" t="n">
        <x:f>N671*P671</x:f>
        <x:v>0</x:v>
      </x:c>
      <x:c r="U671" s="10" t="n">
        <x:f>O671*P671</x:f>
        <x:v>3461.7583230209443</x:v>
      </x:c>
      <x:c r="V671" s="10" t="n">
        <x:f>IF(ISNUMBER(Q671),O671*(Q671-P671),"n.a.")</x:f>
        <x:v>155.66371382587278</x:v>
      </x:c>
      <x:c r="W671" s="10" t="n">
        <x:f>IF(ISNUMBER(Q671),U671,0)</x:f>
        <x:v>3461.7583230209443</x:v>
      </x:c>
      <x:c r="X671" s="8" t="n">
        <x:f>MAX(0,K671-SUM(E671:J671))</x:f>
        <x:v>0</x:v>
      </x:c>
      <x:c r="Y671" s="1" t="str">
        <x:f>IF(AND(O671&gt;0,NOT(ISNUMBER(Q671))),"No proposed replacement standard",IF(X671&gt;0,"Demand exceeds available stock",""))</x:f>
      </x:c>
      <x:c r="Z671" s="1" t="n">
        <x:f>IF(ISNUMBER(Q671),1,0)</x:f>
        <x:v>1</x:v>
      </x:c>
    </x:row>
    <x:row r="672" ht="21" customHeight="1">
      <x:c r="A672" s="17" t="n">
        <x:f>Summary!B20</x:f>
        <x:v>46478</x:v>
      </x:c>
      <x:c r="B672" s="1" t="str">
        <x:f>'Current inventory'!A42</x:f>
        <x:v>30</x:v>
      </x:c>
      <x:c r="C672" s="1" t="str">
        <x:f>'Current inventory'!B42</x:f>
        <x:v>800BMARBRC</x:v>
      </x:c>
      <x:c r="D672" s="7" t="n">
        <x:f>A546</x:f>
        <x:v>46447</x:v>
      </x:c>
      <x:c r="E672" s="8" t="n">
        <x:f>L546</x:f>
        <x:v>0</x:v>
      </x:c>
      <x:c r="F672" s="8" t="n">
        <x:f>M546</x:f>
        <x:v>0</x:v>
      </x:c>
      <x:c r="G672" s="8" t="n">
        <x:f>N546</x:f>
        <x:v>0</x:v>
      </x:c>
      <x:c r="H672" s="8" t="n">
        <x:f>SUMIFS('PO detail'!$U$2:$U$672,'PO detail'!$A$2:$A$672,B672,'PO detail'!$B$2:$B$672,C672,'PO detail'!$G$2:$G$672,"&gt;="&amp;D672,'PO detail'!$G$2:$G$672,"&lt;"&amp;A672)</x:f>
        <x:v>0</x:v>
      </x:c>
      <x:c r="I672" s="8" t="n">
        <x:f>SUMIFS('PO detail'!$V$2:$V$672,'PO detail'!$A$2:$A$672,B672,'PO detail'!$B$2:$B$672,C672,'PO detail'!$G$2:$G$672,"&gt;="&amp;D672,'PO detail'!$G$2:$G$672,"&lt;"&amp;A672)</x:f>
        <x:v>0</x:v>
      </x:c>
      <x:c r="J672" s="8" t="n">
        <x:f>SUMIFS('PO detail'!$W$2:$W$672,'PO detail'!$A$2:$A$672,B672,'PO detail'!$B$2:$B$672,C672,'PO detail'!$G$2:$G$672,"&gt;="&amp;D672,'PO detail'!$G$2:$G$672,"&lt;"&amp;A672)</x:f>
        <x:v>0</x:v>
      </x:c>
      <x:c r="K672" s="8" t="n">
        <x:f>'Current inventory'!E42*Summary!$D$6*(A672-D672)/30.4375</x:f>
        <x:v>169.7501437371663</x:v>
      </x:c>
      <x:c r="L672" s="8" t="n">
        <x:f>MAX(0,E672+H672-K672)</x:f>
        <x:v>0</x:v>
      </x:c>
      <x:c r="M672" s="8" t="n">
        <x:f>MAX(0,F672+I672-MAX(0,K672-E672-H672))</x:f>
        <x:v>0</x:v>
      </x:c>
      <x:c r="N672" s="8" t="n">
        <x:f>MAX(0,G672+J672-K672)</x:f>
        <x:v>0</x:v>
      </x:c>
      <x:c r="O672" s="8" t="n">
        <x:f>SUM(L672:N672)</x:f>
        <x:v>0</x:v>
      </x:c>
      <x:c r="P672" s="14" t="n">
        <x:f>'Current inventory'!V42</x:f>
        <x:v>0.1996</x:v>
      </x:c>
      <x:c r="Q672" s="14" t="str">
        <x:f>'Current inventory'!W42</x:f>
        <x:v>n.a.</x:v>
      </x:c>
      <x:c r="R672" s="10" t="n">
        <x:f>L672*P672</x:f>
        <x:v>0</x:v>
      </x:c>
      <x:c r="S672" s="10" t="n">
        <x:f>M672*P672</x:f>
        <x:v>0</x:v>
      </x:c>
      <x:c r="T672" s="10" t="n">
        <x:f>N672*P672</x:f>
        <x:v>0</x:v>
      </x:c>
      <x:c r="U672" s="10" t="n">
        <x:f>O672*P672</x:f>
        <x:v>0</x:v>
      </x:c>
      <x:c r="V672" s="10" t="str">
        <x:f>IF(ISNUMBER(Q672),O672*(Q672-P672),"n.a.")</x:f>
        <x:v>n.a.</x:v>
      </x:c>
      <x:c r="W672" s="10" t="n">
        <x:f>IF(ISNUMBER(Q672),U672,0)</x:f>
        <x:v>0</x:v>
      </x:c>
      <x:c r="X672" s="8" t="n">
        <x:f>MAX(0,K672-SUM(E672:J672))</x:f>
        <x:v>169.7501437371663</x:v>
      </x:c>
      <x:c r="Y672" s="1" t="str">
        <x:f>IF(AND(O672&gt;0,NOT(ISNUMBER(Q672))),"No proposed replacement standard",IF(X672&gt;0,"Demand exceeds available stock",""))</x:f>
        <x:v>Demand exceeds available stock</x:v>
      </x:c>
      <x:c r="Z672" s="1" t="n">
        <x:f>IF(ISNUMBER(Q672),1,0)</x:f>
        <x:v>0</x:v>
      </x:c>
    </x:row>
    <x:row r="673" ht="21" customHeight="1">
      <x:c r="A673" s="17" t="n">
        <x:f>Summary!B20</x:f>
        <x:v>46478</x:v>
      </x:c>
      <x:c r="B673" s="1" t="str">
        <x:f>'Current inventory'!A43</x:f>
        <x:v>10</x:v>
      </x:c>
      <x:c r="C673" s="1" t="str">
        <x:f>'Current inventory'!B43</x:f>
        <x:v>800BMARCSC</x:v>
      </x:c>
      <x:c r="D673" s="7" t="n">
        <x:f>A547</x:f>
        <x:v>46447</x:v>
      </x:c>
      <x:c r="E673" s="8" t="n">
        <x:f>L547</x:f>
        <x:v>0</x:v>
      </x:c>
      <x:c r="F673" s="8" t="n">
        <x:f>M547</x:f>
        <x:v>0</x:v>
      </x:c>
      <x:c r="G673" s="8" t="n">
        <x:f>N547</x:f>
        <x:v>812.7310061601642</x:v>
      </x:c>
      <x:c r="H673" s="8" t="n">
        <x:f>SUMIFS('PO detail'!$U$2:$U$672,'PO detail'!$A$2:$A$672,B673,'PO detail'!$B$2:$B$672,C673,'PO detail'!$G$2:$G$672,"&gt;="&amp;D673,'PO detail'!$G$2:$G$672,"&lt;"&amp;A673)</x:f>
        <x:v>0</x:v>
      </x:c>
      <x:c r="I673" s="8" t="n">
        <x:f>SUMIFS('PO detail'!$V$2:$V$672,'PO detail'!$A$2:$A$672,B673,'PO detail'!$B$2:$B$672,C673,'PO detail'!$G$2:$G$672,"&gt;="&amp;D673,'PO detail'!$G$2:$G$672,"&lt;"&amp;A673)</x:f>
        <x:v>0</x:v>
      </x:c>
      <x:c r="J673" s="8" t="n">
        <x:f>SUMIFS('PO detail'!$W$2:$W$672,'PO detail'!$A$2:$A$672,B673,'PO detail'!$B$2:$B$672,C673,'PO detail'!$G$2:$G$672,"&gt;="&amp;D673,'PO detail'!$G$2:$G$672,"&lt;"&amp;A673)</x:f>
        <x:v>0</x:v>
      </x:c>
      <x:c r="K673" s="8" t="n">
        <x:f>'Current inventory'!E43*Summary!$D$6*(A673-D673)/30.4375</x:f>
        <x:v>127.31006160164272</x:v>
      </x:c>
      <x:c r="L673" s="8" t="n">
        <x:f>MAX(0,E673+H673-K673)</x:f>
        <x:v>0</x:v>
      </x:c>
      <x:c r="M673" s="8" t="n">
        <x:f>MAX(0,F673+I673-MAX(0,K673-E673-H673))</x:f>
        <x:v>0</x:v>
      </x:c>
      <x:c r="N673" s="8" t="n">
        <x:f>MAX(0,G673+J673-K673)</x:f>
        <x:v>685.4209445585215</x:v>
      </x:c>
      <x:c r="O673" s="8" t="n">
        <x:f>SUM(L673:N673)</x:f>
        <x:v>685.4209445585215</x:v>
      </x:c>
      <x:c r="P673" s="14" t="n">
        <x:f>'Current inventory'!V43</x:f>
        <x:v>0.23329999999999998</x:v>
      </x:c>
      <x:c r="Q673" s="14" t="str">
        <x:f>'Current inventory'!W43</x:f>
        <x:v>n.a.</x:v>
      </x:c>
      <x:c r="R673" s="10" t="n">
        <x:f>L673*P673</x:f>
        <x:v>0</x:v>
      </x:c>
      <x:c r="S673" s="10" t="n">
        <x:f>M673*P673</x:f>
        <x:v>0</x:v>
      </x:c>
      <x:c r="T673" s="10" t="n">
        <x:f>N673*P673</x:f>
        <x:v>159.90870636550304</x:v>
      </x:c>
      <x:c r="U673" s="10" t="n">
        <x:f>O673*P673</x:f>
        <x:v>159.90870636550304</x:v>
      </x:c>
      <x:c r="V673" s="10" t="str">
        <x:f>IF(ISNUMBER(Q673),O673*(Q673-P673),"n.a.")</x:f>
        <x:v>n.a.</x:v>
      </x:c>
      <x:c r="W673" s="10" t="n">
        <x:f>IF(ISNUMBER(Q673),U673,0)</x:f>
        <x:v>0</x:v>
      </x:c>
      <x:c r="X673" s="8" t="n">
        <x:f>MAX(0,K673-SUM(E673:J673))</x:f>
        <x:v>0</x:v>
      </x:c>
      <x:c r="Y673" s="1" t="str">
        <x:f>IF(AND(O673&gt;0,NOT(ISNUMBER(Q673))),"No proposed replacement standard",IF(X673&gt;0,"Demand exceeds available stock",""))</x:f>
        <x:v>No proposed replacement standard</x:v>
      </x:c>
      <x:c r="Z673" s="1" t="n">
        <x:f>IF(ISNUMBER(Q673),1,0)</x:f>
        <x:v>0</x:v>
      </x:c>
    </x:row>
    <x:row r="674" ht="21" customHeight="1">
      <x:c r="A674" s="17" t="n">
        <x:f>Summary!B20</x:f>
        <x:v>46478</x:v>
      </x:c>
      <x:c r="B674" s="1" t="str">
        <x:f>'Current inventory'!A44</x:f>
        <x:v>30</x:v>
      </x:c>
      <x:c r="C674" s="1" t="str">
        <x:f>'Current inventory'!B44</x:f>
        <x:v>800BMARISC</x:v>
      </x:c>
      <x:c r="D674" s="7" t="n">
        <x:f>A548</x:f>
        <x:v>46447</x:v>
      </x:c>
      <x:c r="E674" s="8" t="n">
        <x:f>L548</x:f>
        <x:v>0</x:v>
      </x:c>
      <x:c r="F674" s="8" t="n">
        <x:f>M548</x:f>
        <x:v>0</x:v>
      </x:c>
      <x:c r="G674" s="8" t="n">
        <x:f>N548</x:f>
        <x:v>1791.0491991786448</x:v>
      </x:c>
      <x:c r="H674" s="8" t="n">
        <x:f>SUMIFS('PO detail'!$U$2:$U$672,'PO detail'!$A$2:$A$672,B674,'PO detail'!$B$2:$B$672,C674,'PO detail'!$G$2:$G$672,"&gt;="&amp;D674,'PO detail'!$G$2:$G$672,"&lt;"&amp;A674)</x:f>
        <x:v>0</x:v>
      </x:c>
      <x:c r="I674" s="8" t="n">
        <x:f>SUMIFS('PO detail'!$V$2:$V$672,'PO detail'!$A$2:$A$672,B674,'PO detail'!$B$2:$B$672,C674,'PO detail'!$G$2:$G$672,"&gt;="&amp;D674,'PO detail'!$G$2:$G$672,"&lt;"&amp;A674)</x:f>
        <x:v>0</x:v>
      </x:c>
      <x:c r="J674" s="8" t="n">
        <x:f>SUMIFS('PO detail'!$W$2:$W$672,'PO detail'!$A$2:$A$672,B674,'PO detail'!$B$2:$B$672,C674,'PO detail'!$G$2:$G$672,"&gt;="&amp;D674,'PO detail'!$G$2:$G$672,"&lt;"&amp;A674)</x:f>
        <x:v>0</x:v>
      </x:c>
      <x:c r="K674" s="8" t="n">
        <x:f>'Current inventory'!E44*Summary!$D$6*(A674-D674)/30.4375</x:f>
        <x:v>110.33199178644765</x:v>
      </x:c>
      <x:c r="L674" s="8" t="n">
        <x:f>MAX(0,E674+H674-K674)</x:f>
        <x:v>0</x:v>
      </x:c>
      <x:c r="M674" s="8" t="n">
        <x:f>MAX(0,F674+I674-MAX(0,K674-E674-H674))</x:f>
        <x:v>0</x:v>
      </x:c>
      <x:c r="N674" s="8" t="n">
        <x:f>MAX(0,G674+J674-K674)</x:f>
        <x:v>1680.7172073921972</x:v>
      </x:c>
      <x:c r="O674" s="8" t="n">
        <x:f>SUM(L674:N674)</x:f>
        <x:v>1680.7172073921972</x:v>
      </x:c>
      <x:c r="P674" s="14" t="n">
        <x:f>'Current inventory'!V44</x:f>
        <x:v>0.1946</x:v>
      </x:c>
      <x:c r="Q674" s="14" t="str">
        <x:f>'Current inventory'!W44</x:f>
        <x:v>n.a.</x:v>
      </x:c>
      <x:c r="R674" s="10" t="n">
        <x:f>L674*P674</x:f>
        <x:v>0</x:v>
      </x:c>
      <x:c r="S674" s="10" t="n">
        <x:f>M674*P674</x:f>
        <x:v>0</x:v>
      </x:c>
      <x:c r="T674" s="10" t="n">
        <x:f>N674*P674</x:f>
        <x:v>327.0675685585216</x:v>
      </x:c>
      <x:c r="U674" s="10" t="n">
        <x:f>O674*P674</x:f>
        <x:v>327.0675685585216</x:v>
      </x:c>
      <x:c r="V674" s="10" t="str">
        <x:f>IF(ISNUMBER(Q674),O674*(Q674-P674),"n.a.")</x:f>
        <x:v>n.a.</x:v>
      </x:c>
      <x:c r="W674" s="10" t="n">
        <x:f>IF(ISNUMBER(Q674),U674,0)</x:f>
        <x:v>0</x:v>
      </x:c>
      <x:c r="X674" s="8" t="n">
        <x:f>MAX(0,K674-SUM(E674:J674))</x:f>
        <x:v>0</x:v>
      </x:c>
      <x:c r="Y674" s="1" t="str">
        <x:f>IF(AND(O674&gt;0,NOT(ISNUMBER(Q674))),"No proposed replacement standard",IF(X674&gt;0,"Demand exceeds available stock",""))</x:f>
        <x:v>No proposed replacement standard</x:v>
      </x:c>
      <x:c r="Z674" s="1" t="n">
        <x:f>IF(ISNUMBER(Q674),1,0)</x:f>
        <x:v>0</x:v>
      </x:c>
    </x:row>
    <x:row r="675" ht="21" customHeight="1">
      <x:c r="A675" s="17" t="n">
        <x:f>Summary!B20</x:f>
        <x:v>46478</x:v>
      </x:c>
      <x:c r="B675" s="1" t="str">
        <x:f>'Current inventory'!A45</x:f>
        <x:v>30</x:v>
      </x:c>
      <x:c r="C675" s="1" t="str">
        <x:f>'Current inventory'!B45</x:f>
        <x:v>800BNAVDSC</x:v>
      </x:c>
      <x:c r="D675" s="7" t="n">
        <x:f>A549</x:f>
        <x:v>46447</x:v>
      </x:c>
      <x:c r="E675" s="8" t="n">
        <x:f>L549</x:f>
        <x:v>0</x:v>
      </x:c>
      <x:c r="F675" s="8" t="n">
        <x:f>M549</x:f>
        <x:v>0</x:v>
      </x:c>
      <x:c r="G675" s="8" t="n">
        <x:f>N549</x:f>
        <x:v>691.0491991786449</x:v>
      </x:c>
      <x:c r="H675" s="8" t="n">
        <x:f>SUMIFS('PO detail'!$U$2:$U$672,'PO detail'!$A$2:$A$672,B675,'PO detail'!$B$2:$B$672,C675,'PO detail'!$G$2:$G$672,"&gt;="&amp;D675,'PO detail'!$G$2:$G$672,"&lt;"&amp;A675)</x:f>
        <x:v>0</x:v>
      </x:c>
      <x:c r="I675" s="8" t="n">
        <x:f>SUMIFS('PO detail'!$V$2:$V$672,'PO detail'!$A$2:$A$672,B675,'PO detail'!$B$2:$B$672,C675,'PO detail'!$G$2:$G$672,"&gt;="&amp;D675,'PO detail'!$G$2:$G$672,"&lt;"&amp;A675)</x:f>
        <x:v>0</x:v>
      </x:c>
      <x:c r="J675" s="8" t="n">
        <x:f>SUMIFS('PO detail'!$W$2:$W$672,'PO detail'!$A$2:$A$672,B675,'PO detail'!$B$2:$B$672,C675,'PO detail'!$G$2:$G$672,"&gt;="&amp;D675,'PO detail'!$G$2:$G$672,"&lt;"&amp;A675)</x:f>
        <x:v>0</x:v>
      </x:c>
      <x:c r="K675" s="8" t="n">
        <x:f>'Current inventory'!E45*Summary!$D$6*(A675-D675)/30.4375</x:f>
        <x:v>110.33199178644765</x:v>
      </x:c>
      <x:c r="L675" s="8" t="n">
        <x:f>MAX(0,E675+H675-K675)</x:f>
        <x:v>0</x:v>
      </x:c>
      <x:c r="M675" s="8" t="n">
        <x:f>MAX(0,F675+I675-MAX(0,K675-E675-H675))</x:f>
        <x:v>0</x:v>
      </x:c>
      <x:c r="N675" s="8" t="n">
        <x:f>MAX(0,G675+J675-K675)</x:f>
        <x:v>580.7172073921972</x:v>
      </x:c>
      <x:c r="O675" s="8" t="n">
        <x:f>SUM(L675:N675)</x:f>
        <x:v>580.7172073921972</x:v>
      </x:c>
      <x:c r="P675" s="14" t="n">
        <x:f>'Current inventory'!V45</x:f>
        <x:v>0.34509999999999996</x:v>
      </x:c>
      <x:c r="Q675" s="14" t="str">
        <x:f>'Current inventory'!W45</x:f>
        <x:v>n.a.</x:v>
      </x:c>
      <x:c r="R675" s="10" t="n">
        <x:f>L675*P675</x:f>
        <x:v>0</x:v>
      </x:c>
      <x:c r="S675" s="10" t="n">
        <x:f>M675*P675</x:f>
        <x:v>0</x:v>
      </x:c>
      <x:c r="T675" s="10" t="n">
        <x:f>N675*P675</x:f>
        <x:v>200.40550827104724</x:v>
      </x:c>
      <x:c r="U675" s="10" t="n">
        <x:f>O675*P675</x:f>
        <x:v>200.40550827104724</x:v>
      </x:c>
      <x:c r="V675" s="10" t="str">
        <x:f>IF(ISNUMBER(Q675),O675*(Q675-P675),"n.a.")</x:f>
        <x:v>n.a.</x:v>
      </x:c>
      <x:c r="W675" s="10" t="n">
        <x:f>IF(ISNUMBER(Q675),U675,0)</x:f>
        <x:v>0</x:v>
      </x:c>
      <x:c r="X675" s="8" t="n">
        <x:f>MAX(0,K675-SUM(E675:J675))</x:f>
        <x:v>0</x:v>
      </x:c>
      <x:c r="Y675" s="1" t="str">
        <x:f>IF(AND(O675&gt;0,NOT(ISNUMBER(Q675))),"No proposed replacement standard",IF(X675&gt;0,"Demand exceeds available stock",""))</x:f>
        <x:v>No proposed replacement standard</x:v>
      </x:c>
      <x:c r="Z675" s="1" t="n">
        <x:f>IF(ISNUMBER(Q675),1,0)</x:f>
        <x:v>0</x:v>
      </x:c>
    </x:row>
    <x:row r="676" ht="21" customHeight="1">
      <x:c r="A676" s="17" t="n">
        <x:f>Summary!B20</x:f>
        <x:v>46478</x:v>
      </x:c>
      <x:c r="B676" s="1" t="str">
        <x:f>'Current inventory'!A46</x:f>
        <x:v>60</x:v>
      </x:c>
      <x:c r="C676" s="1" t="str">
        <x:f>'Current inventory'!B46</x:f>
        <x:v>800BMARBRC</x:v>
      </x:c>
      <x:c r="D676" s="7" t="n">
        <x:f>A550</x:f>
        <x:v>46447</x:v>
      </x:c>
      <x:c r="E676" s="8" t="n">
        <x:f>L550</x:f>
        <x:v>0</x:v>
      </x:c>
      <x:c r="F676" s="8" t="n">
        <x:f>M550</x:f>
        <x:v>0</x:v>
      </x:c>
      <x:c r="G676" s="8" t="n">
        <x:f>N550</x:f>
        <x:v>891.0491991786449</x:v>
      </x:c>
      <x:c r="H676" s="8" t="n">
        <x:f>SUMIFS('PO detail'!$U$2:$U$672,'PO detail'!$A$2:$A$672,B676,'PO detail'!$B$2:$B$672,C676,'PO detail'!$G$2:$G$672,"&gt;="&amp;D676,'PO detail'!$G$2:$G$672,"&lt;"&amp;A676)</x:f>
        <x:v>0</x:v>
      </x:c>
      <x:c r="I676" s="8" t="n">
        <x:f>SUMIFS('PO detail'!$V$2:$V$672,'PO detail'!$A$2:$A$672,B676,'PO detail'!$B$2:$B$672,C676,'PO detail'!$G$2:$G$672,"&gt;="&amp;D676,'PO detail'!$G$2:$G$672,"&lt;"&amp;A676)</x:f>
        <x:v>0</x:v>
      </x:c>
      <x:c r="J676" s="8" t="n">
        <x:f>SUMIFS('PO detail'!$W$2:$W$672,'PO detail'!$A$2:$A$672,B676,'PO detail'!$B$2:$B$672,C676,'PO detail'!$G$2:$G$672,"&gt;="&amp;D676,'PO detail'!$G$2:$G$672,"&lt;"&amp;A676)</x:f>
        <x:v>0</x:v>
      </x:c>
      <x:c r="K676" s="8" t="n">
        <x:f>'Current inventory'!E46*Summary!$D$6*(A676-D676)/30.4375</x:f>
        <x:v>110.33199178644765</x:v>
      </x:c>
      <x:c r="L676" s="8" t="n">
        <x:f>MAX(0,E676+H676-K676)</x:f>
        <x:v>0</x:v>
      </x:c>
      <x:c r="M676" s="8" t="n">
        <x:f>MAX(0,F676+I676-MAX(0,K676-E676-H676))</x:f>
        <x:v>0</x:v>
      </x:c>
      <x:c r="N676" s="8" t="n">
        <x:f>MAX(0,G676+J676-K676)</x:f>
        <x:v>780.7172073921972</x:v>
      </x:c>
      <x:c r="O676" s="8" t="n">
        <x:f>SUM(L676:N676)</x:f>
        <x:v>780.7172073921972</x:v>
      </x:c>
      <x:c r="P676" s="14" t="n">
        <x:f>'Current inventory'!V46</x:f>
        <x:v>0.1996</x:v>
      </x:c>
      <x:c r="Q676" s="14" t="str">
        <x:f>'Current inventory'!W46</x:f>
        <x:v>n.a.</x:v>
      </x:c>
      <x:c r="R676" s="10" t="n">
        <x:f>L676*P676</x:f>
        <x:v>0</x:v>
      </x:c>
      <x:c r="S676" s="10" t="n">
        <x:f>M676*P676</x:f>
        <x:v>0</x:v>
      </x:c>
      <x:c r="T676" s="10" t="n">
        <x:f>N676*P676</x:f>
        <x:v>155.83115459548256</x:v>
      </x:c>
      <x:c r="U676" s="10" t="n">
        <x:f>O676*P676</x:f>
        <x:v>155.83115459548256</x:v>
      </x:c>
      <x:c r="V676" s="10" t="str">
        <x:f>IF(ISNUMBER(Q676),O676*(Q676-P676),"n.a.")</x:f>
        <x:v>n.a.</x:v>
      </x:c>
      <x:c r="W676" s="10" t="n">
        <x:f>IF(ISNUMBER(Q676),U676,0)</x:f>
        <x:v>0</x:v>
      </x:c>
      <x:c r="X676" s="8" t="n">
        <x:f>MAX(0,K676-SUM(E676:J676))</x:f>
        <x:v>0</x:v>
      </x:c>
      <x:c r="Y676" s="1" t="str">
        <x:f>IF(AND(O676&gt;0,NOT(ISNUMBER(Q676))),"No proposed replacement standard",IF(X676&gt;0,"Demand exceeds available stock",""))</x:f>
        <x:v>No proposed replacement standard</x:v>
      </x:c>
      <x:c r="Z676" s="1" t="n">
        <x:f>IF(ISNUMBER(Q676),1,0)</x:f>
        <x:v>0</x:v>
      </x:c>
    </x:row>
    <x:row r="677" ht="21" customHeight="1">
      <x:c r="A677" s="17" t="n">
        <x:f>Summary!B20</x:f>
        <x:v>46478</x:v>
      </x:c>
      <x:c r="B677" s="1" t="str">
        <x:f>'Current inventory'!A47</x:f>
        <x:v>60</x:v>
      </x:c>
      <x:c r="C677" s="1" t="str">
        <x:f>'Current inventory'!B47</x:f>
        <x:v>800MARE</x:v>
      </x:c>
      <x:c r="D677" s="7" t="n">
        <x:f>A551</x:f>
        <x:v>46447</x:v>
      </x:c>
      <x:c r="E677" s="8" t="n">
        <x:f>L551</x:f>
        <x:v>2212.184804928131</x:v>
      </x:c>
      <x:c r="F677" s="8" t="n">
        <x:f>M551</x:f>
        <x:v>0</x:v>
      </x:c>
      <x:c r="G677" s="8" t="n">
        <x:f>N551</x:f>
        <x:v>0</x:v>
      </x:c>
      <x:c r="H677" s="8" t="n">
        <x:f>SUMIFS('PO detail'!$U$2:$U$672,'PO detail'!$A$2:$A$672,B677,'PO detail'!$B$2:$B$672,C677,'PO detail'!$G$2:$G$672,"&gt;="&amp;D677,'PO detail'!$G$2:$G$672,"&lt;"&amp;A677)</x:f>
        <x:v>0</x:v>
      </x:c>
      <x:c r="I677" s="8" t="n">
        <x:f>SUMIFS('PO detail'!$V$2:$V$672,'PO detail'!$A$2:$A$672,B677,'PO detail'!$B$2:$B$672,C677,'PO detail'!$G$2:$G$672,"&gt;="&amp;D677,'PO detail'!$G$2:$G$672,"&lt;"&amp;A677)</x:f>
        <x:v>0</x:v>
      </x:c>
      <x:c r="J677" s="8" t="n">
        <x:f>SUMIFS('PO detail'!$W$2:$W$672,'PO detail'!$A$2:$A$672,B677,'PO detail'!$B$2:$B$672,C677,'PO detail'!$G$2:$G$672,"&gt;="&amp;D677,'PO detail'!$G$2:$G$672,"&lt;"&amp;A677)</x:f>
        <x:v>0</x:v>
      </x:c>
      <x:c r="K677" s="8" t="n">
        <x:f>'Current inventory'!E47*Summary!$D$6*(A677-D677)/30.4375</x:f>
        <x:v>101.84804928131418</x:v>
      </x:c>
      <x:c r="L677" s="8" t="n">
        <x:f>MAX(0,E677+H677-K677)</x:f>
        <x:v>2110.336755646817</x:v>
      </x:c>
      <x:c r="M677" s="8" t="n">
        <x:f>MAX(0,F677+I677-MAX(0,K677-E677-H677))</x:f>
        <x:v>0</x:v>
      </x:c>
      <x:c r="N677" s="8" t="n">
        <x:f>MAX(0,G677+J677-K677)</x:f>
        <x:v>0</x:v>
      </x:c>
      <x:c r="O677" s="8" t="n">
        <x:f>SUM(L677:N677)</x:f>
        <x:v>2110.336755646817</x:v>
      </x:c>
      <x:c r="P677" s="14" t="n">
        <x:f>'Current inventory'!V47</x:f>
        <x:v>1.29129</x:v>
      </x:c>
      <x:c r="Q677" s="14" t="n">
        <x:f>'Current inventory'!W47</x:f>
        <x:v>1.349355</x:v>
      </x:c>
      <x:c r="R677" s="10" t="n">
        <x:f>L677*P677</x:f>
        <x:v>2725.0567491991783</x:v>
      </x:c>
      <x:c r="S677" s="10" t="n">
        <x:f>M677*P677</x:f>
        <x:v>0</x:v>
      </x:c>
      <x:c r="T677" s="10" t="n">
        <x:f>N677*P677</x:f>
        <x:v>0</x:v>
      </x:c>
      <x:c r="U677" s="10" t="n">
        <x:f>O677*P677</x:f>
        <x:v>2725.0567491991783</x:v>
      </x:c>
      <x:c r="V677" s="10" t="n">
        <x:f>IF(ISNUMBER(Q677),O677*(Q677-P677),"n.a.")</x:f>
        <x:v>122.5367037166325</x:v>
      </x:c>
      <x:c r="W677" s="10" t="n">
        <x:f>IF(ISNUMBER(Q677),U677,0)</x:f>
        <x:v>2725.0567491991783</x:v>
      </x:c>
      <x:c r="X677" s="8" t="n">
        <x:f>MAX(0,K677-SUM(E677:J677))</x:f>
        <x:v>0</x:v>
      </x:c>
      <x:c r="Y677" s="1" t="str">
        <x:f>IF(AND(O677&gt;0,NOT(ISNUMBER(Q677))),"No proposed replacement standard",IF(X677&gt;0,"Demand exceeds available stock",""))</x:f>
      </x:c>
      <x:c r="Z677" s="1" t="n">
        <x:f>IF(ISNUMBER(Q677),1,0)</x:f>
        <x:v>1</x:v>
      </x:c>
    </x:row>
    <x:row r="678" ht="21" customHeight="1">
      <x:c r="A678" s="17" t="n">
        <x:f>Summary!B20</x:f>
        <x:v>46478</x:v>
      </x:c>
      <x:c r="B678" s="1" t="str">
        <x:f>'Current inventory'!A48</x:f>
        <x:v>60</x:v>
      </x:c>
      <x:c r="C678" s="1" t="str">
        <x:f>'Current inventory'!B48</x:f>
        <x:v>800BMARISC</x:v>
      </x:c>
      <x:c r="D678" s="7" t="n">
        <x:f>A552</x:f>
        <x:v>46447</x:v>
      </x:c>
      <x:c r="E678" s="8" t="n">
        <x:f>L552</x:f>
        <x:v>0</x:v>
      </x:c>
      <x:c r="F678" s="8" t="n">
        <x:f>M552</x:f>
        <x:v>0</x:v>
      </x:c>
      <x:c r="G678" s="8" t="n">
        <x:f>N552</x:f>
        <x:v>525.9567967145792</x:v>
      </x:c>
      <x:c r="H678" s="8" t="n">
        <x:f>SUMIFS('PO detail'!$U$2:$U$672,'PO detail'!$A$2:$A$672,B678,'PO detail'!$B$2:$B$672,C678,'PO detail'!$G$2:$G$672,"&gt;="&amp;D678,'PO detail'!$G$2:$G$672,"&lt;"&amp;A678)</x:f>
        <x:v>0</x:v>
      </x:c>
      <x:c r="I678" s="8" t="n">
        <x:f>SUMIFS('PO detail'!$V$2:$V$672,'PO detail'!$A$2:$A$672,B678,'PO detail'!$B$2:$B$672,C678,'PO detail'!$G$2:$G$672,"&gt;="&amp;D678,'PO detail'!$G$2:$G$672,"&lt;"&amp;A678)</x:f>
        <x:v>0</x:v>
      </x:c>
      <x:c r="J678" s="8" t="n">
        <x:f>SUMIFS('PO detail'!$W$2:$W$672,'PO detail'!$A$2:$A$672,B678,'PO detail'!$B$2:$B$672,C678,'PO detail'!$G$2:$G$672,"&gt;="&amp;D678,'PO detail'!$G$2:$G$672,"&lt;"&amp;A678)</x:f>
        <x:v>0</x:v>
      </x:c>
      <x:c r="K678" s="8" t="n">
        <x:f>'Current inventory'!E48*Summary!$D$6*(A678-D678)/30.4375</x:f>
        <x:v>59.40796714579056</x:v>
      </x:c>
      <x:c r="L678" s="8" t="n">
        <x:f>MAX(0,E678+H678-K678)</x:f>
        <x:v>0</x:v>
      </x:c>
      <x:c r="M678" s="8" t="n">
        <x:f>MAX(0,F678+I678-MAX(0,K678-E678-H678))</x:f>
        <x:v>0</x:v>
      </x:c>
      <x:c r="N678" s="8" t="n">
        <x:f>MAX(0,G678+J678-K678)</x:f>
        <x:v>466.5488295687887</x:v>
      </x:c>
      <x:c r="O678" s="8" t="n">
        <x:f>SUM(L678:N678)</x:f>
        <x:v>466.5488295687887</x:v>
      </x:c>
      <x:c r="P678" s="14" t="n">
        <x:f>'Current inventory'!V48</x:f>
        <x:v>0.1946</x:v>
      </x:c>
      <x:c r="Q678" s="14" t="str">
        <x:f>'Current inventory'!W48</x:f>
        <x:v>n.a.</x:v>
      </x:c>
      <x:c r="R678" s="10" t="n">
        <x:f>L678*P678</x:f>
        <x:v>0</x:v>
      </x:c>
      <x:c r="S678" s="10" t="n">
        <x:f>M678*P678</x:f>
        <x:v>0</x:v>
      </x:c>
      <x:c r="T678" s="10" t="n">
        <x:f>N678*P678</x:f>
        <x:v>90.79040223408627</x:v>
      </x:c>
      <x:c r="U678" s="10" t="n">
        <x:f>O678*P678</x:f>
        <x:v>90.79040223408627</x:v>
      </x:c>
      <x:c r="V678" s="10" t="str">
        <x:f>IF(ISNUMBER(Q678),O678*(Q678-P678),"n.a.")</x:f>
        <x:v>n.a.</x:v>
      </x:c>
      <x:c r="W678" s="10" t="n">
        <x:f>IF(ISNUMBER(Q678),U678,0)</x:f>
        <x:v>0</x:v>
      </x:c>
      <x:c r="X678" s="8" t="n">
        <x:f>MAX(0,K678-SUM(E678:J678))</x:f>
        <x:v>0</x:v>
      </x:c>
      <x:c r="Y678" s="1" t="str">
        <x:f>IF(AND(O678&gt;0,NOT(ISNUMBER(Q678))),"No proposed replacement standard",IF(X678&gt;0,"Demand exceeds available stock",""))</x:f>
        <x:v>No proposed replacement standard</x:v>
      </x:c>
      <x:c r="Z678" s="1" t="n">
        <x:f>IF(ISNUMBER(Q678),1,0)</x:f>
        <x:v>0</x:v>
      </x:c>
    </x:row>
    <x:row r="679" ht="21" customHeight="1">
      <x:c r="A679" s="17" t="n">
        <x:f>Summary!B20</x:f>
        <x:v>46478</x:v>
      </x:c>
      <x:c r="B679" s="1" t="str">
        <x:f>'Current inventory'!A49</x:f>
        <x:v>10</x:v>
      </x:c>
      <x:c r="C679" s="1" t="str">
        <x:f>'Current inventory'!B49</x:f>
        <x:v>800WBLKASC</x:v>
      </x:c>
      <x:c r="D679" s="7" t="n">
        <x:f>A553</x:f>
        <x:v>46447</x:v>
      </x:c>
      <x:c r="E679" s="8" t="n">
        <x:f>L553</x:f>
        <x:v>0</x:v>
      </x:c>
      <x:c r="F679" s="8" t="n">
        <x:f>M553</x:f>
        <x:v>0</x:v>
      </x:c>
      <x:c r="G679" s="8" t="n">
        <x:f>N553</x:f>
        <x:v>1065.0924024640656</x:v>
      </x:c>
      <x:c r="H679" s="8" t="n">
        <x:f>SUMIFS('PO detail'!$U$2:$U$672,'PO detail'!$A$2:$A$672,B679,'PO detail'!$B$2:$B$672,C679,'PO detail'!$G$2:$G$672,"&gt;="&amp;D679,'PO detail'!$G$2:$G$672,"&lt;"&amp;A679)</x:f>
        <x:v>0</x:v>
      </x:c>
      <x:c r="I679" s="8" t="n">
        <x:f>SUMIFS('PO detail'!$V$2:$V$672,'PO detail'!$A$2:$A$672,B679,'PO detail'!$B$2:$B$672,C679,'PO detail'!$G$2:$G$672,"&gt;="&amp;D679,'PO detail'!$G$2:$G$672,"&lt;"&amp;A679)</x:f>
        <x:v>0</x:v>
      </x:c>
      <x:c r="J679" s="8" t="n">
        <x:f>SUMIFS('PO detail'!$W$2:$W$672,'PO detail'!$A$2:$A$672,B679,'PO detail'!$B$2:$B$672,C679,'PO detail'!$G$2:$G$672,"&gt;="&amp;D679,'PO detail'!$G$2:$G$672,"&lt;"&amp;A679)</x:f>
        <x:v>0</x:v>
      </x:c>
      <x:c r="K679" s="8" t="n">
        <x:f>'Current inventory'!E49*Summary!$D$6*(A679-D679)/30.4375</x:f>
        <x:v>50.92402464065709</x:v>
      </x:c>
      <x:c r="L679" s="8" t="n">
        <x:f>MAX(0,E679+H679-K679)</x:f>
        <x:v>0</x:v>
      </x:c>
      <x:c r="M679" s="8" t="n">
        <x:f>MAX(0,F679+I679-MAX(0,K679-E679-H679))</x:f>
        <x:v>0</x:v>
      </x:c>
      <x:c r="N679" s="8" t="n">
        <x:f>MAX(0,G679+J679-K679)</x:f>
        <x:v>1014.1683778234085</x:v>
      </x:c>
      <x:c r="O679" s="8" t="n">
        <x:f>SUM(L679:N679)</x:f>
        <x:v>1014.1683778234085</x:v>
      </x:c>
      <x:c r="P679" s="14" t="n">
        <x:f>'Current inventory'!V49</x:f>
        <x:v>0.111</x:v>
      </x:c>
      <x:c r="Q679" s="14" t="str">
        <x:f>'Current inventory'!W49</x:f>
        <x:v>n.a.</x:v>
      </x:c>
      <x:c r="R679" s="10" t="n">
        <x:f>L679*P679</x:f>
        <x:v>0</x:v>
      </x:c>
      <x:c r="S679" s="10" t="n">
        <x:f>M679*P679</x:f>
        <x:v>0</x:v>
      </x:c>
      <x:c r="T679" s="10" t="n">
        <x:f>N679*P679</x:f>
        <x:v>112.57268993839834</x:v>
      </x:c>
      <x:c r="U679" s="10" t="n">
        <x:f>O679*P679</x:f>
        <x:v>112.57268993839834</x:v>
      </x:c>
      <x:c r="V679" s="10" t="str">
        <x:f>IF(ISNUMBER(Q679),O679*(Q679-P679),"n.a.")</x:f>
        <x:v>n.a.</x:v>
      </x:c>
      <x:c r="W679" s="10" t="n">
        <x:f>IF(ISNUMBER(Q679),U679,0)</x:f>
        <x:v>0</x:v>
      </x:c>
      <x:c r="X679" s="8" t="n">
        <x:f>MAX(0,K679-SUM(E679:J679))</x:f>
        <x:v>0</x:v>
      </x:c>
      <x:c r="Y679" s="1" t="str">
        <x:f>IF(AND(O679&gt;0,NOT(ISNUMBER(Q679))),"No proposed replacement standard",IF(X679&gt;0,"Demand exceeds available stock",""))</x:f>
        <x:v>No proposed replacement standard</x:v>
      </x:c>
      <x:c r="Z679" s="1" t="n">
        <x:f>IF(ISNUMBER(Q679),1,0)</x:f>
        <x:v>0</x:v>
      </x:c>
    </x:row>
    <x:row r="680" ht="21" customHeight="1">
      <x:c r="A680" s="17" t="n">
        <x:f>Summary!B20</x:f>
        <x:v>46478</x:v>
      </x:c>
      <x:c r="B680" s="1" t="str">
        <x:f>'Current inventory'!A50</x:f>
        <x:v>30</x:v>
      </x:c>
      <x:c r="C680" s="1" t="str">
        <x:f>'Current inventory'!B50</x:f>
        <x:v>800BMARCSC</x:v>
      </x:c>
      <x:c r="D680" s="7" t="n">
        <x:f>A554</x:f>
        <x:v>46447</x:v>
      </x:c>
      <x:c r="E680" s="8" t="n">
        <x:f>L554</x:f>
        <x:v>0</x:v>
      </x:c>
      <x:c r="F680" s="8" t="n">
        <x:f>M554</x:f>
        <x:v>0</x:v>
      </x:c>
      <x:c r="G680" s="8" t="n">
        <x:f>N554</x:f>
        <x:v>943.4105954825463</x:v>
      </x:c>
      <x:c r="H680" s="8" t="n">
        <x:f>SUMIFS('PO detail'!$U$2:$U$672,'PO detail'!$A$2:$A$672,B680,'PO detail'!$B$2:$B$672,C680,'PO detail'!$G$2:$G$672,"&gt;="&amp;D680,'PO detail'!$G$2:$G$672,"&lt;"&amp;A680)</x:f>
        <x:v>0</x:v>
      </x:c>
      <x:c r="I680" s="8" t="n">
        <x:f>SUMIFS('PO detail'!$V$2:$V$672,'PO detail'!$A$2:$A$672,B680,'PO detail'!$B$2:$B$672,C680,'PO detail'!$G$2:$G$672,"&gt;="&amp;D680,'PO detail'!$G$2:$G$672,"&lt;"&amp;A680)</x:f>
        <x:v>0</x:v>
      </x:c>
      <x:c r="J680" s="8" t="n">
        <x:f>SUMIFS('PO detail'!$W$2:$W$672,'PO detail'!$A$2:$A$672,B680,'PO detail'!$B$2:$B$672,C680,'PO detail'!$G$2:$G$672,"&gt;="&amp;D680,'PO detail'!$G$2:$G$672,"&lt;"&amp;A680)</x:f>
        <x:v>0</x:v>
      </x:c>
      <x:c r="K680" s="8" t="n">
        <x:f>'Current inventory'!E50*Summary!$D$6*(A680-D680)/30.4375</x:f>
        <x:v>33.94595482546201</x:v>
      </x:c>
      <x:c r="L680" s="8" t="n">
        <x:f>MAX(0,E680+H680-K680)</x:f>
        <x:v>0</x:v>
      </x:c>
      <x:c r="M680" s="8" t="n">
        <x:f>MAX(0,F680+I680-MAX(0,K680-E680-H680))</x:f>
        <x:v>0</x:v>
      </x:c>
      <x:c r="N680" s="8" t="n">
        <x:f>MAX(0,G680+J680-K680)</x:f>
        <x:v>909.4646406570844</x:v>
      </x:c>
      <x:c r="O680" s="8" t="n">
        <x:f>SUM(L680:N680)</x:f>
        <x:v>909.4646406570844</x:v>
      </x:c>
      <x:c r="P680" s="14" t="n">
        <x:f>'Current inventory'!V50</x:f>
        <x:v>0.23329999999999998</x:v>
      </x:c>
      <x:c r="Q680" s="14" t="str">
        <x:f>'Current inventory'!W50</x:f>
        <x:v>n.a.</x:v>
      </x:c>
      <x:c r="R680" s="10" t="n">
        <x:f>L680*P680</x:f>
        <x:v>0</x:v>
      </x:c>
      <x:c r="S680" s="10" t="n">
        <x:f>M680*P680</x:f>
        <x:v>0</x:v>
      </x:c>
      <x:c r="T680" s="10" t="n">
        <x:f>N680*P680</x:f>
        <x:v>212.17810066529776</x:v>
      </x:c>
      <x:c r="U680" s="10" t="n">
        <x:f>O680*P680</x:f>
        <x:v>212.17810066529776</x:v>
      </x:c>
      <x:c r="V680" s="10" t="str">
        <x:f>IF(ISNUMBER(Q680),O680*(Q680-P680),"n.a.")</x:f>
        <x:v>n.a.</x:v>
      </x:c>
      <x:c r="W680" s="10" t="n">
        <x:f>IF(ISNUMBER(Q680),U680,0)</x:f>
        <x:v>0</x:v>
      </x:c>
      <x:c r="X680" s="8" t="n">
        <x:f>MAX(0,K680-SUM(E680:J680))</x:f>
        <x:v>0</x:v>
      </x:c>
      <x:c r="Y680" s="1" t="str">
        <x:f>IF(AND(O680&gt;0,NOT(ISNUMBER(Q680))),"No proposed replacement standard",IF(X680&gt;0,"Demand exceeds available stock",""))</x:f>
        <x:v>No proposed replacement standard</x:v>
      </x:c>
      <x:c r="Z680" s="1" t="n">
        <x:f>IF(ISNUMBER(Q680),1,0)</x:f>
        <x:v>0</x:v>
      </x:c>
    </x:row>
    <x:row r="681" ht="21" customHeight="1">
      <x:c r="A681" s="17" t="n">
        <x:f>Summary!B20</x:f>
        <x:v>46478</x:v>
      </x:c>
      <x:c r="B681" s="1" t="str">
        <x:f>'Current inventory'!A51</x:f>
        <x:v>60</x:v>
      </x:c>
      <x:c r="C681" s="1" t="str">
        <x:f>'Current inventory'!B51</x:f>
        <x:v>800WBLKASC</x:v>
      </x:c>
      <x:c r="D681" s="7" t="n">
        <x:f>A555</x:f>
        <x:v>46447</x:v>
      </x:c>
      <x:c r="E681" s="8" t="n">
        <x:f>L555</x:f>
        <x:v>0</x:v>
      </x:c>
      <x:c r="F681" s="8" t="n">
        <x:f>M555</x:f>
        <x:v>0</x:v>
      </x:c>
      <x:c r="G681" s="8" t="n">
        <x:f>N555</x:f>
        <x:v>1343.4105954825463</x:v>
      </x:c>
      <x:c r="H681" s="8" t="n">
        <x:f>SUMIFS('PO detail'!$U$2:$U$672,'PO detail'!$A$2:$A$672,B681,'PO detail'!$B$2:$B$672,C681,'PO detail'!$G$2:$G$672,"&gt;="&amp;D681,'PO detail'!$G$2:$G$672,"&lt;"&amp;A681)</x:f>
        <x:v>0</x:v>
      </x:c>
      <x:c r="I681" s="8" t="n">
        <x:f>SUMIFS('PO detail'!$V$2:$V$672,'PO detail'!$A$2:$A$672,B681,'PO detail'!$B$2:$B$672,C681,'PO detail'!$G$2:$G$672,"&gt;="&amp;D681,'PO detail'!$G$2:$G$672,"&lt;"&amp;A681)</x:f>
        <x:v>0</x:v>
      </x:c>
      <x:c r="J681" s="8" t="n">
        <x:f>SUMIFS('PO detail'!$W$2:$W$672,'PO detail'!$A$2:$A$672,B681,'PO detail'!$B$2:$B$672,C681,'PO detail'!$G$2:$G$672,"&gt;="&amp;D681,'PO detail'!$G$2:$G$672,"&lt;"&amp;A681)</x:f>
        <x:v>0</x:v>
      </x:c>
      <x:c r="K681" s="8" t="n">
        <x:f>'Current inventory'!E51*Summary!$D$6*(A681-D681)/30.4375</x:f>
        <x:v>33.94595482546201</x:v>
      </x:c>
      <x:c r="L681" s="8" t="n">
        <x:f>MAX(0,E681+H681-K681)</x:f>
        <x:v>0</x:v>
      </x:c>
      <x:c r="M681" s="8" t="n">
        <x:f>MAX(0,F681+I681-MAX(0,K681-E681-H681))</x:f>
        <x:v>0</x:v>
      </x:c>
      <x:c r="N681" s="8" t="n">
        <x:f>MAX(0,G681+J681-K681)</x:f>
        <x:v>1309.4646406570844</x:v>
      </x:c>
      <x:c r="O681" s="8" t="n">
        <x:f>SUM(L681:N681)</x:f>
        <x:v>1309.4646406570844</x:v>
      </x:c>
      <x:c r="P681" s="14" t="n">
        <x:f>'Current inventory'!V51</x:f>
        <x:v>0.111</x:v>
      </x:c>
      <x:c r="Q681" s="14" t="str">
        <x:f>'Current inventory'!W51</x:f>
        <x:v>n.a.</x:v>
      </x:c>
      <x:c r="R681" s="10" t="n">
        <x:f>L681*P681</x:f>
        <x:v>0</x:v>
      </x:c>
      <x:c r="S681" s="10" t="n">
        <x:f>M681*P681</x:f>
        <x:v>0</x:v>
      </x:c>
      <x:c r="T681" s="10" t="n">
        <x:f>N681*P681</x:f>
        <x:v>145.35057511293635</x:v>
      </x:c>
      <x:c r="U681" s="10" t="n">
        <x:f>O681*P681</x:f>
        <x:v>145.35057511293635</x:v>
      </x:c>
      <x:c r="V681" s="10" t="str">
        <x:f>IF(ISNUMBER(Q681),O681*(Q681-P681),"n.a.")</x:f>
        <x:v>n.a.</x:v>
      </x:c>
      <x:c r="W681" s="10" t="n">
        <x:f>IF(ISNUMBER(Q681),U681,0)</x:f>
        <x:v>0</x:v>
      </x:c>
      <x:c r="X681" s="8" t="n">
        <x:f>MAX(0,K681-SUM(E681:J681))</x:f>
        <x:v>0</x:v>
      </x:c>
      <x:c r="Y681" s="1" t="str">
        <x:f>IF(AND(O681&gt;0,NOT(ISNUMBER(Q681))),"No proposed replacement standard",IF(X681&gt;0,"Demand exceeds available stock",""))</x:f>
        <x:v>No proposed replacement standard</x:v>
      </x:c>
      <x:c r="Z681" s="1" t="n">
        <x:f>IF(ISNUMBER(Q681),1,0)</x:f>
        <x:v>0</x:v>
      </x:c>
    </x:row>
    <x:row r="682" ht="21" customHeight="1">
      <x:c r="A682" s="17" t="n">
        <x:f>Summary!B20</x:f>
        <x:v>46478</x:v>
      </x:c>
      <x:c r="B682" s="1" t="str">
        <x:f>'Current inventory'!A52</x:f>
        <x:v>10</x:v>
      </x:c>
      <x:c r="C682" s="1" t="str">
        <x:f>'Current inventory'!B52</x:f>
        <x:v>800WMARASC</x:v>
      </x:c>
      <x:c r="D682" s="7" t="n">
        <x:f>A556</x:f>
        <x:v>46447</x:v>
      </x:c>
      <x:c r="E682" s="8" t="n">
        <x:f>L556</x:f>
        <x:v>0</x:v>
      </x:c>
      <x:c r="F682" s="8" t="n">
        <x:f>M556</x:f>
        <x:v>0</x:v>
      </x:c>
      <x:c r="G682" s="8" t="n">
        <x:f>N556</x:f>
        <x:v>221.68180698151951</x:v>
      </x:c>
      <x:c r="H682" s="8" t="n">
        <x:f>SUMIFS('PO detail'!$U$2:$U$672,'PO detail'!$A$2:$A$672,B682,'PO detail'!$B$2:$B$672,C682,'PO detail'!$G$2:$G$672,"&gt;="&amp;D682,'PO detail'!$G$2:$G$672,"&lt;"&amp;A682)</x:f>
        <x:v>0</x:v>
      </x:c>
      <x:c r="I682" s="8" t="n">
        <x:f>SUMIFS('PO detail'!$V$2:$V$672,'PO detail'!$A$2:$A$672,B682,'PO detail'!$B$2:$B$672,C682,'PO detail'!$G$2:$G$672,"&gt;="&amp;D682,'PO detail'!$G$2:$G$672,"&lt;"&amp;A682)</x:f>
        <x:v>0</x:v>
      </x:c>
      <x:c r="J682" s="8" t="n">
        <x:f>SUMIFS('PO detail'!$W$2:$W$672,'PO detail'!$A$2:$A$672,B682,'PO detail'!$B$2:$B$672,C682,'PO detail'!$G$2:$G$672,"&gt;="&amp;D682,'PO detail'!$G$2:$G$672,"&lt;"&amp;A682)</x:f>
        <x:v>0</x:v>
      </x:c>
      <x:c r="K682" s="8" t="n">
        <x:f>'Current inventory'!E52*Summary!$D$6*(A682-D682)/30.4375</x:f>
        <x:v>16.978069815195074</x:v>
      </x:c>
      <x:c r="L682" s="8" t="n">
        <x:f>MAX(0,E682+H682-K682)</x:f>
        <x:v>0</x:v>
      </x:c>
      <x:c r="M682" s="8" t="n">
        <x:f>MAX(0,F682+I682-MAX(0,K682-E682-H682))</x:f>
        <x:v>0</x:v>
      </x:c>
      <x:c r="N682" s="8" t="n">
        <x:f>MAX(0,G682+J682-K682)</x:f>
        <x:v>204.70373716632443</x:v>
      </x:c>
      <x:c r="O682" s="8" t="n">
        <x:f>SUM(L682:N682)</x:f>
        <x:v>204.70373716632443</x:v>
      </x:c>
      <x:c r="P682" s="14" t="n">
        <x:f>'Current inventory'!V52</x:f>
        <x:v>0.1383</x:v>
      </x:c>
      <x:c r="Q682" s="14" t="str">
        <x:f>'Current inventory'!W52</x:f>
        <x:v>n.a.</x:v>
      </x:c>
      <x:c r="R682" s="10" t="n">
        <x:f>L682*P682</x:f>
        <x:v>0</x:v>
      </x:c>
      <x:c r="S682" s="10" t="n">
        <x:f>M682*P682</x:f>
        <x:v>0</x:v>
      </x:c>
      <x:c r="T682" s="10" t="n">
        <x:f>N682*P682</x:f>
        <x:v>28.31052685010267</x:v>
      </x:c>
      <x:c r="U682" s="10" t="n">
        <x:f>O682*P682</x:f>
        <x:v>28.31052685010267</x:v>
      </x:c>
      <x:c r="V682" s="10" t="str">
        <x:f>IF(ISNUMBER(Q682),O682*(Q682-P682),"n.a.")</x:f>
        <x:v>n.a.</x:v>
      </x:c>
      <x:c r="W682" s="10" t="n">
        <x:f>IF(ISNUMBER(Q682),U682,0)</x:f>
        <x:v>0</x:v>
      </x:c>
      <x:c r="X682" s="8" t="n">
        <x:f>MAX(0,K682-SUM(E682:J682))</x:f>
        <x:v>0</x:v>
      </x:c>
      <x:c r="Y682" s="1" t="str">
        <x:f>IF(AND(O682&gt;0,NOT(ISNUMBER(Q682))),"No proposed replacement standard",IF(X682&gt;0,"Demand exceeds available stock",""))</x:f>
        <x:v>No proposed replacement standard</x:v>
      </x:c>
      <x:c r="Z682" s="1" t="n">
        <x:f>IF(ISNUMBER(Q682),1,0)</x:f>
        <x:v>0</x:v>
      </x:c>
    </x:row>
    <x:row r="683" ht="21" customHeight="1">
      <x:c r="A683" s="17" t="n">
        <x:f>Summary!B20</x:f>
        <x:v>46478</x:v>
      </x:c>
      <x:c r="B683" s="1" t="str">
        <x:f>'Current inventory'!A53</x:f>
        <x:v>10</x:v>
      </x:c>
      <x:c r="C683" s="1" t="str">
        <x:f>'Current inventory'!B53</x:f>
        <x:v>800WNAVASC</x:v>
      </x:c>
      <x:c r="D683" s="7" t="n">
        <x:f>A557</x:f>
        <x:v>46447</x:v>
      </x:c>
      <x:c r="E683" s="8" t="n">
        <x:f>L557</x:f>
        <x:v>0</x:v>
      </x:c>
      <x:c r="F683" s="8" t="n">
        <x:f>M557</x:f>
        <x:v>0</x:v>
      </x:c>
      <x:c r="G683" s="8" t="n">
        <x:f>N557</x:f>
        <x:v>621.6818069815195</x:v>
      </x:c>
      <x:c r="H683" s="8" t="n">
        <x:f>SUMIFS('PO detail'!$U$2:$U$672,'PO detail'!$A$2:$A$672,B683,'PO detail'!$B$2:$B$672,C683,'PO detail'!$G$2:$G$672,"&gt;="&amp;D683,'PO detail'!$G$2:$G$672,"&lt;"&amp;A683)</x:f>
        <x:v>0</x:v>
      </x:c>
      <x:c r="I683" s="8" t="n">
        <x:f>SUMIFS('PO detail'!$V$2:$V$672,'PO detail'!$A$2:$A$672,B683,'PO detail'!$B$2:$B$672,C683,'PO detail'!$G$2:$G$672,"&gt;="&amp;D683,'PO detail'!$G$2:$G$672,"&lt;"&amp;A683)</x:f>
        <x:v>0</x:v>
      </x:c>
      <x:c r="J683" s="8" t="n">
        <x:f>SUMIFS('PO detail'!$W$2:$W$672,'PO detail'!$A$2:$A$672,B683,'PO detail'!$B$2:$B$672,C683,'PO detail'!$G$2:$G$672,"&gt;="&amp;D683,'PO detail'!$G$2:$G$672,"&lt;"&amp;A683)</x:f>
        <x:v>0</x:v>
      </x:c>
      <x:c r="K683" s="8" t="n">
        <x:f>'Current inventory'!E53*Summary!$D$6*(A683-D683)/30.4375</x:f>
        <x:v>16.978069815195074</x:v>
      </x:c>
      <x:c r="L683" s="8" t="n">
        <x:f>MAX(0,E683+H683-K683)</x:f>
        <x:v>0</x:v>
      </x:c>
      <x:c r="M683" s="8" t="n">
        <x:f>MAX(0,F683+I683-MAX(0,K683-E683-H683))</x:f>
        <x:v>0</x:v>
      </x:c>
      <x:c r="N683" s="8" t="n">
        <x:f>MAX(0,G683+J683-K683)</x:f>
        <x:v>604.7037371663243</x:v>
      </x:c>
      <x:c r="O683" s="8" t="n">
        <x:f>SUM(L683:N683)</x:f>
        <x:v>604.7037371663243</x:v>
      </x:c>
      <x:c r="P683" s="14" t="n">
        <x:f>'Current inventory'!V53</x:f>
        <x:v>0.13570000000000002</x:v>
      </x:c>
      <x:c r="Q683" s="14" t="str">
        <x:f>'Current inventory'!W53</x:f>
        <x:v>n.a.</x:v>
      </x:c>
      <x:c r="R683" s="10" t="n">
        <x:f>L683*P683</x:f>
        <x:v>0</x:v>
      </x:c>
      <x:c r="S683" s="10" t="n">
        <x:f>M683*P683</x:f>
        <x:v>0</x:v>
      </x:c>
      <x:c r="T683" s="10" t="n">
        <x:f>N683*P683</x:f>
        <x:v>82.05829713347022</x:v>
      </x:c>
      <x:c r="U683" s="10" t="n">
        <x:f>O683*P683</x:f>
        <x:v>82.05829713347022</x:v>
      </x:c>
      <x:c r="V683" s="10" t="str">
        <x:f>IF(ISNUMBER(Q683),O683*(Q683-P683),"n.a.")</x:f>
        <x:v>n.a.</x:v>
      </x:c>
      <x:c r="W683" s="10" t="n">
        <x:f>IF(ISNUMBER(Q683),U683,0)</x:f>
        <x:v>0</x:v>
      </x:c>
      <x:c r="X683" s="8" t="n">
        <x:f>MAX(0,K683-SUM(E683:J683))</x:f>
        <x:v>0</x:v>
      </x:c>
      <x:c r="Y683" s="1" t="str">
        <x:f>IF(AND(O683&gt;0,NOT(ISNUMBER(Q683))),"No proposed replacement standard",IF(X683&gt;0,"Demand exceeds available stock",""))</x:f>
        <x:v>No proposed replacement standard</x:v>
      </x:c>
      <x:c r="Z683" s="1" t="n">
        <x:f>IF(ISNUMBER(Q683),1,0)</x:f>
        <x:v>0</x:v>
      </x:c>
    </x:row>
    <x:row r="684" ht="21" customHeight="1">
      <x:c r="A684" s="17" t="n">
        <x:f>Summary!B20</x:f>
        <x:v>46478</x:v>
      </x:c>
      <x:c r="B684" s="1" t="str">
        <x:f>'Current inventory'!A54</x:f>
        <x:v>30</x:v>
      </x:c>
      <x:c r="C684" s="1" t="str">
        <x:f>'Current inventory'!B54</x:f>
        <x:v>800BMARDSC</x:v>
      </x:c>
      <x:c r="D684" s="7" t="n">
        <x:f>A558</x:f>
        <x:v>46447</x:v>
      </x:c>
      <x:c r="E684" s="8" t="n">
        <x:f>L558</x:f>
        <x:v>0</x:v>
      </x:c>
      <x:c r="F684" s="8" t="n">
        <x:f>M558</x:f>
        <x:v>0</x:v>
      </x:c>
      <x:c r="G684" s="8" t="n">
        <x:f>N558</x:f>
        <x:v>2621.6818069815204</x:v>
      </x:c>
      <x:c r="H684" s="8" t="n">
        <x:f>SUMIFS('PO detail'!$U$2:$U$672,'PO detail'!$A$2:$A$672,B684,'PO detail'!$B$2:$B$672,C684,'PO detail'!$G$2:$G$672,"&gt;="&amp;D684,'PO detail'!$G$2:$G$672,"&lt;"&amp;A684)</x:f>
        <x:v>0</x:v>
      </x:c>
      <x:c r="I684" s="8" t="n">
        <x:f>SUMIFS('PO detail'!$V$2:$V$672,'PO detail'!$A$2:$A$672,B684,'PO detail'!$B$2:$B$672,C684,'PO detail'!$G$2:$G$672,"&gt;="&amp;D684,'PO detail'!$G$2:$G$672,"&lt;"&amp;A684)</x:f>
        <x:v>0</x:v>
      </x:c>
      <x:c r="J684" s="8" t="n">
        <x:f>SUMIFS('PO detail'!$W$2:$W$672,'PO detail'!$A$2:$A$672,B684,'PO detail'!$B$2:$B$672,C684,'PO detail'!$G$2:$G$672,"&gt;="&amp;D684,'PO detail'!$G$2:$G$672,"&lt;"&amp;A684)</x:f>
        <x:v>0</x:v>
      </x:c>
      <x:c r="K684" s="8" t="n">
        <x:f>'Current inventory'!E54*Summary!$D$6*(A684-D684)/30.4375</x:f>
        <x:v>16.978069815195074</x:v>
      </x:c>
      <x:c r="L684" s="8" t="n">
        <x:f>MAX(0,E684+H684-K684)</x:f>
        <x:v>0</x:v>
      </x:c>
      <x:c r="M684" s="8" t="n">
        <x:f>MAX(0,F684+I684-MAX(0,K684-E684-H684))</x:f>
        <x:v>0</x:v>
      </x:c>
      <x:c r="N684" s="8" t="n">
        <x:f>MAX(0,G684+J684-K684)</x:f>
        <x:v>2604.7037371663255</x:v>
      </x:c>
      <x:c r="O684" s="8" t="n">
        <x:f>SUM(L684:N684)</x:f>
        <x:v>2604.7037371663255</x:v>
      </x:c>
      <x:c r="P684" s="14" t="n">
        <x:f>'Current inventory'!V54</x:f>
        <x:v>0.3998</x:v>
      </x:c>
      <x:c r="Q684" s="14" t="str">
        <x:f>'Current inventory'!W54</x:f>
        <x:v>n.a.</x:v>
      </x:c>
      <x:c r="R684" s="10" t="n">
        <x:f>L684*P684</x:f>
        <x:v>0</x:v>
      </x:c>
      <x:c r="S684" s="10" t="n">
        <x:f>M684*P684</x:f>
        <x:v>0</x:v>
      </x:c>
      <x:c r="T684" s="10" t="n">
        <x:f>N684*P684</x:f>
        <x:v>1041.3605541190968</x:v>
      </x:c>
      <x:c r="U684" s="10" t="n">
        <x:f>O684*P684</x:f>
        <x:v>1041.3605541190968</x:v>
      </x:c>
      <x:c r="V684" s="10" t="str">
        <x:f>IF(ISNUMBER(Q684),O684*(Q684-P684),"n.a.")</x:f>
        <x:v>n.a.</x:v>
      </x:c>
      <x:c r="W684" s="10" t="n">
        <x:f>IF(ISNUMBER(Q684),U684,0)</x:f>
        <x:v>0</x:v>
      </x:c>
      <x:c r="X684" s="8" t="n">
        <x:f>MAX(0,K684-SUM(E684:J684))</x:f>
        <x:v>0</x:v>
      </x:c>
      <x:c r="Y684" s="1" t="str">
        <x:f>IF(AND(O684&gt;0,NOT(ISNUMBER(Q684))),"No proposed replacement standard",IF(X684&gt;0,"Demand exceeds available stock",""))</x:f>
        <x:v>No proposed replacement standard</x:v>
      </x:c>
      <x:c r="Z684" s="1" t="n">
        <x:f>IF(ISNUMBER(Q684),1,0)</x:f>
        <x:v>0</x:v>
      </x:c>
    </x:row>
    <x:row r="685" ht="21" customHeight="1">
      <x:c r="A685" s="17" t="n">
        <x:f>Summary!B20</x:f>
        <x:v>46478</x:v>
      </x:c>
      <x:c r="B685" s="1" t="str">
        <x:f>'Current inventory'!A55</x:f>
        <x:v>60</x:v>
      </x:c>
      <x:c r="C685" s="1" t="str">
        <x:f>'Current inventory'!B55</x:f>
        <x:v>800WNAVASC</x:v>
      </x:c>
      <x:c r="D685" s="7" t="n">
        <x:f>A559</x:f>
        <x:v>46447</x:v>
      </x:c>
      <x:c r="E685" s="8" t="n">
        <x:f>L559</x:f>
        <x:v>0</x:v>
      </x:c>
      <x:c r="F685" s="8" t="n">
        <x:f>M559</x:f>
        <x:v>0</x:v>
      </x:c>
      <x:c r="G685" s="8" t="n">
        <x:f>N559</x:f>
        <x:v>921.6818069815195</x:v>
      </x:c>
      <x:c r="H685" s="8" t="n">
        <x:f>SUMIFS('PO detail'!$U$2:$U$672,'PO detail'!$A$2:$A$672,B685,'PO detail'!$B$2:$B$672,C685,'PO detail'!$G$2:$G$672,"&gt;="&amp;D685,'PO detail'!$G$2:$G$672,"&lt;"&amp;A685)</x:f>
        <x:v>0</x:v>
      </x:c>
      <x:c r="I685" s="8" t="n">
        <x:f>SUMIFS('PO detail'!$V$2:$V$672,'PO detail'!$A$2:$A$672,B685,'PO detail'!$B$2:$B$672,C685,'PO detail'!$G$2:$G$672,"&gt;="&amp;D685,'PO detail'!$G$2:$G$672,"&lt;"&amp;A685)</x:f>
        <x:v>0</x:v>
      </x:c>
      <x:c r="J685" s="8" t="n">
        <x:f>SUMIFS('PO detail'!$W$2:$W$672,'PO detail'!$A$2:$A$672,B685,'PO detail'!$B$2:$B$672,C685,'PO detail'!$G$2:$G$672,"&gt;="&amp;D685,'PO detail'!$G$2:$G$672,"&lt;"&amp;A685)</x:f>
        <x:v>0</x:v>
      </x:c>
      <x:c r="K685" s="8" t="n">
        <x:f>'Current inventory'!E55*Summary!$D$6*(A685-D685)/30.4375</x:f>
        <x:v>16.978069815195074</x:v>
      </x:c>
      <x:c r="L685" s="8" t="n">
        <x:f>MAX(0,E685+H685-K685)</x:f>
        <x:v>0</x:v>
      </x:c>
      <x:c r="M685" s="8" t="n">
        <x:f>MAX(0,F685+I685-MAX(0,K685-E685-H685))</x:f>
        <x:v>0</x:v>
      </x:c>
      <x:c r="N685" s="8" t="n">
        <x:f>MAX(0,G685+J685-K685)</x:f>
        <x:v>904.7037371663243</x:v>
      </x:c>
      <x:c r="O685" s="8" t="n">
        <x:f>SUM(L685:N685)</x:f>
        <x:v>904.7037371663243</x:v>
      </x:c>
      <x:c r="P685" s="14" t="n">
        <x:f>'Current inventory'!V55</x:f>
        <x:v>0.13570000000000002</x:v>
      </x:c>
      <x:c r="Q685" s="14" t="str">
        <x:f>'Current inventory'!W55</x:f>
        <x:v>n.a.</x:v>
      </x:c>
      <x:c r="R685" s="10" t="n">
        <x:f>L685*P685</x:f>
        <x:v>0</x:v>
      </x:c>
      <x:c r="S685" s="10" t="n">
        <x:f>M685*P685</x:f>
        <x:v>0</x:v>
      </x:c>
      <x:c r="T685" s="10" t="n">
        <x:f>N685*P685</x:f>
        <x:v>122.76829713347023</x:v>
      </x:c>
      <x:c r="U685" s="10" t="n">
        <x:f>O685*P685</x:f>
        <x:v>122.76829713347023</x:v>
      </x:c>
      <x:c r="V685" s="10" t="str">
        <x:f>IF(ISNUMBER(Q685),O685*(Q685-P685),"n.a.")</x:f>
        <x:v>n.a.</x:v>
      </x:c>
      <x:c r="W685" s="10" t="n">
        <x:f>IF(ISNUMBER(Q685),U685,0)</x:f>
        <x:v>0</x:v>
      </x:c>
      <x:c r="X685" s="8" t="n">
        <x:f>MAX(0,K685-SUM(E685:J685))</x:f>
        <x:v>0</x:v>
      </x:c>
      <x:c r="Y685" s="1" t="str">
        <x:f>IF(AND(O685&gt;0,NOT(ISNUMBER(Q685))),"No proposed replacement standard",IF(X685&gt;0,"Demand exceeds available stock",""))</x:f>
        <x:v>No proposed replacement standard</x:v>
      </x:c>
      <x:c r="Z685" s="1" t="n">
        <x:f>IF(ISNUMBER(Q685),1,0)</x:f>
        <x:v>0</x:v>
      </x:c>
    </x:row>
    <x:row r="686" ht="21" customHeight="1">
      <x:c r="A686" s="17" t="n">
        <x:f>Summary!B20</x:f>
        <x:v>46478</x:v>
      </x:c>
      <x:c r="B686" s="1" t="str">
        <x:f>'Current inventory'!A56</x:f>
        <x:v>60</x:v>
      </x:c>
      <x:c r="C686" s="1" t="str">
        <x:f>'Current inventory'!B56</x:f>
        <x:v>800BMARDSC</x:v>
      </x:c>
      <x:c r="D686" s="7" t="n">
        <x:f>A560</x:f>
        <x:v>46447</x:v>
      </x:c>
      <x:c r="E686" s="8" t="n">
        <x:f>L560</x:f>
        <x:v>0</x:v>
      </x:c>
      <x:c r="F686" s="8" t="n">
        <x:f>M560</x:f>
        <x:v>0</x:v>
      </x:c>
      <x:c r="G686" s="8" t="n">
        <x:f>N560</x:f>
        <x:v>560.8643942505134</x:v>
      </x:c>
      <x:c r="H686" s="8" t="n">
        <x:f>SUMIFS('PO detail'!$U$2:$U$672,'PO detail'!$A$2:$A$672,B686,'PO detail'!$B$2:$B$672,C686,'PO detail'!$G$2:$G$672,"&gt;="&amp;D686,'PO detail'!$G$2:$G$672,"&lt;"&amp;A686)</x:f>
        <x:v>0</x:v>
      </x:c>
      <x:c r="I686" s="8" t="n">
        <x:f>SUMIFS('PO detail'!$V$2:$V$672,'PO detail'!$A$2:$A$672,B686,'PO detail'!$B$2:$B$672,C686,'PO detail'!$G$2:$G$672,"&gt;="&amp;D686,'PO detail'!$G$2:$G$672,"&lt;"&amp;A686)</x:f>
        <x:v>0</x:v>
      </x:c>
      <x:c r="J686" s="8" t="n">
        <x:f>SUMIFS('PO detail'!$W$2:$W$672,'PO detail'!$A$2:$A$672,B686,'PO detail'!$B$2:$B$672,C686,'PO detail'!$G$2:$G$672,"&gt;="&amp;D686,'PO detail'!$G$2:$G$672,"&lt;"&amp;A686)</x:f>
        <x:v>0</x:v>
      </x:c>
      <x:c r="K686" s="8" t="n">
        <x:f>'Current inventory'!E56*Summary!$D$6*(A686-D686)/30.4375</x:f>
        <x:v>8.48394250513347</x:v>
      </x:c>
      <x:c r="L686" s="8" t="n">
        <x:f>MAX(0,E686+H686-K686)</x:f>
        <x:v>0</x:v>
      </x:c>
      <x:c r="M686" s="8" t="n">
        <x:f>MAX(0,F686+I686-MAX(0,K686-E686-H686))</x:f>
        <x:v>0</x:v>
      </x:c>
      <x:c r="N686" s="8" t="n">
        <x:f>MAX(0,G686+J686-K686)</x:f>
        <x:v>552.38045174538</x:v>
      </x:c>
      <x:c r="O686" s="8" t="n">
        <x:f>SUM(L686:N686)</x:f>
        <x:v>552.38045174538</x:v>
      </x:c>
      <x:c r="P686" s="14" t="n">
        <x:f>'Current inventory'!V56</x:f>
        <x:v>0.3998</x:v>
      </x:c>
      <x:c r="Q686" s="14" t="str">
        <x:f>'Current inventory'!W56</x:f>
        <x:v>n.a.</x:v>
      </x:c>
      <x:c r="R686" s="10" t="n">
        <x:f>L686*P686</x:f>
        <x:v>0</x:v>
      </x:c>
      <x:c r="S686" s="10" t="n">
        <x:f>M686*P686</x:f>
        <x:v>0</x:v>
      </x:c>
      <x:c r="T686" s="10" t="n">
        <x:f>N686*P686</x:f>
        <x:v>220.8417046078029</x:v>
      </x:c>
      <x:c r="U686" s="10" t="n">
        <x:f>O686*P686</x:f>
        <x:v>220.8417046078029</x:v>
      </x:c>
      <x:c r="V686" s="10" t="str">
        <x:f>IF(ISNUMBER(Q686),O686*(Q686-P686),"n.a.")</x:f>
        <x:v>n.a.</x:v>
      </x:c>
      <x:c r="W686" s="10" t="n">
        <x:f>IF(ISNUMBER(Q686),U686,0)</x:f>
        <x:v>0</x:v>
      </x:c>
      <x:c r="X686" s="8" t="n">
        <x:f>MAX(0,K686-SUM(E686:J686))</x:f>
        <x:v>0</x:v>
      </x:c>
      <x:c r="Y686" s="1" t="str">
        <x:f>IF(AND(O686&gt;0,NOT(ISNUMBER(Q686))),"No proposed replacement standard",IF(X686&gt;0,"Demand exceeds available stock",""))</x:f>
        <x:v>No proposed replacement standard</x:v>
      </x:c>
      <x:c r="Z686" s="1" t="n">
        <x:f>IF(ISNUMBER(Q686),1,0)</x:f>
        <x:v>0</x:v>
      </x:c>
    </x:row>
    <x:row r="687" ht="21" customHeight="1">
      <x:c r="A687" s="17" t="n">
        <x:f>Summary!B20</x:f>
        <x:v>46478</x:v>
      </x:c>
      <x:c r="B687" s="1" t="str">
        <x:f>'Current inventory'!A57</x:f>
        <x:v>10</x:v>
      </x:c>
      <x:c r="C687" s="1" t="str">
        <x:f>'Current inventory'!B57</x:f>
        <x:v>800BFGASC</x:v>
      </x:c>
      <x:c r="D687" s="7" t="n">
        <x:f>A561</x:f>
        <x:v>46447</x:v>
      </x:c>
      <x:c r="E687" s="8" t="n">
        <x:f>L561</x:f>
        <x:v>0</x:v>
      </x:c>
      <x:c r="F687" s="8" t="n">
        <x:f>M561</x:f>
        <x:v>0</x:v>
      </x:c>
      <x:c r="G687" s="8" t="n">
        <x:f>N561</x:f>
        <x:v>0</x:v>
      </x:c>
      <x:c r="H687" s="8" t="n">
        <x:f>SUMIFS('PO detail'!$U$2:$U$672,'PO detail'!$A$2:$A$672,B687,'PO detail'!$B$2:$B$672,C687,'PO detail'!$G$2:$G$672,"&gt;="&amp;D687,'PO detail'!$G$2:$G$672,"&lt;"&amp;A687)</x:f>
        <x:v>0</x:v>
      </x:c>
      <x:c r="I687" s="8" t="n">
        <x:f>SUMIFS('PO detail'!$V$2:$V$672,'PO detail'!$A$2:$A$672,B687,'PO detail'!$B$2:$B$672,C687,'PO detail'!$G$2:$G$672,"&gt;="&amp;D687,'PO detail'!$G$2:$G$672,"&lt;"&amp;A687)</x:f>
        <x:v>0</x:v>
      </x:c>
      <x:c r="J687" s="8" t="n">
        <x:f>SUMIFS('PO detail'!$W$2:$W$672,'PO detail'!$A$2:$A$672,B687,'PO detail'!$B$2:$B$672,C687,'PO detail'!$G$2:$G$672,"&gt;="&amp;D687,'PO detail'!$G$2:$G$672,"&lt;"&amp;A687)</x:f>
        <x:v>0</x:v>
      </x:c>
      <x:c r="K687" s="8" t="n">
        <x:f>'Current inventory'!E57*Summary!$D$6*(A687-D687)/30.4375</x:f>
        <x:v>0</x:v>
      </x:c>
      <x:c r="L687" s="8" t="n">
        <x:f>MAX(0,E687+H687-K687)</x:f>
        <x:v>0</x:v>
      </x:c>
      <x:c r="M687" s="8" t="n">
        <x:f>MAX(0,F687+I687-MAX(0,K687-E687-H687))</x:f>
        <x:v>0</x:v>
      </x:c>
      <x:c r="N687" s="8" t="n">
        <x:f>MAX(0,G687+J687-K687)</x:f>
        <x:v>0</x:v>
      </x:c>
      <x:c r="O687" s="8" t="n">
        <x:f>SUM(L687:N687)</x:f>
        <x:v>0</x:v>
      </x:c>
      <x:c r="P687" s="14" t="n">
        <x:f>'Current inventory'!V57</x:f>
        <x:v>0.1456</x:v>
      </x:c>
      <x:c r="Q687" s="14" t="str">
        <x:f>'Current inventory'!W57</x:f>
        <x:v>n.a.</x:v>
      </x:c>
      <x:c r="R687" s="10" t="n">
        <x:f>L687*P687</x:f>
        <x:v>0</x:v>
      </x:c>
      <x:c r="S687" s="10" t="n">
        <x:f>M687*P687</x:f>
        <x:v>0</x:v>
      </x:c>
      <x:c r="T687" s="10" t="n">
        <x:f>N687*P687</x:f>
        <x:v>0</x:v>
      </x:c>
      <x:c r="U687" s="10" t="n">
        <x:f>O687*P687</x:f>
        <x:v>0</x:v>
      </x:c>
      <x:c r="V687" s="10" t="str">
        <x:f>IF(ISNUMBER(Q687),O687*(Q687-P687),"n.a.")</x:f>
        <x:v>n.a.</x:v>
      </x:c>
      <x:c r="W687" s="10" t="n">
        <x:f>IF(ISNUMBER(Q687),U687,0)</x:f>
        <x:v>0</x:v>
      </x:c>
      <x:c r="X687" s="8" t="n">
        <x:f>MAX(0,K687-SUM(E687:J687))</x:f>
        <x:v>0</x:v>
      </x:c>
      <x:c r="Y687" s="1" t="str">
        <x:f>IF(AND(O687&gt;0,NOT(ISNUMBER(Q687))),"No proposed replacement standard",IF(X687&gt;0,"Demand exceeds available stock",""))</x:f>
      </x:c>
      <x:c r="Z687" s="1" t="n">
        <x:f>IF(ISNUMBER(Q687),1,0)</x:f>
        <x:v>0</x:v>
      </x:c>
    </x:row>
    <x:row r="688" ht="21" customHeight="1">
      <x:c r="A688" s="17" t="n">
        <x:f>Summary!B20</x:f>
        <x:v>46478</x:v>
      </x:c>
      <x:c r="B688" s="1" t="str">
        <x:f>'Current inventory'!A58</x:f>
        <x:v>10</x:v>
      </x:c>
      <x:c r="C688" s="1" t="str">
        <x:f>'Current inventory'!B58</x:f>
        <x:v>800BFGBRC</x:v>
      </x:c>
      <x:c r="D688" s="7" t="n">
        <x:f>A562</x:f>
        <x:v>46447</x:v>
      </x:c>
      <x:c r="E688" s="8" t="n">
        <x:f>L562</x:f>
        <x:v>0</x:v>
      </x:c>
      <x:c r="F688" s="8" t="n">
        <x:f>M562</x:f>
        <x:v>0</x:v>
      </x:c>
      <x:c r="G688" s="8" t="n">
        <x:f>N562</x:f>
        <x:v>0</x:v>
      </x:c>
      <x:c r="H688" s="8" t="n">
        <x:f>SUMIFS('PO detail'!$U$2:$U$672,'PO detail'!$A$2:$A$672,B688,'PO detail'!$B$2:$B$672,C688,'PO detail'!$G$2:$G$672,"&gt;="&amp;D688,'PO detail'!$G$2:$G$672,"&lt;"&amp;A688)</x:f>
        <x:v>0</x:v>
      </x:c>
      <x:c r="I688" s="8" t="n">
        <x:f>SUMIFS('PO detail'!$V$2:$V$672,'PO detail'!$A$2:$A$672,B688,'PO detail'!$B$2:$B$672,C688,'PO detail'!$G$2:$G$672,"&gt;="&amp;D688,'PO detail'!$G$2:$G$672,"&lt;"&amp;A688)</x:f>
        <x:v>0</x:v>
      </x:c>
      <x:c r="J688" s="8" t="n">
        <x:f>SUMIFS('PO detail'!$W$2:$W$672,'PO detail'!$A$2:$A$672,B688,'PO detail'!$B$2:$B$672,C688,'PO detail'!$G$2:$G$672,"&gt;="&amp;D688,'PO detail'!$G$2:$G$672,"&lt;"&amp;A688)</x:f>
        <x:v>0</x:v>
      </x:c>
      <x:c r="K688" s="8" t="n">
        <x:f>'Current inventory'!E58*Summary!$D$6*(A688-D688)/30.4375</x:f>
        <x:v>0</x:v>
      </x:c>
      <x:c r="L688" s="8" t="n">
        <x:f>MAX(0,E688+H688-K688)</x:f>
        <x:v>0</x:v>
      </x:c>
      <x:c r="M688" s="8" t="n">
        <x:f>MAX(0,F688+I688-MAX(0,K688-E688-H688))</x:f>
        <x:v>0</x:v>
      </x:c>
      <x:c r="N688" s="8" t="n">
        <x:f>MAX(0,G688+J688-K688)</x:f>
        <x:v>0</x:v>
      </x:c>
      <x:c r="O688" s="8" t="n">
        <x:f>SUM(L688:N688)</x:f>
        <x:v>0</x:v>
      </x:c>
      <x:c r="P688" s="14" t="n">
        <x:f>'Current inventory'!V58</x:f>
        <x:v>0.18469999999999998</x:v>
      </x:c>
      <x:c r="Q688" s="14" t="str">
        <x:f>'Current inventory'!W58</x:f>
        <x:v>n.a.</x:v>
      </x:c>
      <x:c r="R688" s="10" t="n">
        <x:f>L688*P688</x:f>
        <x:v>0</x:v>
      </x:c>
      <x:c r="S688" s="10" t="n">
        <x:f>M688*P688</x:f>
        <x:v>0</x:v>
      </x:c>
      <x:c r="T688" s="10" t="n">
        <x:f>N688*P688</x:f>
        <x:v>0</x:v>
      </x:c>
      <x:c r="U688" s="10" t="n">
        <x:f>O688*P688</x:f>
        <x:v>0</x:v>
      </x:c>
      <x:c r="V688" s="10" t="str">
        <x:f>IF(ISNUMBER(Q688),O688*(Q688-P688),"n.a.")</x:f>
        <x:v>n.a.</x:v>
      </x:c>
      <x:c r="W688" s="10" t="n">
        <x:f>IF(ISNUMBER(Q688),U688,0)</x:f>
        <x:v>0</x:v>
      </x:c>
      <x:c r="X688" s="8" t="n">
        <x:f>MAX(0,K688-SUM(E688:J688))</x:f>
        <x:v>0</x:v>
      </x:c>
      <x:c r="Y688" s="1" t="str">
        <x:f>IF(AND(O688&gt;0,NOT(ISNUMBER(Q688))),"No proposed replacement standard",IF(X688&gt;0,"Demand exceeds available stock",""))</x:f>
      </x:c>
      <x:c r="Z688" s="1" t="n">
        <x:f>IF(ISNUMBER(Q688),1,0)</x:f>
        <x:v>0</x:v>
      </x:c>
    </x:row>
    <x:row r="689" ht="21" customHeight="1">
      <x:c r="A689" s="17" t="n">
        <x:f>Summary!B20</x:f>
        <x:v>46478</x:v>
      </x:c>
      <x:c r="B689" s="1" t="str">
        <x:f>'Current inventory'!A59</x:f>
        <x:v>10</x:v>
      </x:c>
      <x:c r="C689" s="1" t="str">
        <x:f>'Current inventory'!B59</x:f>
        <x:v>800BFGCSC</x:v>
      </x:c>
      <x:c r="D689" s="7" t="n">
        <x:f>A563</x:f>
        <x:v>46447</x:v>
      </x:c>
      <x:c r="E689" s="8" t="n">
        <x:f>L563</x:f>
        <x:v>0</x:v>
      </x:c>
      <x:c r="F689" s="8" t="n">
        <x:f>M563</x:f>
        <x:v>0</x:v>
      </x:c>
      <x:c r="G689" s="8" t="n">
        <x:f>N563</x:f>
        <x:v>0</x:v>
      </x:c>
      <x:c r="H689" s="8" t="n">
        <x:f>SUMIFS('PO detail'!$U$2:$U$672,'PO detail'!$A$2:$A$672,B689,'PO detail'!$B$2:$B$672,C689,'PO detail'!$G$2:$G$672,"&gt;="&amp;D689,'PO detail'!$G$2:$G$672,"&lt;"&amp;A689)</x:f>
        <x:v>0</x:v>
      </x:c>
      <x:c r="I689" s="8" t="n">
        <x:f>SUMIFS('PO detail'!$V$2:$V$672,'PO detail'!$A$2:$A$672,B689,'PO detail'!$B$2:$B$672,C689,'PO detail'!$G$2:$G$672,"&gt;="&amp;D689,'PO detail'!$G$2:$G$672,"&lt;"&amp;A689)</x:f>
        <x:v>0</x:v>
      </x:c>
      <x:c r="J689" s="8" t="n">
        <x:f>SUMIFS('PO detail'!$W$2:$W$672,'PO detail'!$A$2:$A$672,B689,'PO detail'!$B$2:$B$672,C689,'PO detail'!$G$2:$G$672,"&gt;="&amp;D689,'PO detail'!$G$2:$G$672,"&lt;"&amp;A689)</x:f>
        <x:v>0</x:v>
      </x:c>
      <x:c r="K689" s="8" t="n">
        <x:f>'Current inventory'!E59*Summary!$D$6*(A689-D689)/30.4375</x:f>
        <x:v>0</x:v>
      </x:c>
      <x:c r="L689" s="8" t="n">
        <x:f>MAX(0,E689+H689-K689)</x:f>
        <x:v>0</x:v>
      </x:c>
      <x:c r="M689" s="8" t="n">
        <x:f>MAX(0,F689+I689-MAX(0,K689-E689-H689))</x:f>
        <x:v>0</x:v>
      </x:c>
      <x:c r="N689" s="8" t="n">
        <x:f>MAX(0,G689+J689-K689)</x:f>
        <x:v>0</x:v>
      </x:c>
      <x:c r="O689" s="8" t="n">
        <x:f>SUM(L689:N689)</x:f>
        <x:v>0</x:v>
      </x:c>
      <x:c r="P689" s="14" t="n">
        <x:f>'Current inventory'!V59</x:f>
        <x:v>0.21559999999999999</x:v>
      </x:c>
      <x:c r="Q689" s="14" t="str">
        <x:f>'Current inventory'!W59</x:f>
        <x:v>n.a.</x:v>
      </x:c>
      <x:c r="R689" s="10" t="n">
        <x:f>L689*P689</x:f>
        <x:v>0</x:v>
      </x:c>
      <x:c r="S689" s="10" t="n">
        <x:f>M689*P689</x:f>
        <x:v>0</x:v>
      </x:c>
      <x:c r="T689" s="10" t="n">
        <x:f>N689*P689</x:f>
        <x:v>0</x:v>
      </x:c>
      <x:c r="U689" s="10" t="n">
        <x:f>O689*P689</x:f>
        <x:v>0</x:v>
      </x:c>
      <x:c r="V689" s="10" t="str">
        <x:f>IF(ISNUMBER(Q689),O689*(Q689-P689),"n.a.")</x:f>
        <x:v>n.a.</x:v>
      </x:c>
      <x:c r="W689" s="10" t="n">
        <x:f>IF(ISNUMBER(Q689),U689,0)</x:f>
        <x:v>0</x:v>
      </x:c>
      <x:c r="X689" s="8" t="n">
        <x:f>MAX(0,K689-SUM(E689:J689))</x:f>
        <x:v>0</x:v>
      </x:c>
      <x:c r="Y689" s="1" t="str">
        <x:f>IF(AND(O689&gt;0,NOT(ISNUMBER(Q689))),"No proposed replacement standard",IF(X689&gt;0,"Demand exceeds available stock",""))</x:f>
      </x:c>
      <x:c r="Z689" s="1" t="n">
        <x:f>IF(ISNUMBER(Q689),1,0)</x:f>
        <x:v>0</x:v>
      </x:c>
    </x:row>
    <x:row r="690" ht="21" customHeight="1">
      <x:c r="A690" s="17" t="n">
        <x:f>Summary!B20</x:f>
        <x:v>46478</x:v>
      </x:c>
      <x:c r="B690" s="1" t="str">
        <x:f>'Current inventory'!A60</x:f>
        <x:v>10</x:v>
      </x:c>
      <x:c r="C690" s="1" t="str">
        <x:f>'Current inventory'!B60</x:f>
        <x:v>800BFGDSC</x:v>
      </x:c>
      <x:c r="D690" s="7" t="n">
        <x:f>A564</x:f>
        <x:v>46447</x:v>
      </x:c>
      <x:c r="E690" s="8" t="n">
        <x:f>L564</x:f>
        <x:v>0</x:v>
      </x:c>
      <x:c r="F690" s="8" t="n">
        <x:f>M564</x:f>
        <x:v>0</x:v>
      </x:c>
      <x:c r="G690" s="8" t="n">
        <x:f>N564</x:f>
        <x:v>0</x:v>
      </x:c>
      <x:c r="H690" s="8" t="n">
        <x:f>SUMIFS('PO detail'!$U$2:$U$672,'PO detail'!$A$2:$A$672,B690,'PO detail'!$B$2:$B$672,C690,'PO detail'!$G$2:$G$672,"&gt;="&amp;D690,'PO detail'!$G$2:$G$672,"&lt;"&amp;A690)</x:f>
        <x:v>0</x:v>
      </x:c>
      <x:c r="I690" s="8" t="n">
        <x:f>SUMIFS('PO detail'!$V$2:$V$672,'PO detail'!$A$2:$A$672,B690,'PO detail'!$B$2:$B$672,C690,'PO detail'!$G$2:$G$672,"&gt;="&amp;D690,'PO detail'!$G$2:$G$672,"&lt;"&amp;A690)</x:f>
        <x:v>0</x:v>
      </x:c>
      <x:c r="J690" s="8" t="n">
        <x:f>SUMIFS('PO detail'!$W$2:$W$672,'PO detail'!$A$2:$A$672,B690,'PO detail'!$B$2:$B$672,C690,'PO detail'!$G$2:$G$672,"&gt;="&amp;D690,'PO detail'!$G$2:$G$672,"&lt;"&amp;A690)</x:f>
        <x:v>0</x:v>
      </x:c>
      <x:c r="K690" s="8" t="n">
        <x:f>'Current inventory'!E60*Summary!$D$6*(A690-D690)/30.4375</x:f>
        <x:v>0</x:v>
      </x:c>
      <x:c r="L690" s="8" t="n">
        <x:f>MAX(0,E690+H690-K690)</x:f>
        <x:v>0</x:v>
      </x:c>
      <x:c r="M690" s="8" t="n">
        <x:f>MAX(0,F690+I690-MAX(0,K690-E690-H690))</x:f>
        <x:v>0</x:v>
      </x:c>
      <x:c r="N690" s="8" t="n">
        <x:f>MAX(0,G690+J690-K690)</x:f>
        <x:v>0</x:v>
      </x:c>
      <x:c r="O690" s="8" t="n">
        <x:f>SUM(L690:N690)</x:f>
        <x:v>0</x:v>
      </x:c>
      <x:c r="P690" s="14" t="n">
        <x:f>'Current inventory'!V60</x:f>
        <x:v>0.38</x:v>
      </x:c>
      <x:c r="Q690" s="14" t="str">
        <x:f>'Current inventory'!W60</x:f>
        <x:v>n.a.</x:v>
      </x:c>
      <x:c r="R690" s="10" t="n">
        <x:f>L690*P690</x:f>
        <x:v>0</x:v>
      </x:c>
      <x:c r="S690" s="10" t="n">
        <x:f>M690*P690</x:f>
        <x:v>0</x:v>
      </x:c>
      <x:c r="T690" s="10" t="n">
        <x:f>N690*P690</x:f>
        <x:v>0</x:v>
      </x:c>
      <x:c r="U690" s="10" t="n">
        <x:f>O690*P690</x:f>
        <x:v>0</x:v>
      </x:c>
      <x:c r="V690" s="10" t="str">
        <x:f>IF(ISNUMBER(Q690),O690*(Q690-P690),"n.a.")</x:f>
        <x:v>n.a.</x:v>
      </x:c>
      <x:c r="W690" s="10" t="n">
        <x:f>IF(ISNUMBER(Q690),U690,0)</x:f>
        <x:v>0</x:v>
      </x:c>
      <x:c r="X690" s="8" t="n">
        <x:f>MAX(0,K690-SUM(E690:J690))</x:f>
        <x:v>0</x:v>
      </x:c>
      <x:c r="Y690" s="1" t="str">
        <x:f>IF(AND(O690&gt;0,NOT(ISNUMBER(Q690))),"No proposed replacement standard",IF(X690&gt;0,"Demand exceeds available stock",""))</x:f>
      </x:c>
      <x:c r="Z690" s="1" t="n">
        <x:f>IF(ISNUMBER(Q690),1,0)</x:f>
        <x:v>0</x:v>
      </x:c>
    </x:row>
    <x:row r="691" ht="21" customHeight="1">
      <x:c r="A691" s="17" t="n">
        <x:f>Summary!B20</x:f>
        <x:v>46478</x:v>
      </x:c>
      <x:c r="B691" s="1" t="str">
        <x:f>'Current inventory'!A61</x:f>
        <x:v>10</x:v>
      </x:c>
      <x:c r="C691" s="1" t="str">
        <x:f>'Current inventory'!B61</x:f>
        <x:v>800BFGISC</x:v>
      </x:c>
      <x:c r="D691" s="7" t="n">
        <x:f>A565</x:f>
        <x:v>46447</x:v>
      </x:c>
      <x:c r="E691" s="8" t="n">
        <x:f>L565</x:f>
        <x:v>0</x:v>
      </x:c>
      <x:c r="F691" s="8" t="n">
        <x:f>M565</x:f>
        <x:v>0</x:v>
      </x:c>
      <x:c r="G691" s="8" t="n">
        <x:f>N565</x:f>
        <x:v>0</x:v>
      </x:c>
      <x:c r="H691" s="8" t="n">
        <x:f>SUMIFS('PO detail'!$U$2:$U$672,'PO detail'!$A$2:$A$672,B691,'PO detail'!$B$2:$B$672,C691,'PO detail'!$G$2:$G$672,"&gt;="&amp;D691,'PO detail'!$G$2:$G$672,"&lt;"&amp;A691)</x:f>
        <x:v>0</x:v>
      </x:c>
      <x:c r="I691" s="8" t="n">
        <x:f>SUMIFS('PO detail'!$V$2:$V$672,'PO detail'!$A$2:$A$672,B691,'PO detail'!$B$2:$B$672,C691,'PO detail'!$G$2:$G$672,"&gt;="&amp;D691,'PO detail'!$G$2:$G$672,"&lt;"&amp;A691)</x:f>
        <x:v>0</x:v>
      </x:c>
      <x:c r="J691" s="8" t="n">
        <x:f>SUMIFS('PO detail'!$W$2:$W$672,'PO detail'!$A$2:$A$672,B691,'PO detail'!$B$2:$B$672,C691,'PO detail'!$G$2:$G$672,"&gt;="&amp;D691,'PO detail'!$G$2:$G$672,"&lt;"&amp;A691)</x:f>
        <x:v>0</x:v>
      </x:c>
      <x:c r="K691" s="8" t="n">
        <x:f>'Current inventory'!E61*Summary!$D$6*(A691-D691)/30.4375</x:f>
        <x:v>0</x:v>
      </x:c>
      <x:c r="L691" s="8" t="n">
        <x:f>MAX(0,E691+H691-K691)</x:f>
        <x:v>0</x:v>
      </x:c>
      <x:c r="M691" s="8" t="n">
        <x:f>MAX(0,F691+I691-MAX(0,K691-E691-H691))</x:f>
        <x:v>0</x:v>
      </x:c>
      <x:c r="N691" s="8" t="n">
        <x:f>MAX(0,G691+J691-K691)</x:f>
        <x:v>0</x:v>
      </x:c>
      <x:c r="O691" s="8" t="n">
        <x:f>SUM(L691:N691)</x:f>
        <x:v>0</x:v>
      </x:c>
      <x:c r="P691" s="14" t="n">
        <x:f>'Current inventory'!V61</x:f>
        <x:v>0.1797</x:v>
      </x:c>
      <x:c r="Q691" s="14" t="str">
        <x:f>'Current inventory'!W61</x:f>
        <x:v>n.a.</x:v>
      </x:c>
      <x:c r="R691" s="10" t="n">
        <x:f>L691*P691</x:f>
        <x:v>0</x:v>
      </x:c>
      <x:c r="S691" s="10" t="n">
        <x:f>M691*P691</x:f>
        <x:v>0</x:v>
      </x:c>
      <x:c r="T691" s="10" t="n">
        <x:f>N691*P691</x:f>
        <x:v>0</x:v>
      </x:c>
      <x:c r="U691" s="10" t="n">
        <x:f>O691*P691</x:f>
        <x:v>0</x:v>
      </x:c>
      <x:c r="V691" s="10" t="str">
        <x:f>IF(ISNUMBER(Q691),O691*(Q691-P691),"n.a.")</x:f>
        <x:v>n.a.</x:v>
      </x:c>
      <x:c r="W691" s="10" t="n">
        <x:f>IF(ISNUMBER(Q691),U691,0)</x:f>
        <x:v>0</x:v>
      </x:c>
      <x:c r="X691" s="8" t="n">
        <x:f>MAX(0,K691-SUM(E691:J691))</x:f>
        <x:v>0</x:v>
      </x:c>
      <x:c r="Y691" s="1" t="str">
        <x:f>IF(AND(O691&gt;0,NOT(ISNUMBER(Q691))),"No proposed replacement standard",IF(X691&gt;0,"Demand exceeds available stock",""))</x:f>
      </x:c>
      <x:c r="Z691" s="1" t="n">
        <x:f>IF(ISNUMBER(Q691),1,0)</x:f>
        <x:v>0</x:v>
      </x:c>
    </x:row>
    <x:row r="692" ht="21" customHeight="1">
      <x:c r="A692" s="17" t="n">
        <x:f>Summary!B20</x:f>
        <x:v>46478</x:v>
      </x:c>
      <x:c r="B692" s="1" t="str">
        <x:f>'Current inventory'!A62</x:f>
        <x:v>10</x:v>
      </x:c>
      <x:c r="C692" s="1" t="str">
        <x:f>'Current inventory'!B62</x:f>
        <x:v>800BLKF</x:v>
      </x:c>
      <x:c r="D692" s="7" t="n">
        <x:f>A566</x:f>
        <x:v>46447</x:v>
      </x:c>
      <x:c r="E692" s="8" t="n">
        <x:f>L566</x:f>
        <x:v>0</x:v>
      </x:c>
      <x:c r="F692" s="8" t="n">
        <x:f>M566</x:f>
        <x:v>0</x:v>
      </x:c>
      <x:c r="G692" s="8" t="n">
        <x:f>N566</x:f>
        <x:v>0</x:v>
      </x:c>
      <x:c r="H692" s="8" t="n">
        <x:f>SUMIFS('PO detail'!$U$2:$U$672,'PO detail'!$A$2:$A$672,B692,'PO detail'!$B$2:$B$672,C692,'PO detail'!$G$2:$G$672,"&gt;="&amp;D692,'PO detail'!$G$2:$G$672,"&lt;"&amp;A692)</x:f>
        <x:v>0</x:v>
      </x:c>
      <x:c r="I692" s="8" t="n">
        <x:f>SUMIFS('PO detail'!$V$2:$V$672,'PO detail'!$A$2:$A$672,B692,'PO detail'!$B$2:$B$672,C692,'PO detail'!$G$2:$G$672,"&gt;="&amp;D692,'PO detail'!$G$2:$G$672,"&lt;"&amp;A692)</x:f>
        <x:v>0</x:v>
      </x:c>
      <x:c r="J692" s="8" t="n">
        <x:f>SUMIFS('PO detail'!$W$2:$W$672,'PO detail'!$A$2:$A$672,B692,'PO detail'!$B$2:$B$672,C692,'PO detail'!$G$2:$G$672,"&gt;="&amp;D692,'PO detail'!$G$2:$G$672,"&lt;"&amp;A692)</x:f>
        <x:v>0</x:v>
      </x:c>
      <x:c r="K692" s="8" t="n">
        <x:f>'Current inventory'!E62*Summary!$D$6*(A692-D692)/30.4375</x:f>
        <x:v>0</x:v>
      </x:c>
      <x:c r="L692" s="8" t="n">
        <x:f>MAX(0,E692+H692-K692)</x:f>
        <x:v>0</x:v>
      </x:c>
      <x:c r="M692" s="8" t="n">
        <x:f>MAX(0,F692+I692-MAX(0,K692-E692-H692))</x:f>
        <x:v>0</x:v>
      </x:c>
      <x:c r="N692" s="8" t="n">
        <x:f>MAX(0,G692+J692-K692)</x:f>
        <x:v>0</x:v>
      </x:c>
      <x:c r="O692" s="8" t="n">
        <x:f>SUM(L692:N692)</x:f>
        <x:v>0</x:v>
      </x:c>
      <x:c r="P692" s="14" t="n">
        <x:f>'Current inventory'!V62</x:f>
        <x:v>7.03</x:v>
      </x:c>
      <x:c r="Q692" s="14" t="str">
        <x:f>'Current inventory'!W62</x:f>
        <x:v>n.a.</x:v>
      </x:c>
      <x:c r="R692" s="10" t="n">
        <x:f>L692*P692</x:f>
        <x:v>0</x:v>
      </x:c>
      <x:c r="S692" s="10" t="n">
        <x:f>M692*P692</x:f>
        <x:v>0</x:v>
      </x:c>
      <x:c r="T692" s="10" t="n">
        <x:f>N692*P692</x:f>
        <x:v>0</x:v>
      </x:c>
      <x:c r="U692" s="10" t="n">
        <x:f>O692*P692</x:f>
        <x:v>0</x:v>
      </x:c>
      <x:c r="V692" s="10" t="str">
        <x:f>IF(ISNUMBER(Q692),O692*(Q692-P692),"n.a.")</x:f>
        <x:v>n.a.</x:v>
      </x:c>
      <x:c r="W692" s="10" t="n">
        <x:f>IF(ISNUMBER(Q692),U692,0)</x:f>
        <x:v>0</x:v>
      </x:c>
      <x:c r="X692" s="8" t="n">
        <x:f>MAX(0,K692-SUM(E692:J692))</x:f>
        <x:v>0</x:v>
      </x:c>
      <x:c r="Y692" s="1" t="str">
        <x:f>IF(AND(O692&gt;0,NOT(ISNUMBER(Q692))),"No proposed replacement standard",IF(X692&gt;0,"Demand exceeds available stock",""))</x:f>
      </x:c>
      <x:c r="Z692" s="1" t="n">
        <x:f>IF(ISNUMBER(Q692),1,0)</x:f>
        <x:v>0</x:v>
      </x:c>
    </x:row>
    <x:row r="693" ht="21" customHeight="1">
      <x:c r="A693" s="17" t="n">
        <x:f>Summary!B20</x:f>
        <x:v>46478</x:v>
      </x:c>
      <x:c r="B693" s="1" t="str">
        <x:f>'Current inventory'!A63</x:f>
        <x:v>10</x:v>
      </x:c>
      <x:c r="C693" s="1" t="str">
        <x:f>'Current inventory'!B63</x:f>
        <x:v>800BWHTASC</x:v>
      </x:c>
      <x:c r="D693" s="7" t="n">
        <x:f>A567</x:f>
        <x:v>46447</x:v>
      </x:c>
      <x:c r="E693" s="8" t="n">
        <x:f>L567</x:f>
        <x:v>0</x:v>
      </x:c>
      <x:c r="F693" s="8" t="n">
        <x:f>M567</x:f>
        <x:v>0</x:v>
      </x:c>
      <x:c r="G693" s="8" t="n">
        <x:f>N567</x:f>
        <x:v>0</x:v>
      </x:c>
      <x:c r="H693" s="8" t="n">
        <x:f>SUMIFS('PO detail'!$U$2:$U$672,'PO detail'!$A$2:$A$672,B693,'PO detail'!$B$2:$B$672,C693,'PO detail'!$G$2:$G$672,"&gt;="&amp;D693,'PO detail'!$G$2:$G$672,"&lt;"&amp;A693)</x:f>
        <x:v>0</x:v>
      </x:c>
      <x:c r="I693" s="8" t="n">
        <x:f>SUMIFS('PO detail'!$V$2:$V$672,'PO detail'!$A$2:$A$672,B693,'PO detail'!$B$2:$B$672,C693,'PO detail'!$G$2:$G$672,"&gt;="&amp;D693,'PO detail'!$G$2:$G$672,"&lt;"&amp;A693)</x:f>
        <x:v>0</x:v>
      </x:c>
      <x:c r="J693" s="8" t="n">
        <x:f>SUMIFS('PO detail'!$W$2:$W$672,'PO detail'!$A$2:$A$672,B693,'PO detail'!$B$2:$B$672,C693,'PO detail'!$G$2:$G$672,"&gt;="&amp;D693,'PO detail'!$G$2:$G$672,"&lt;"&amp;A693)</x:f>
        <x:v>0</x:v>
      </x:c>
      <x:c r="K693" s="8" t="n">
        <x:f>'Current inventory'!E63*Summary!$D$6*(A693-D693)/30.4375</x:f>
        <x:v>0</x:v>
      </x:c>
      <x:c r="L693" s="8" t="n">
        <x:f>MAX(0,E693+H693-K693)</x:f>
        <x:v>0</x:v>
      </x:c>
      <x:c r="M693" s="8" t="n">
        <x:f>MAX(0,F693+I693-MAX(0,K693-E693-H693))</x:f>
        <x:v>0</x:v>
      </x:c>
      <x:c r="N693" s="8" t="n">
        <x:f>MAX(0,G693+J693-K693)</x:f>
        <x:v>0</x:v>
      </x:c>
      <x:c r="O693" s="8" t="n">
        <x:f>SUM(L693:N693)</x:f>
        <x:v>0</x:v>
      </x:c>
      <x:c r="P693" s="14" t="n">
        <x:f>'Current inventory'!V63</x:f>
        <x:v>0.1456</x:v>
      </x:c>
      <x:c r="Q693" s="14" t="str">
        <x:f>'Current inventory'!W63</x:f>
        <x:v>n.a.</x:v>
      </x:c>
      <x:c r="R693" s="10" t="n">
        <x:f>L693*P693</x:f>
        <x:v>0</x:v>
      </x:c>
      <x:c r="S693" s="10" t="n">
        <x:f>M693*P693</x:f>
        <x:v>0</x:v>
      </x:c>
      <x:c r="T693" s="10" t="n">
        <x:f>N693*P693</x:f>
        <x:v>0</x:v>
      </x:c>
      <x:c r="U693" s="10" t="n">
        <x:f>O693*P693</x:f>
        <x:v>0</x:v>
      </x:c>
      <x:c r="V693" s="10" t="str">
        <x:f>IF(ISNUMBER(Q693),O693*(Q693-P693),"n.a.")</x:f>
        <x:v>n.a.</x:v>
      </x:c>
      <x:c r="W693" s="10" t="n">
        <x:f>IF(ISNUMBER(Q693),U693,0)</x:f>
        <x:v>0</x:v>
      </x:c>
      <x:c r="X693" s="8" t="n">
        <x:f>MAX(0,K693-SUM(E693:J693))</x:f>
        <x:v>0</x:v>
      </x:c>
      <x:c r="Y693" s="1" t="str">
        <x:f>IF(AND(O693&gt;0,NOT(ISNUMBER(Q693))),"No proposed replacement standard",IF(X693&gt;0,"Demand exceeds available stock",""))</x:f>
      </x:c>
      <x:c r="Z693" s="1" t="n">
        <x:f>IF(ISNUMBER(Q693),1,0)</x:f>
        <x:v>0</x:v>
      </x:c>
    </x:row>
    <x:row r="694" ht="21" customHeight="1">
      <x:c r="A694" s="17" t="n">
        <x:f>Summary!B20</x:f>
        <x:v>46478</x:v>
      </x:c>
      <x:c r="B694" s="1" t="str">
        <x:f>'Current inventory'!A64</x:f>
        <x:v>10</x:v>
      </x:c>
      <x:c r="C694" s="1" t="str">
        <x:f>'Current inventory'!B64</x:f>
        <x:v>800BWHTBRC</x:v>
      </x:c>
      <x:c r="D694" s="7" t="n">
        <x:f>A568</x:f>
        <x:v>46447</x:v>
      </x:c>
      <x:c r="E694" s="8" t="n">
        <x:f>L568</x:f>
        <x:v>0</x:v>
      </x:c>
      <x:c r="F694" s="8" t="n">
        <x:f>M568</x:f>
        <x:v>0</x:v>
      </x:c>
      <x:c r="G694" s="8" t="n">
        <x:f>N568</x:f>
        <x:v>0</x:v>
      </x:c>
      <x:c r="H694" s="8" t="n">
        <x:f>SUMIFS('PO detail'!$U$2:$U$672,'PO detail'!$A$2:$A$672,B694,'PO detail'!$B$2:$B$672,C694,'PO detail'!$G$2:$G$672,"&gt;="&amp;D694,'PO detail'!$G$2:$G$672,"&lt;"&amp;A694)</x:f>
        <x:v>0</x:v>
      </x:c>
      <x:c r="I694" s="8" t="n">
        <x:f>SUMIFS('PO detail'!$V$2:$V$672,'PO detail'!$A$2:$A$672,B694,'PO detail'!$B$2:$B$672,C694,'PO detail'!$G$2:$G$672,"&gt;="&amp;D694,'PO detail'!$G$2:$G$672,"&lt;"&amp;A694)</x:f>
        <x:v>0</x:v>
      </x:c>
      <x:c r="J694" s="8" t="n">
        <x:f>SUMIFS('PO detail'!$W$2:$W$672,'PO detail'!$A$2:$A$672,B694,'PO detail'!$B$2:$B$672,C694,'PO detail'!$G$2:$G$672,"&gt;="&amp;D694,'PO detail'!$G$2:$G$672,"&lt;"&amp;A694)</x:f>
        <x:v>0</x:v>
      </x:c>
      <x:c r="K694" s="8" t="n">
        <x:f>'Current inventory'!E64*Summary!$D$6*(A694-D694)/30.4375</x:f>
        <x:v>0</x:v>
      </x:c>
      <x:c r="L694" s="8" t="n">
        <x:f>MAX(0,E694+H694-K694)</x:f>
        <x:v>0</x:v>
      </x:c>
      <x:c r="M694" s="8" t="n">
        <x:f>MAX(0,F694+I694-MAX(0,K694-E694-H694))</x:f>
        <x:v>0</x:v>
      </x:c>
      <x:c r="N694" s="8" t="n">
        <x:f>MAX(0,G694+J694-K694)</x:f>
        <x:v>0</x:v>
      </x:c>
      <x:c r="O694" s="8" t="n">
        <x:f>SUM(L694:N694)</x:f>
        <x:v>0</x:v>
      </x:c>
      <x:c r="P694" s="14" t="n">
        <x:f>'Current inventory'!V64</x:f>
        <x:v>0.18469999999999998</x:v>
      </x:c>
      <x:c r="Q694" s="14" t="str">
        <x:f>'Current inventory'!W64</x:f>
        <x:v>n.a.</x:v>
      </x:c>
      <x:c r="R694" s="10" t="n">
        <x:f>L694*P694</x:f>
        <x:v>0</x:v>
      </x:c>
      <x:c r="S694" s="10" t="n">
        <x:f>M694*P694</x:f>
        <x:v>0</x:v>
      </x:c>
      <x:c r="T694" s="10" t="n">
        <x:f>N694*P694</x:f>
        <x:v>0</x:v>
      </x:c>
      <x:c r="U694" s="10" t="n">
        <x:f>O694*P694</x:f>
        <x:v>0</x:v>
      </x:c>
      <x:c r="V694" s="10" t="str">
        <x:f>IF(ISNUMBER(Q694),O694*(Q694-P694),"n.a.")</x:f>
        <x:v>n.a.</x:v>
      </x:c>
      <x:c r="W694" s="10" t="n">
        <x:f>IF(ISNUMBER(Q694),U694,0)</x:f>
        <x:v>0</x:v>
      </x:c>
      <x:c r="X694" s="8" t="n">
        <x:f>MAX(0,K694-SUM(E694:J694))</x:f>
        <x:v>0</x:v>
      </x:c>
      <x:c r="Y694" s="1" t="str">
        <x:f>IF(AND(O694&gt;0,NOT(ISNUMBER(Q694))),"No proposed replacement standard",IF(X694&gt;0,"Demand exceeds available stock",""))</x:f>
      </x:c>
      <x:c r="Z694" s="1" t="n">
        <x:f>IF(ISNUMBER(Q694),1,0)</x:f>
        <x:v>0</x:v>
      </x:c>
    </x:row>
    <x:row r="695" ht="21" customHeight="1">
      <x:c r="A695" s="17" t="n">
        <x:f>Summary!B20</x:f>
        <x:v>46478</x:v>
      </x:c>
      <x:c r="B695" s="1" t="str">
        <x:f>'Current inventory'!A65</x:f>
        <x:v>10</x:v>
      </x:c>
      <x:c r="C695" s="1" t="str">
        <x:f>'Current inventory'!B65</x:f>
        <x:v>800BWHTCSC</x:v>
      </x:c>
      <x:c r="D695" s="7" t="n">
        <x:f>A569</x:f>
        <x:v>46447</x:v>
      </x:c>
      <x:c r="E695" s="8" t="n">
        <x:f>L569</x:f>
        <x:v>0</x:v>
      </x:c>
      <x:c r="F695" s="8" t="n">
        <x:f>M569</x:f>
        <x:v>0</x:v>
      </x:c>
      <x:c r="G695" s="8" t="n">
        <x:f>N569</x:f>
        <x:v>0</x:v>
      </x:c>
      <x:c r="H695" s="8" t="n">
        <x:f>SUMIFS('PO detail'!$U$2:$U$672,'PO detail'!$A$2:$A$672,B695,'PO detail'!$B$2:$B$672,C695,'PO detail'!$G$2:$G$672,"&gt;="&amp;D695,'PO detail'!$G$2:$G$672,"&lt;"&amp;A695)</x:f>
        <x:v>0</x:v>
      </x:c>
      <x:c r="I695" s="8" t="n">
        <x:f>SUMIFS('PO detail'!$V$2:$V$672,'PO detail'!$A$2:$A$672,B695,'PO detail'!$B$2:$B$672,C695,'PO detail'!$G$2:$G$672,"&gt;="&amp;D695,'PO detail'!$G$2:$G$672,"&lt;"&amp;A695)</x:f>
        <x:v>0</x:v>
      </x:c>
      <x:c r="J695" s="8" t="n">
        <x:f>SUMIFS('PO detail'!$W$2:$W$672,'PO detail'!$A$2:$A$672,B695,'PO detail'!$B$2:$B$672,C695,'PO detail'!$G$2:$G$672,"&gt;="&amp;D695,'PO detail'!$G$2:$G$672,"&lt;"&amp;A695)</x:f>
        <x:v>0</x:v>
      </x:c>
      <x:c r="K695" s="8" t="n">
        <x:f>'Current inventory'!E65*Summary!$D$6*(A695-D695)/30.4375</x:f>
        <x:v>0</x:v>
      </x:c>
      <x:c r="L695" s="8" t="n">
        <x:f>MAX(0,E695+H695-K695)</x:f>
        <x:v>0</x:v>
      </x:c>
      <x:c r="M695" s="8" t="n">
        <x:f>MAX(0,F695+I695-MAX(0,K695-E695-H695))</x:f>
        <x:v>0</x:v>
      </x:c>
      <x:c r="N695" s="8" t="n">
        <x:f>MAX(0,G695+J695-K695)</x:f>
        <x:v>0</x:v>
      </x:c>
      <x:c r="O695" s="8" t="n">
        <x:f>SUM(L695:N695)</x:f>
        <x:v>0</x:v>
      </x:c>
      <x:c r="P695" s="14" t="n">
        <x:f>'Current inventory'!V65</x:f>
        <x:v>0.21559999999999999</x:v>
      </x:c>
      <x:c r="Q695" s="14" t="str">
        <x:f>'Current inventory'!W65</x:f>
        <x:v>n.a.</x:v>
      </x:c>
      <x:c r="R695" s="10" t="n">
        <x:f>L695*P695</x:f>
        <x:v>0</x:v>
      </x:c>
      <x:c r="S695" s="10" t="n">
        <x:f>M695*P695</x:f>
        <x:v>0</x:v>
      </x:c>
      <x:c r="T695" s="10" t="n">
        <x:f>N695*P695</x:f>
        <x:v>0</x:v>
      </x:c>
      <x:c r="U695" s="10" t="n">
        <x:f>O695*P695</x:f>
        <x:v>0</x:v>
      </x:c>
      <x:c r="V695" s="10" t="str">
        <x:f>IF(ISNUMBER(Q695),O695*(Q695-P695),"n.a.")</x:f>
        <x:v>n.a.</x:v>
      </x:c>
      <x:c r="W695" s="10" t="n">
        <x:f>IF(ISNUMBER(Q695),U695,0)</x:f>
        <x:v>0</x:v>
      </x:c>
      <x:c r="X695" s="8" t="n">
        <x:f>MAX(0,K695-SUM(E695:J695))</x:f>
        <x:v>0</x:v>
      </x:c>
      <x:c r="Y695" s="1" t="str">
        <x:f>IF(AND(O695&gt;0,NOT(ISNUMBER(Q695))),"No proposed replacement standard",IF(X695&gt;0,"Demand exceeds available stock",""))</x:f>
      </x:c>
      <x:c r="Z695" s="1" t="n">
        <x:f>IF(ISNUMBER(Q695),1,0)</x:f>
        <x:v>0</x:v>
      </x:c>
    </x:row>
    <x:row r="696" ht="21" customHeight="1">
      <x:c r="A696" s="17" t="n">
        <x:f>Summary!B20</x:f>
        <x:v>46478</x:v>
      </x:c>
      <x:c r="B696" s="1" t="str">
        <x:f>'Current inventory'!A66</x:f>
        <x:v>10</x:v>
      </x:c>
      <x:c r="C696" s="1" t="str">
        <x:f>'Current inventory'!B66</x:f>
        <x:v>800BWHTDSC</x:v>
      </x:c>
      <x:c r="D696" s="7" t="n">
        <x:f>A570</x:f>
        <x:v>46447</x:v>
      </x:c>
      <x:c r="E696" s="8" t="n">
        <x:f>L570</x:f>
        <x:v>0</x:v>
      </x:c>
      <x:c r="F696" s="8" t="n">
        <x:f>M570</x:f>
        <x:v>0</x:v>
      </x:c>
      <x:c r="G696" s="8" t="n">
        <x:f>N570</x:f>
        <x:v>0</x:v>
      </x:c>
      <x:c r="H696" s="8" t="n">
        <x:f>SUMIFS('PO detail'!$U$2:$U$672,'PO detail'!$A$2:$A$672,B696,'PO detail'!$B$2:$B$672,C696,'PO detail'!$G$2:$G$672,"&gt;="&amp;D696,'PO detail'!$G$2:$G$672,"&lt;"&amp;A696)</x:f>
        <x:v>0</x:v>
      </x:c>
      <x:c r="I696" s="8" t="n">
        <x:f>SUMIFS('PO detail'!$V$2:$V$672,'PO detail'!$A$2:$A$672,B696,'PO detail'!$B$2:$B$672,C696,'PO detail'!$G$2:$G$672,"&gt;="&amp;D696,'PO detail'!$G$2:$G$672,"&lt;"&amp;A696)</x:f>
        <x:v>0</x:v>
      </x:c>
      <x:c r="J696" s="8" t="n">
        <x:f>SUMIFS('PO detail'!$W$2:$W$672,'PO detail'!$A$2:$A$672,B696,'PO detail'!$B$2:$B$672,C696,'PO detail'!$G$2:$G$672,"&gt;="&amp;D696,'PO detail'!$G$2:$G$672,"&lt;"&amp;A696)</x:f>
        <x:v>0</x:v>
      </x:c>
      <x:c r="K696" s="8" t="n">
        <x:f>'Current inventory'!E66*Summary!$D$6*(A696-D696)/30.4375</x:f>
        <x:v>0</x:v>
      </x:c>
      <x:c r="L696" s="8" t="n">
        <x:f>MAX(0,E696+H696-K696)</x:f>
        <x:v>0</x:v>
      </x:c>
      <x:c r="M696" s="8" t="n">
        <x:f>MAX(0,F696+I696-MAX(0,K696-E696-H696))</x:f>
        <x:v>0</x:v>
      </x:c>
      <x:c r="N696" s="8" t="n">
        <x:f>MAX(0,G696+J696-K696)</x:f>
        <x:v>0</x:v>
      </x:c>
      <x:c r="O696" s="8" t="n">
        <x:f>SUM(L696:N696)</x:f>
        <x:v>0</x:v>
      </x:c>
      <x:c r="P696" s="14" t="n">
        <x:f>'Current inventory'!V66</x:f>
        <x:v>0.38</x:v>
      </x:c>
      <x:c r="Q696" s="14" t="str">
        <x:f>'Current inventory'!W66</x:f>
        <x:v>n.a.</x:v>
      </x:c>
      <x:c r="R696" s="10" t="n">
        <x:f>L696*P696</x:f>
        <x:v>0</x:v>
      </x:c>
      <x:c r="S696" s="10" t="n">
        <x:f>M696*P696</x:f>
        <x:v>0</x:v>
      </x:c>
      <x:c r="T696" s="10" t="n">
        <x:f>N696*P696</x:f>
        <x:v>0</x:v>
      </x:c>
      <x:c r="U696" s="10" t="n">
        <x:f>O696*P696</x:f>
        <x:v>0</x:v>
      </x:c>
      <x:c r="V696" s="10" t="str">
        <x:f>IF(ISNUMBER(Q696),O696*(Q696-P696),"n.a.")</x:f>
        <x:v>n.a.</x:v>
      </x:c>
      <x:c r="W696" s="10" t="n">
        <x:f>IF(ISNUMBER(Q696),U696,0)</x:f>
        <x:v>0</x:v>
      </x:c>
      <x:c r="X696" s="8" t="n">
        <x:f>MAX(0,K696-SUM(E696:J696))</x:f>
        <x:v>0</x:v>
      </x:c>
      <x:c r="Y696" s="1" t="str">
        <x:f>IF(AND(O696&gt;0,NOT(ISNUMBER(Q696))),"No proposed replacement standard",IF(X696&gt;0,"Demand exceeds available stock",""))</x:f>
      </x:c>
      <x:c r="Z696" s="1" t="n">
        <x:f>IF(ISNUMBER(Q696),1,0)</x:f>
        <x:v>0</x:v>
      </x:c>
    </x:row>
    <x:row r="697" ht="21" customHeight="1">
      <x:c r="A697" s="17" t="n">
        <x:f>Summary!B20</x:f>
        <x:v>46478</x:v>
      </x:c>
      <x:c r="B697" s="1" t="str">
        <x:f>'Current inventory'!A67</x:f>
        <x:v>10</x:v>
      </x:c>
      <x:c r="C697" s="1" t="str">
        <x:f>'Current inventory'!B67</x:f>
        <x:v>800BWHTISC</x:v>
      </x:c>
      <x:c r="D697" s="7" t="n">
        <x:f>A571</x:f>
        <x:v>46447</x:v>
      </x:c>
      <x:c r="E697" s="8" t="n">
        <x:f>L571</x:f>
        <x:v>0</x:v>
      </x:c>
      <x:c r="F697" s="8" t="n">
        <x:f>M571</x:f>
        <x:v>0</x:v>
      </x:c>
      <x:c r="G697" s="8" t="n">
        <x:f>N571</x:f>
        <x:v>0</x:v>
      </x:c>
      <x:c r="H697" s="8" t="n">
        <x:f>SUMIFS('PO detail'!$U$2:$U$672,'PO detail'!$A$2:$A$672,B697,'PO detail'!$B$2:$B$672,C697,'PO detail'!$G$2:$G$672,"&gt;="&amp;D697,'PO detail'!$G$2:$G$672,"&lt;"&amp;A697)</x:f>
        <x:v>0</x:v>
      </x:c>
      <x:c r="I697" s="8" t="n">
        <x:f>SUMIFS('PO detail'!$V$2:$V$672,'PO detail'!$A$2:$A$672,B697,'PO detail'!$B$2:$B$672,C697,'PO detail'!$G$2:$G$672,"&gt;="&amp;D697,'PO detail'!$G$2:$G$672,"&lt;"&amp;A697)</x:f>
        <x:v>0</x:v>
      </x:c>
      <x:c r="J697" s="8" t="n">
        <x:f>SUMIFS('PO detail'!$W$2:$W$672,'PO detail'!$A$2:$A$672,B697,'PO detail'!$B$2:$B$672,C697,'PO detail'!$G$2:$G$672,"&gt;="&amp;D697,'PO detail'!$G$2:$G$672,"&lt;"&amp;A697)</x:f>
        <x:v>0</x:v>
      </x:c>
      <x:c r="K697" s="8" t="n">
        <x:f>'Current inventory'!E67*Summary!$D$6*(A697-D697)/30.4375</x:f>
        <x:v>0</x:v>
      </x:c>
      <x:c r="L697" s="8" t="n">
        <x:f>MAX(0,E697+H697-K697)</x:f>
        <x:v>0</x:v>
      </x:c>
      <x:c r="M697" s="8" t="n">
        <x:f>MAX(0,F697+I697-MAX(0,K697-E697-H697))</x:f>
        <x:v>0</x:v>
      </x:c>
      <x:c r="N697" s="8" t="n">
        <x:f>MAX(0,G697+J697-K697)</x:f>
        <x:v>0</x:v>
      </x:c>
      <x:c r="O697" s="8" t="n">
        <x:f>SUM(L697:N697)</x:f>
        <x:v>0</x:v>
      </x:c>
      <x:c r="P697" s="14" t="n">
        <x:f>'Current inventory'!V67</x:f>
        <x:v>0.1797</x:v>
      </x:c>
      <x:c r="Q697" s="14" t="str">
        <x:f>'Current inventory'!W67</x:f>
        <x:v>n.a.</x:v>
      </x:c>
      <x:c r="R697" s="10" t="n">
        <x:f>L697*P697</x:f>
        <x:v>0</x:v>
      </x:c>
      <x:c r="S697" s="10" t="n">
        <x:f>M697*P697</x:f>
        <x:v>0</x:v>
      </x:c>
      <x:c r="T697" s="10" t="n">
        <x:f>N697*P697</x:f>
        <x:v>0</x:v>
      </x:c>
      <x:c r="U697" s="10" t="n">
        <x:f>O697*P697</x:f>
        <x:v>0</x:v>
      </x:c>
      <x:c r="V697" s="10" t="str">
        <x:f>IF(ISNUMBER(Q697),O697*(Q697-P697),"n.a.")</x:f>
        <x:v>n.a.</x:v>
      </x:c>
      <x:c r="W697" s="10" t="n">
        <x:f>IF(ISNUMBER(Q697),U697,0)</x:f>
        <x:v>0</x:v>
      </x:c>
      <x:c r="X697" s="8" t="n">
        <x:f>MAX(0,K697-SUM(E697:J697))</x:f>
        <x:v>0</x:v>
      </x:c>
      <x:c r="Y697" s="1" t="str">
        <x:f>IF(AND(O697&gt;0,NOT(ISNUMBER(Q697))),"No proposed replacement standard",IF(X697&gt;0,"Demand exceeds available stock",""))</x:f>
      </x:c>
      <x:c r="Z697" s="1" t="n">
        <x:f>IF(ISNUMBER(Q697),1,0)</x:f>
        <x:v>0</x:v>
      </x:c>
    </x:row>
    <x:row r="698" ht="21" customHeight="1">
      <x:c r="A698" s="17" t="n">
        <x:f>Summary!B20</x:f>
        <x:v>46478</x:v>
      </x:c>
      <x:c r="B698" s="1" t="str">
        <x:f>'Current inventory'!A68</x:f>
        <x:v>10</x:v>
      </x:c>
      <x:c r="C698" s="1" t="str">
        <x:f>'Current inventory'!B68</x:f>
        <x:v>800FGE</x:v>
      </x:c>
      <x:c r="D698" s="7" t="n">
        <x:f>A572</x:f>
        <x:v>46447</x:v>
      </x:c>
      <x:c r="E698" s="8" t="n">
        <x:f>L572</x:f>
        <x:v>0</x:v>
      </x:c>
      <x:c r="F698" s="8" t="n">
        <x:f>M572</x:f>
        <x:v>0</x:v>
      </x:c>
      <x:c r="G698" s="8" t="n">
        <x:f>N572</x:f>
        <x:v>0</x:v>
      </x:c>
      <x:c r="H698" s="8" t="n">
        <x:f>SUMIFS('PO detail'!$U$2:$U$672,'PO detail'!$A$2:$A$672,B698,'PO detail'!$B$2:$B$672,C698,'PO detail'!$G$2:$G$672,"&gt;="&amp;D698,'PO detail'!$G$2:$G$672,"&lt;"&amp;A698)</x:f>
        <x:v>0</x:v>
      </x:c>
      <x:c r="I698" s="8" t="n">
        <x:f>SUMIFS('PO detail'!$V$2:$V$672,'PO detail'!$A$2:$A$672,B698,'PO detail'!$B$2:$B$672,C698,'PO detail'!$G$2:$G$672,"&gt;="&amp;D698,'PO detail'!$G$2:$G$672,"&lt;"&amp;A698)</x:f>
        <x:v>0</x:v>
      </x:c>
      <x:c r="J698" s="8" t="n">
        <x:f>SUMIFS('PO detail'!$W$2:$W$672,'PO detail'!$A$2:$A$672,B698,'PO detail'!$B$2:$B$672,C698,'PO detail'!$G$2:$G$672,"&gt;="&amp;D698,'PO detail'!$G$2:$G$672,"&lt;"&amp;A698)</x:f>
        <x:v>0</x:v>
      </x:c>
      <x:c r="K698" s="8" t="n">
        <x:f>'Current inventory'!E68*Summary!$D$6*(A698-D698)/30.4375</x:f>
        <x:v>0</x:v>
      </x:c>
      <x:c r="L698" s="8" t="n">
        <x:f>MAX(0,E698+H698-K698)</x:f>
        <x:v>0</x:v>
      </x:c>
      <x:c r="M698" s="8" t="n">
        <x:f>MAX(0,F698+I698-MAX(0,K698-E698-H698))</x:f>
        <x:v>0</x:v>
      </x:c>
      <x:c r="N698" s="8" t="n">
        <x:f>MAX(0,G698+J698-K698)</x:f>
        <x:v>0</x:v>
      </x:c>
      <x:c r="O698" s="8" t="n">
        <x:f>SUM(L698:N698)</x:f>
        <x:v>0</x:v>
      </x:c>
      <x:c r="P698" s="14" t="n">
        <x:f>'Current inventory'!V68</x:f>
        <x:v>10.78</x:v>
      </x:c>
      <x:c r="Q698" s="14" t="str">
        <x:f>'Current inventory'!W68</x:f>
        <x:v>n.a.</x:v>
      </x:c>
      <x:c r="R698" s="10" t="n">
        <x:f>L698*P698</x:f>
        <x:v>0</x:v>
      </x:c>
      <x:c r="S698" s="10" t="n">
        <x:f>M698*P698</x:f>
        <x:v>0</x:v>
      </x:c>
      <x:c r="T698" s="10" t="n">
        <x:f>N698*P698</x:f>
        <x:v>0</x:v>
      </x:c>
      <x:c r="U698" s="10" t="n">
        <x:f>O698*P698</x:f>
        <x:v>0</x:v>
      </x:c>
      <x:c r="V698" s="10" t="str">
        <x:f>IF(ISNUMBER(Q698),O698*(Q698-P698),"n.a.")</x:f>
        <x:v>n.a.</x:v>
      </x:c>
      <x:c r="W698" s="10" t="n">
        <x:f>IF(ISNUMBER(Q698),U698,0)</x:f>
        <x:v>0</x:v>
      </x:c>
      <x:c r="X698" s="8" t="n">
        <x:f>MAX(0,K698-SUM(E698:J698))</x:f>
        <x:v>0</x:v>
      </x:c>
      <x:c r="Y698" s="1" t="str">
        <x:f>IF(AND(O698&gt;0,NOT(ISNUMBER(Q698))),"No proposed replacement standard",IF(X698&gt;0,"Demand exceeds available stock",""))</x:f>
      </x:c>
      <x:c r="Z698" s="1" t="n">
        <x:f>IF(ISNUMBER(Q698),1,0)</x:f>
        <x:v>0</x:v>
      </x:c>
    </x:row>
    <x:row r="699" ht="21" customHeight="1">
      <x:c r="A699" s="17" t="n">
        <x:f>Summary!B20</x:f>
        <x:v>46478</x:v>
      </x:c>
      <x:c r="B699" s="1" t="str">
        <x:f>'Current inventory'!A69</x:f>
        <x:v>10</x:v>
      </x:c>
      <x:c r="C699" s="1" t="str">
        <x:f>'Current inventory'!B69</x:f>
        <x:v>800NAVF</x:v>
      </x:c>
      <x:c r="D699" s="7" t="n">
        <x:f>A573</x:f>
        <x:v>46447</x:v>
      </x:c>
      <x:c r="E699" s="8" t="n">
        <x:f>L573</x:f>
        <x:v>0</x:v>
      </x:c>
      <x:c r="F699" s="8" t="n">
        <x:f>M573</x:f>
        <x:v>0</x:v>
      </x:c>
      <x:c r="G699" s="8" t="n">
        <x:f>N573</x:f>
        <x:v>0</x:v>
      </x:c>
      <x:c r="H699" s="8" t="n">
        <x:f>SUMIFS('PO detail'!$U$2:$U$672,'PO detail'!$A$2:$A$672,B699,'PO detail'!$B$2:$B$672,C699,'PO detail'!$G$2:$G$672,"&gt;="&amp;D699,'PO detail'!$G$2:$G$672,"&lt;"&amp;A699)</x:f>
        <x:v>0</x:v>
      </x:c>
      <x:c r="I699" s="8" t="n">
        <x:f>SUMIFS('PO detail'!$V$2:$V$672,'PO detail'!$A$2:$A$672,B699,'PO detail'!$B$2:$B$672,C699,'PO detail'!$G$2:$G$672,"&gt;="&amp;D699,'PO detail'!$G$2:$G$672,"&lt;"&amp;A699)</x:f>
        <x:v>0</x:v>
      </x:c>
      <x:c r="J699" s="8" t="n">
        <x:f>SUMIFS('PO detail'!$W$2:$W$672,'PO detail'!$A$2:$A$672,B699,'PO detail'!$B$2:$B$672,C699,'PO detail'!$G$2:$G$672,"&gt;="&amp;D699,'PO detail'!$G$2:$G$672,"&lt;"&amp;A699)</x:f>
        <x:v>0</x:v>
      </x:c>
      <x:c r="K699" s="8" t="n">
        <x:f>'Current inventory'!E69*Summary!$D$6*(A699-D699)/30.4375</x:f>
        <x:v>0</x:v>
      </x:c>
      <x:c r="L699" s="8" t="n">
        <x:f>MAX(0,E699+H699-K699)</x:f>
        <x:v>0</x:v>
      </x:c>
      <x:c r="M699" s="8" t="n">
        <x:f>MAX(0,F699+I699-MAX(0,K699-E699-H699))</x:f>
        <x:v>0</x:v>
      </x:c>
      <x:c r="N699" s="8" t="n">
        <x:f>MAX(0,G699+J699-K699)</x:f>
        <x:v>0</x:v>
      </x:c>
      <x:c r="O699" s="8" t="n">
        <x:f>SUM(L699:N699)</x:f>
        <x:v>0</x:v>
      </x:c>
      <x:c r="P699" s="14" t="n">
        <x:f>'Current inventory'!V69</x:f>
        <x:v>7.03</x:v>
      </x:c>
      <x:c r="Q699" s="14" t="str">
        <x:f>'Current inventory'!W69</x:f>
        <x:v>n.a.</x:v>
      </x:c>
      <x:c r="R699" s="10" t="n">
        <x:f>L699*P699</x:f>
        <x:v>0</x:v>
      </x:c>
      <x:c r="S699" s="10" t="n">
        <x:f>M699*P699</x:f>
        <x:v>0</x:v>
      </x:c>
      <x:c r="T699" s="10" t="n">
        <x:f>N699*P699</x:f>
        <x:v>0</x:v>
      </x:c>
      <x:c r="U699" s="10" t="n">
        <x:f>O699*P699</x:f>
        <x:v>0</x:v>
      </x:c>
      <x:c r="V699" s="10" t="str">
        <x:f>IF(ISNUMBER(Q699),O699*(Q699-P699),"n.a.")</x:f>
        <x:v>n.a.</x:v>
      </x:c>
      <x:c r="W699" s="10" t="n">
        <x:f>IF(ISNUMBER(Q699),U699,0)</x:f>
        <x:v>0</x:v>
      </x:c>
      <x:c r="X699" s="8" t="n">
        <x:f>MAX(0,K699-SUM(E699:J699))</x:f>
        <x:v>0</x:v>
      </x:c>
      <x:c r="Y699" s="1" t="str">
        <x:f>IF(AND(O699&gt;0,NOT(ISNUMBER(Q699))),"No proposed replacement standard",IF(X699&gt;0,"Demand exceeds available stock",""))</x:f>
      </x:c>
      <x:c r="Z699" s="1" t="n">
        <x:f>IF(ISNUMBER(Q699),1,0)</x:f>
        <x:v>0</x:v>
      </x:c>
    </x:row>
    <x:row r="700" ht="21" customHeight="1">
      <x:c r="A700" s="17" t="n">
        <x:f>Summary!B20</x:f>
        <x:v>46478</x:v>
      </x:c>
      <x:c r="B700" s="1" t="str">
        <x:f>'Current inventory'!A70</x:f>
        <x:v>10</x:v>
      </x:c>
      <x:c r="C700" s="1" t="str">
        <x:f>'Current inventory'!B70</x:f>
        <x:v>800WHTE</x:v>
      </x:c>
      <x:c r="D700" s="7" t="n">
        <x:f>A574</x:f>
        <x:v>46447</x:v>
      </x:c>
      <x:c r="E700" s="8" t="n">
        <x:f>L574</x:f>
        <x:v>0</x:v>
      </x:c>
      <x:c r="F700" s="8" t="n">
        <x:f>M574</x:f>
        <x:v>0</x:v>
      </x:c>
      <x:c r="G700" s="8" t="n">
        <x:f>N574</x:f>
        <x:v>0</x:v>
      </x:c>
      <x:c r="H700" s="8" t="n">
        <x:f>SUMIFS('PO detail'!$U$2:$U$672,'PO detail'!$A$2:$A$672,B700,'PO detail'!$B$2:$B$672,C700,'PO detail'!$G$2:$G$672,"&gt;="&amp;D700,'PO detail'!$G$2:$G$672,"&lt;"&amp;A700)</x:f>
        <x:v>0</x:v>
      </x:c>
      <x:c r="I700" s="8" t="n">
        <x:f>SUMIFS('PO detail'!$V$2:$V$672,'PO detail'!$A$2:$A$672,B700,'PO detail'!$B$2:$B$672,C700,'PO detail'!$G$2:$G$672,"&gt;="&amp;D700,'PO detail'!$G$2:$G$672,"&lt;"&amp;A700)</x:f>
        <x:v>0</x:v>
      </x:c>
      <x:c r="J700" s="8" t="n">
        <x:f>SUMIFS('PO detail'!$W$2:$W$672,'PO detail'!$A$2:$A$672,B700,'PO detail'!$B$2:$B$672,C700,'PO detail'!$G$2:$G$672,"&gt;="&amp;D700,'PO detail'!$G$2:$G$672,"&lt;"&amp;A700)</x:f>
        <x:v>0</x:v>
      </x:c>
      <x:c r="K700" s="8" t="n">
        <x:f>'Current inventory'!E70*Summary!$D$6*(A700-D700)/30.4375</x:f>
        <x:v>0</x:v>
      </x:c>
      <x:c r="L700" s="8" t="n">
        <x:f>MAX(0,E700+H700-K700)</x:f>
        <x:v>0</x:v>
      </x:c>
      <x:c r="M700" s="8" t="n">
        <x:f>MAX(0,F700+I700-MAX(0,K700-E700-H700))</x:f>
        <x:v>0</x:v>
      </x:c>
      <x:c r="N700" s="8" t="n">
        <x:f>MAX(0,G700+J700-K700)</x:f>
        <x:v>0</x:v>
      </x:c>
      <x:c r="O700" s="8" t="n">
        <x:f>SUM(L700:N700)</x:f>
        <x:v>0</x:v>
      </x:c>
      <x:c r="P700" s="14" t="n">
        <x:f>'Current inventory'!V70</x:f>
        <x:v>11.44</x:v>
      </x:c>
      <x:c r="Q700" s="14" t="str">
        <x:f>'Current inventory'!W70</x:f>
        <x:v>n.a.</x:v>
      </x:c>
      <x:c r="R700" s="10" t="n">
        <x:f>L700*P700</x:f>
        <x:v>0</x:v>
      </x:c>
      <x:c r="S700" s="10" t="n">
        <x:f>M700*P700</x:f>
        <x:v>0</x:v>
      </x:c>
      <x:c r="T700" s="10" t="n">
        <x:f>N700*P700</x:f>
        <x:v>0</x:v>
      </x:c>
      <x:c r="U700" s="10" t="n">
        <x:f>O700*P700</x:f>
        <x:v>0</x:v>
      </x:c>
      <x:c r="V700" s="10" t="str">
        <x:f>IF(ISNUMBER(Q700),O700*(Q700-P700),"n.a.")</x:f>
        <x:v>n.a.</x:v>
      </x:c>
      <x:c r="W700" s="10" t="n">
        <x:f>IF(ISNUMBER(Q700),U700,0)</x:f>
        <x:v>0</x:v>
      </x:c>
      <x:c r="X700" s="8" t="n">
        <x:f>MAX(0,K700-SUM(E700:J700))</x:f>
        <x:v>0</x:v>
      </x:c>
      <x:c r="Y700" s="1" t="str">
        <x:f>IF(AND(O700&gt;0,NOT(ISNUMBER(Q700))),"No proposed replacement standard",IF(X700&gt;0,"Demand exceeds available stock",""))</x:f>
      </x:c>
      <x:c r="Z700" s="1" t="n">
        <x:f>IF(ISNUMBER(Q700),1,0)</x:f>
        <x:v>0</x:v>
      </x:c>
    </x:row>
    <x:row r="701" ht="21" customHeight="1">
      <x:c r="A701" s="17" t="n">
        <x:f>Summary!B20</x:f>
        <x:v>46478</x:v>
      </x:c>
      <x:c r="B701" s="1" t="str">
        <x:f>'Current inventory'!A71</x:f>
        <x:v>10</x:v>
      </x:c>
      <x:c r="C701" s="1" t="str">
        <x:f>'Current inventory'!B71</x:f>
        <x:v>880BLKE</x:v>
      </x:c>
      <x:c r="D701" s="7" t="n">
        <x:f>A575</x:f>
        <x:v>46447</x:v>
      </x:c>
      <x:c r="E701" s="8" t="n">
        <x:f>L575</x:f>
        <x:v>0</x:v>
      </x:c>
      <x:c r="F701" s="8" t="n">
        <x:f>M575</x:f>
        <x:v>0</x:v>
      </x:c>
      <x:c r="G701" s="8" t="n">
        <x:f>N575</x:f>
        <x:v>0</x:v>
      </x:c>
      <x:c r="H701" s="8" t="n">
        <x:f>SUMIFS('PO detail'!$U$2:$U$672,'PO detail'!$A$2:$A$672,B701,'PO detail'!$B$2:$B$672,C701,'PO detail'!$G$2:$G$672,"&gt;="&amp;D701,'PO detail'!$G$2:$G$672,"&lt;"&amp;A701)</x:f>
        <x:v>0</x:v>
      </x:c>
      <x:c r="I701" s="8" t="n">
        <x:f>SUMIFS('PO detail'!$V$2:$V$672,'PO detail'!$A$2:$A$672,B701,'PO detail'!$B$2:$B$672,C701,'PO detail'!$G$2:$G$672,"&gt;="&amp;D701,'PO detail'!$G$2:$G$672,"&lt;"&amp;A701)</x:f>
        <x:v>0</x:v>
      </x:c>
      <x:c r="J701" s="8" t="n">
        <x:f>SUMIFS('PO detail'!$W$2:$W$672,'PO detail'!$A$2:$A$672,B701,'PO detail'!$B$2:$B$672,C701,'PO detail'!$G$2:$G$672,"&gt;="&amp;D701,'PO detail'!$G$2:$G$672,"&lt;"&amp;A701)</x:f>
        <x:v>0</x:v>
      </x:c>
      <x:c r="K701" s="8" t="n">
        <x:f>'Current inventory'!E71*Summary!$D$6*(A701-D701)/30.4375</x:f>
        <x:v>0</x:v>
      </x:c>
      <x:c r="L701" s="8" t="n">
        <x:f>MAX(0,E701+H701-K701)</x:f>
        <x:v>0</x:v>
      </x:c>
      <x:c r="M701" s="8" t="n">
        <x:f>MAX(0,F701+I701-MAX(0,K701-E701-H701))</x:f>
        <x:v>0</x:v>
      </x:c>
      <x:c r="N701" s="8" t="n">
        <x:f>MAX(0,G701+J701-K701)</x:f>
        <x:v>0</x:v>
      </x:c>
      <x:c r="O701" s="8" t="n">
        <x:f>SUM(L701:N701)</x:f>
        <x:v>0</x:v>
      </x:c>
      <x:c r="P701" s="14" t="n">
        <x:f>'Current inventory'!V71</x:f>
        <x:v>21.34</x:v>
      </x:c>
      <x:c r="Q701" s="14" t="str">
        <x:f>'Current inventory'!W71</x:f>
        <x:v>n.a.</x:v>
      </x:c>
      <x:c r="R701" s="10" t="n">
        <x:f>L701*P701</x:f>
        <x:v>0</x:v>
      </x:c>
      <x:c r="S701" s="10" t="n">
        <x:f>M701*P701</x:f>
        <x:v>0</x:v>
      </x:c>
      <x:c r="T701" s="10" t="n">
        <x:f>N701*P701</x:f>
        <x:v>0</x:v>
      </x:c>
      <x:c r="U701" s="10" t="n">
        <x:f>O701*P701</x:f>
        <x:v>0</x:v>
      </x:c>
      <x:c r="V701" s="10" t="str">
        <x:f>IF(ISNUMBER(Q701),O701*(Q701-P701),"n.a.")</x:f>
        <x:v>n.a.</x:v>
      </x:c>
      <x:c r="W701" s="10" t="n">
        <x:f>IF(ISNUMBER(Q701),U701,0)</x:f>
        <x:v>0</x:v>
      </x:c>
      <x:c r="X701" s="8" t="n">
        <x:f>MAX(0,K701-SUM(E701:J701))</x:f>
        <x:v>0</x:v>
      </x:c>
      <x:c r="Y701" s="1" t="str">
        <x:f>IF(AND(O701&gt;0,NOT(ISNUMBER(Q701))),"No proposed replacement standard",IF(X701&gt;0,"Demand exceeds available stock",""))</x:f>
      </x:c>
      <x:c r="Z701" s="1" t="n">
        <x:f>IF(ISNUMBER(Q701),1,0)</x:f>
        <x:v>0</x:v>
      </x:c>
    </x:row>
    <x:row r="702" ht="21" customHeight="1">
      <x:c r="A702" s="17" t="n">
        <x:f>Summary!B20</x:f>
        <x:v>46478</x:v>
      </x:c>
      <x:c r="B702" s="1" t="str">
        <x:f>'Current inventory'!A72</x:f>
        <x:v>10</x:v>
      </x:c>
      <x:c r="C702" s="1" t="str">
        <x:f>'Current inventory'!B72</x:f>
        <x:v>880NAVE</x:v>
      </x:c>
      <x:c r="D702" s="7" t="n">
        <x:f>A576</x:f>
        <x:v>46447</x:v>
      </x:c>
      <x:c r="E702" s="8" t="n">
        <x:f>L576</x:f>
        <x:v>0</x:v>
      </x:c>
      <x:c r="F702" s="8" t="n">
        <x:f>M576</x:f>
        <x:v>0</x:v>
      </x:c>
      <x:c r="G702" s="8" t="n">
        <x:f>N576</x:f>
        <x:v>0</x:v>
      </x:c>
      <x:c r="H702" s="8" t="n">
        <x:f>SUMIFS('PO detail'!$U$2:$U$672,'PO detail'!$A$2:$A$672,B702,'PO detail'!$B$2:$B$672,C702,'PO detail'!$G$2:$G$672,"&gt;="&amp;D702,'PO detail'!$G$2:$G$672,"&lt;"&amp;A702)</x:f>
        <x:v>0</x:v>
      </x:c>
      <x:c r="I702" s="8" t="n">
        <x:f>SUMIFS('PO detail'!$V$2:$V$672,'PO detail'!$A$2:$A$672,B702,'PO detail'!$B$2:$B$672,C702,'PO detail'!$G$2:$G$672,"&gt;="&amp;D702,'PO detail'!$G$2:$G$672,"&lt;"&amp;A702)</x:f>
        <x:v>0</x:v>
      </x:c>
      <x:c r="J702" s="8" t="n">
        <x:f>SUMIFS('PO detail'!$W$2:$W$672,'PO detail'!$A$2:$A$672,B702,'PO detail'!$B$2:$B$672,C702,'PO detail'!$G$2:$G$672,"&gt;="&amp;D702,'PO detail'!$G$2:$G$672,"&lt;"&amp;A702)</x:f>
        <x:v>0</x:v>
      </x:c>
      <x:c r="K702" s="8" t="n">
        <x:f>'Current inventory'!E72*Summary!$D$6*(A702-D702)/30.4375</x:f>
        <x:v>0</x:v>
      </x:c>
      <x:c r="L702" s="8" t="n">
        <x:f>MAX(0,E702+H702-K702)</x:f>
        <x:v>0</x:v>
      </x:c>
      <x:c r="M702" s="8" t="n">
        <x:f>MAX(0,F702+I702-MAX(0,K702-E702-H702))</x:f>
        <x:v>0</x:v>
      </x:c>
      <x:c r="N702" s="8" t="n">
        <x:f>MAX(0,G702+J702-K702)</x:f>
        <x:v>0</x:v>
      </x:c>
      <x:c r="O702" s="8" t="n">
        <x:f>SUM(L702:N702)</x:f>
        <x:v>0</x:v>
      </x:c>
      <x:c r="P702" s="14" t="n">
        <x:f>'Current inventory'!V72</x:f>
        <x:v>21.34</x:v>
      </x:c>
      <x:c r="Q702" s="14" t="str">
        <x:f>'Current inventory'!W72</x:f>
        <x:v>n.a.</x:v>
      </x:c>
      <x:c r="R702" s="10" t="n">
        <x:f>L702*P702</x:f>
        <x:v>0</x:v>
      </x:c>
      <x:c r="S702" s="10" t="n">
        <x:f>M702*P702</x:f>
        <x:v>0</x:v>
      </x:c>
      <x:c r="T702" s="10" t="n">
        <x:f>N702*P702</x:f>
        <x:v>0</x:v>
      </x:c>
      <x:c r="U702" s="10" t="n">
        <x:f>O702*P702</x:f>
        <x:v>0</x:v>
      </x:c>
      <x:c r="V702" s="10" t="str">
        <x:f>IF(ISNUMBER(Q702),O702*(Q702-P702),"n.a.")</x:f>
        <x:v>n.a.</x:v>
      </x:c>
      <x:c r="W702" s="10" t="n">
        <x:f>IF(ISNUMBER(Q702),U702,0)</x:f>
        <x:v>0</x:v>
      </x:c>
      <x:c r="X702" s="8" t="n">
        <x:f>MAX(0,K702-SUM(E702:J702))</x:f>
        <x:v>0</x:v>
      </x:c>
      <x:c r="Y702" s="1" t="str">
        <x:f>IF(AND(O702&gt;0,NOT(ISNUMBER(Q702))),"No proposed replacement standard",IF(X702&gt;0,"Demand exceeds available stock",""))</x:f>
      </x:c>
      <x:c r="Z702" s="1" t="n">
        <x:f>IF(ISNUMBER(Q702),1,0)</x:f>
        <x:v>0</x:v>
      </x:c>
    </x:row>
    <x:row r="703" ht="21" customHeight="1">
      <x:c r="A703" s="17" t="n">
        <x:f>Summary!B20</x:f>
        <x:v>46478</x:v>
      </x:c>
      <x:c r="B703" s="1" t="str">
        <x:f>'Current inventory'!A73</x:f>
        <x:v>10</x:v>
      </x:c>
      <x:c r="C703" s="1" t="str">
        <x:f>'Current inventory'!B73</x:f>
        <x:v>800BLKTB</x:v>
      </x:c>
      <x:c r="D703" s="7" t="n">
        <x:f>A577</x:f>
        <x:v>46447</x:v>
      </x:c>
      <x:c r="E703" s="8" t="n">
        <x:f>L577</x:f>
        <x:v>0</x:v>
      </x:c>
      <x:c r="F703" s="8" t="n">
        <x:f>M577</x:f>
        <x:v>0</x:v>
      </x:c>
      <x:c r="G703" s="8" t="n">
        <x:f>N577</x:f>
        <x:v>1050</x:v>
      </x:c>
      <x:c r="H703" s="8" t="n">
        <x:f>SUMIFS('PO detail'!$U$2:$U$672,'PO detail'!$A$2:$A$672,B703,'PO detail'!$B$2:$B$672,C703,'PO detail'!$G$2:$G$672,"&gt;="&amp;D703,'PO detail'!$G$2:$G$672,"&lt;"&amp;A703)</x:f>
        <x:v>0</x:v>
      </x:c>
      <x:c r="I703" s="8" t="n">
        <x:f>SUMIFS('PO detail'!$V$2:$V$672,'PO detail'!$A$2:$A$672,B703,'PO detail'!$B$2:$B$672,C703,'PO detail'!$G$2:$G$672,"&gt;="&amp;D703,'PO detail'!$G$2:$G$672,"&lt;"&amp;A703)</x:f>
        <x:v>0</x:v>
      </x:c>
      <x:c r="J703" s="8" t="n">
        <x:f>SUMIFS('PO detail'!$W$2:$W$672,'PO detail'!$A$2:$A$672,B703,'PO detail'!$B$2:$B$672,C703,'PO detail'!$G$2:$G$672,"&gt;="&amp;D703,'PO detail'!$G$2:$G$672,"&lt;"&amp;A703)</x:f>
        <x:v>0</x:v>
      </x:c>
      <x:c r="K703" s="8" t="n">
        <x:f>'Current inventory'!E73*Summary!$D$6*(A703-D703)/30.4375</x:f>
        <x:v>0</x:v>
      </x:c>
      <x:c r="L703" s="8" t="n">
        <x:f>MAX(0,E703+H703-K703)</x:f>
        <x:v>0</x:v>
      </x:c>
      <x:c r="M703" s="8" t="n">
        <x:f>MAX(0,F703+I703-MAX(0,K703-E703-H703))</x:f>
        <x:v>0</x:v>
      </x:c>
      <x:c r="N703" s="8" t="n">
        <x:f>MAX(0,G703+J703-K703)</x:f>
        <x:v>1050</x:v>
      </x:c>
      <x:c r="O703" s="8" t="n">
        <x:f>SUM(L703:N703)</x:f>
        <x:v>1050</x:v>
      </x:c>
      <x:c r="P703" s="14" t="n">
        <x:f>'Current inventory'!V73</x:f>
        <x:v>0.532</x:v>
      </x:c>
      <x:c r="Q703" s="14" t="str">
        <x:f>'Current inventory'!W73</x:f>
        <x:v>n.a.</x:v>
      </x:c>
      <x:c r="R703" s="10" t="n">
        <x:f>L703*P703</x:f>
        <x:v>0</x:v>
      </x:c>
      <x:c r="S703" s="10" t="n">
        <x:f>M703*P703</x:f>
        <x:v>0</x:v>
      </x:c>
      <x:c r="T703" s="10" t="n">
        <x:f>N703*P703</x:f>
        <x:v>558.6</x:v>
      </x:c>
      <x:c r="U703" s="10" t="n">
        <x:f>O703*P703</x:f>
        <x:v>558.6</x:v>
      </x:c>
      <x:c r="V703" s="10" t="str">
        <x:f>IF(ISNUMBER(Q703),O703*(Q703-P703),"n.a.")</x:f>
        <x:v>n.a.</x:v>
      </x:c>
      <x:c r="W703" s="10" t="n">
        <x:f>IF(ISNUMBER(Q703),U703,0)</x:f>
        <x:v>0</x:v>
      </x:c>
      <x:c r="X703" s="8" t="n">
        <x:f>MAX(0,K703-SUM(E703:J703))</x:f>
        <x:v>0</x:v>
      </x:c>
      <x:c r="Y703" s="1" t="str">
        <x:f>IF(AND(O703&gt;0,NOT(ISNUMBER(Q703))),"No proposed replacement standard",IF(X703&gt;0,"Demand exceeds available stock",""))</x:f>
        <x:v>No proposed replacement standard</x:v>
      </x:c>
      <x:c r="Z703" s="1" t="n">
        <x:f>IF(ISNUMBER(Q703),1,0)</x:f>
        <x:v>0</x:v>
      </x:c>
    </x:row>
    <x:row r="704" ht="21" customHeight="1">
      <x:c r="A704" s="17" t="n">
        <x:f>Summary!B20</x:f>
        <x:v>46478</x:v>
      </x:c>
      <x:c r="B704" s="1" t="str">
        <x:f>'Current inventory'!A74</x:f>
        <x:v>10</x:v>
      </x:c>
      <x:c r="C704" s="1" t="str">
        <x:f>'Current inventory'!B74</x:f>
        <x:v>800BREDASC</x:v>
      </x:c>
      <x:c r="D704" s="7" t="n">
        <x:f>A578</x:f>
        <x:v>46447</x:v>
      </x:c>
      <x:c r="E704" s="8" t="n">
        <x:f>L578</x:f>
        <x:v>0</x:v>
      </x:c>
      <x:c r="F704" s="8" t="n">
        <x:f>M578</x:f>
        <x:v>0</x:v>
      </x:c>
      <x:c r="G704" s="8" t="n">
        <x:f>N578</x:f>
        <x:v>0</x:v>
      </x:c>
      <x:c r="H704" s="8" t="n">
        <x:f>SUMIFS('PO detail'!$U$2:$U$672,'PO detail'!$A$2:$A$672,B704,'PO detail'!$B$2:$B$672,C704,'PO detail'!$G$2:$G$672,"&gt;="&amp;D704,'PO detail'!$G$2:$G$672,"&lt;"&amp;A704)</x:f>
        <x:v>0</x:v>
      </x:c>
      <x:c r="I704" s="8" t="n">
        <x:f>SUMIFS('PO detail'!$V$2:$V$672,'PO detail'!$A$2:$A$672,B704,'PO detail'!$B$2:$B$672,C704,'PO detail'!$G$2:$G$672,"&gt;="&amp;D704,'PO detail'!$G$2:$G$672,"&lt;"&amp;A704)</x:f>
        <x:v>0</x:v>
      </x:c>
      <x:c r="J704" s="8" t="n">
        <x:f>SUMIFS('PO detail'!$W$2:$W$672,'PO detail'!$A$2:$A$672,B704,'PO detail'!$B$2:$B$672,C704,'PO detail'!$G$2:$G$672,"&gt;="&amp;D704,'PO detail'!$G$2:$G$672,"&lt;"&amp;A704)</x:f>
        <x:v>0</x:v>
      </x:c>
      <x:c r="K704" s="8" t="n">
        <x:f>'Current inventory'!E74*Summary!$D$6*(A704-D704)/30.4375</x:f>
        <x:v>0</x:v>
      </x:c>
      <x:c r="L704" s="8" t="n">
        <x:f>MAX(0,E704+H704-K704)</x:f>
        <x:v>0</x:v>
      </x:c>
      <x:c r="M704" s="8" t="n">
        <x:f>MAX(0,F704+I704-MAX(0,K704-E704-H704))</x:f>
        <x:v>0</x:v>
      </x:c>
      <x:c r="N704" s="8" t="n">
        <x:f>MAX(0,G704+J704-K704)</x:f>
        <x:v>0</x:v>
      </x:c>
      <x:c r="O704" s="8" t="n">
        <x:f>SUM(L704:N704)</x:f>
        <x:v>0</x:v>
      </x:c>
      <x:c r="P704" s="14" t="n">
        <x:f>'Current inventory'!V74</x:f>
        <x:v>0.07919999999999999</x:v>
      </x:c>
      <x:c r="Q704" s="14" t="str">
        <x:f>'Current inventory'!W74</x:f>
        <x:v>n.a.</x:v>
      </x:c>
      <x:c r="R704" s="10" t="n">
        <x:f>L704*P704</x:f>
        <x:v>0</x:v>
      </x:c>
      <x:c r="S704" s="10" t="n">
        <x:f>M704*P704</x:f>
        <x:v>0</x:v>
      </x:c>
      <x:c r="T704" s="10" t="n">
        <x:f>N704*P704</x:f>
        <x:v>0</x:v>
      </x:c>
      <x:c r="U704" s="10" t="n">
        <x:f>O704*P704</x:f>
        <x:v>0</x:v>
      </x:c>
      <x:c r="V704" s="10" t="str">
        <x:f>IF(ISNUMBER(Q704),O704*(Q704-P704),"n.a.")</x:f>
        <x:v>n.a.</x:v>
      </x:c>
      <x:c r="W704" s="10" t="n">
        <x:f>IF(ISNUMBER(Q704),U704,0)</x:f>
        <x:v>0</x:v>
      </x:c>
      <x:c r="X704" s="8" t="n">
        <x:f>MAX(0,K704-SUM(E704:J704))</x:f>
        <x:v>0</x:v>
      </x:c>
      <x:c r="Y704" s="1" t="str">
        <x:f>IF(AND(O704&gt;0,NOT(ISNUMBER(Q704))),"No proposed replacement standard",IF(X704&gt;0,"Demand exceeds available stock",""))</x:f>
      </x:c>
      <x:c r="Z704" s="1" t="n">
        <x:f>IF(ISNUMBER(Q704),1,0)</x:f>
        <x:v>0</x:v>
      </x:c>
    </x:row>
    <x:row r="705" ht="21" customHeight="1">
      <x:c r="A705" s="17" t="n">
        <x:f>Summary!B20</x:f>
        <x:v>46478</x:v>
      </x:c>
      <x:c r="B705" s="1" t="str">
        <x:f>'Current inventory'!A75</x:f>
        <x:v>10</x:v>
      </x:c>
      <x:c r="C705" s="1" t="str">
        <x:f>'Current inventory'!B75</x:f>
        <x:v>800BREDBRC</x:v>
      </x:c>
      <x:c r="D705" s="7" t="n">
        <x:f>A579</x:f>
        <x:v>46447</x:v>
      </x:c>
      <x:c r="E705" s="8" t="n">
        <x:f>L579</x:f>
        <x:v>0</x:v>
      </x:c>
      <x:c r="F705" s="8" t="n">
        <x:f>M579</x:f>
        <x:v>0</x:v>
      </x:c>
      <x:c r="G705" s="8" t="n">
        <x:f>N579</x:f>
        <x:v>0</x:v>
      </x:c>
      <x:c r="H705" s="8" t="n">
        <x:f>SUMIFS('PO detail'!$U$2:$U$672,'PO detail'!$A$2:$A$672,B705,'PO detail'!$B$2:$B$672,C705,'PO detail'!$G$2:$G$672,"&gt;="&amp;D705,'PO detail'!$G$2:$G$672,"&lt;"&amp;A705)</x:f>
        <x:v>0</x:v>
      </x:c>
      <x:c r="I705" s="8" t="n">
        <x:f>SUMIFS('PO detail'!$V$2:$V$672,'PO detail'!$A$2:$A$672,B705,'PO detail'!$B$2:$B$672,C705,'PO detail'!$G$2:$G$672,"&gt;="&amp;D705,'PO detail'!$G$2:$G$672,"&lt;"&amp;A705)</x:f>
        <x:v>0</x:v>
      </x:c>
      <x:c r="J705" s="8" t="n">
        <x:f>SUMIFS('PO detail'!$W$2:$W$672,'PO detail'!$A$2:$A$672,B705,'PO detail'!$B$2:$B$672,C705,'PO detail'!$G$2:$G$672,"&gt;="&amp;D705,'PO detail'!$G$2:$G$672,"&lt;"&amp;A705)</x:f>
        <x:v>0</x:v>
      </x:c>
      <x:c r="K705" s="8" t="n">
        <x:f>'Current inventory'!E75*Summary!$D$6*(A705-D705)/30.4375</x:f>
        <x:v>0</x:v>
      </x:c>
      <x:c r="L705" s="8" t="n">
        <x:f>MAX(0,E705+H705-K705)</x:f>
        <x:v>0</x:v>
      </x:c>
      <x:c r="M705" s="8" t="n">
        <x:f>MAX(0,F705+I705-MAX(0,K705-E705-H705))</x:f>
        <x:v>0</x:v>
      </x:c>
      <x:c r="N705" s="8" t="n">
        <x:f>MAX(0,G705+J705-K705)</x:f>
        <x:v>0</x:v>
      </x:c>
      <x:c r="O705" s="8" t="n">
        <x:f>SUM(L705:N705)</x:f>
        <x:v>0</x:v>
      </x:c>
      <x:c r="P705" s="14" t="n">
        <x:f>'Current inventory'!V75</x:f>
        <x:v>0.0898</x:v>
      </x:c>
      <x:c r="Q705" s="14" t="str">
        <x:f>'Current inventory'!W75</x:f>
        <x:v>n.a.</x:v>
      </x:c>
      <x:c r="R705" s="10" t="n">
        <x:f>L705*P705</x:f>
        <x:v>0</x:v>
      </x:c>
      <x:c r="S705" s="10" t="n">
        <x:f>M705*P705</x:f>
        <x:v>0</x:v>
      </x:c>
      <x:c r="T705" s="10" t="n">
        <x:f>N705*P705</x:f>
        <x:v>0</x:v>
      </x:c>
      <x:c r="U705" s="10" t="n">
        <x:f>O705*P705</x:f>
        <x:v>0</x:v>
      </x:c>
      <x:c r="V705" s="10" t="str">
        <x:f>IF(ISNUMBER(Q705),O705*(Q705-P705),"n.a.")</x:f>
        <x:v>n.a.</x:v>
      </x:c>
      <x:c r="W705" s="10" t="n">
        <x:f>IF(ISNUMBER(Q705),U705,0)</x:f>
        <x:v>0</x:v>
      </x:c>
      <x:c r="X705" s="8" t="n">
        <x:f>MAX(0,K705-SUM(E705:J705))</x:f>
        <x:v>0</x:v>
      </x:c>
      <x:c r="Y705" s="1" t="str">
        <x:f>IF(AND(O705&gt;0,NOT(ISNUMBER(Q705))),"No proposed replacement standard",IF(X705&gt;0,"Demand exceeds available stock",""))</x:f>
      </x:c>
      <x:c r="Z705" s="1" t="n">
        <x:f>IF(ISNUMBER(Q705),1,0)</x:f>
        <x:v>0</x:v>
      </x:c>
    </x:row>
    <x:row r="706" ht="21" customHeight="1">
      <x:c r="A706" s="17" t="n">
        <x:f>Summary!B20</x:f>
        <x:v>46478</x:v>
      </x:c>
      <x:c r="B706" s="1" t="str">
        <x:f>'Current inventory'!A76</x:f>
        <x:v>10</x:v>
      </x:c>
      <x:c r="C706" s="1" t="str">
        <x:f>'Current inventory'!B76</x:f>
        <x:v>800WBLKBRC</x:v>
      </x:c>
      <x:c r="D706" s="7" t="n">
        <x:f>A580</x:f>
        <x:v>46447</x:v>
      </x:c>
      <x:c r="E706" s="8" t="n">
        <x:f>L580</x:f>
        <x:v>0</x:v>
      </x:c>
      <x:c r="F706" s="8" t="n">
        <x:f>M580</x:f>
        <x:v>0</x:v>
      </x:c>
      <x:c r="G706" s="8" t="n">
        <x:f>N580</x:f>
        <x:v>200</x:v>
      </x:c>
      <x:c r="H706" s="8" t="n">
        <x:f>SUMIFS('PO detail'!$U$2:$U$672,'PO detail'!$A$2:$A$672,B706,'PO detail'!$B$2:$B$672,C706,'PO detail'!$G$2:$G$672,"&gt;="&amp;D706,'PO detail'!$G$2:$G$672,"&lt;"&amp;A706)</x:f>
        <x:v>0</x:v>
      </x:c>
      <x:c r="I706" s="8" t="n">
        <x:f>SUMIFS('PO detail'!$V$2:$V$672,'PO detail'!$A$2:$A$672,B706,'PO detail'!$B$2:$B$672,C706,'PO detail'!$G$2:$G$672,"&gt;="&amp;D706,'PO detail'!$G$2:$G$672,"&lt;"&amp;A706)</x:f>
        <x:v>0</x:v>
      </x:c>
      <x:c r="J706" s="8" t="n">
        <x:f>SUMIFS('PO detail'!$W$2:$W$672,'PO detail'!$A$2:$A$672,B706,'PO detail'!$B$2:$B$672,C706,'PO detail'!$G$2:$G$672,"&gt;="&amp;D706,'PO detail'!$G$2:$G$672,"&lt;"&amp;A706)</x:f>
        <x:v>0</x:v>
      </x:c>
      <x:c r="K706" s="8" t="n">
        <x:f>'Current inventory'!E76*Summary!$D$6*(A706-D706)/30.4375</x:f>
        <x:v>0</x:v>
      </x:c>
      <x:c r="L706" s="8" t="n">
        <x:f>MAX(0,E706+H706-K706)</x:f>
        <x:v>0</x:v>
      </x:c>
      <x:c r="M706" s="8" t="n">
        <x:f>MAX(0,F706+I706-MAX(0,K706-E706-H706))</x:f>
        <x:v>0</x:v>
      </x:c>
      <x:c r="N706" s="8" t="n">
        <x:f>MAX(0,G706+J706-K706)</x:f>
        <x:v>200</x:v>
      </x:c>
      <x:c r="O706" s="8" t="n">
        <x:f>SUM(L706:N706)</x:f>
        <x:v>200</x:v>
      </x:c>
      <x:c r="P706" s="14" t="n">
        <x:f>'Current inventory'!V76</x:f>
        <x:v>0.14150000000000001</x:v>
      </x:c>
      <x:c r="Q706" s="14" t="str">
        <x:f>'Current inventory'!W76</x:f>
        <x:v>n.a.</x:v>
      </x:c>
      <x:c r="R706" s="10" t="n">
        <x:f>L706*P706</x:f>
        <x:v>0</x:v>
      </x:c>
      <x:c r="S706" s="10" t="n">
        <x:f>M706*P706</x:f>
        <x:v>0</x:v>
      </x:c>
      <x:c r="T706" s="10" t="n">
        <x:f>N706*P706</x:f>
        <x:v>28.300000000000004</x:v>
      </x:c>
      <x:c r="U706" s="10" t="n">
        <x:f>O706*P706</x:f>
        <x:v>28.300000000000004</x:v>
      </x:c>
      <x:c r="V706" s="10" t="str">
        <x:f>IF(ISNUMBER(Q706),O706*(Q706-P706),"n.a.")</x:f>
        <x:v>n.a.</x:v>
      </x:c>
      <x:c r="W706" s="10" t="n">
        <x:f>IF(ISNUMBER(Q706),U706,0)</x:f>
        <x:v>0</x:v>
      </x:c>
      <x:c r="X706" s="8" t="n">
        <x:f>MAX(0,K706-SUM(E706:J706))</x:f>
        <x:v>0</x:v>
      </x:c>
      <x:c r="Y706" s="1" t="str">
        <x:f>IF(AND(O706&gt;0,NOT(ISNUMBER(Q706))),"No proposed replacement standard",IF(X706&gt;0,"Demand exceeds available stock",""))</x:f>
        <x:v>No proposed replacement standard</x:v>
      </x:c>
      <x:c r="Z706" s="1" t="n">
        <x:f>IF(ISNUMBER(Q706),1,0)</x:f>
        <x:v>0</x:v>
      </x:c>
    </x:row>
    <x:row r="707" ht="21" customHeight="1">
      <x:c r="A707" s="17" t="n">
        <x:f>Summary!B20</x:f>
        <x:v>46478</x:v>
      </x:c>
      <x:c r="B707" s="1" t="str">
        <x:f>'Current inventory'!A77</x:f>
        <x:v>10</x:v>
      </x:c>
      <x:c r="C707" s="1" t="str">
        <x:f>'Current inventory'!B77</x:f>
        <x:v>800WFGASC</x:v>
      </x:c>
      <x:c r="D707" s="7" t="n">
        <x:f>A581</x:f>
        <x:v>46447</x:v>
      </x:c>
      <x:c r="E707" s="8" t="n">
        <x:f>L581</x:f>
        <x:v>0</x:v>
      </x:c>
      <x:c r="F707" s="8" t="n">
        <x:f>M581</x:f>
        <x:v>0</x:v>
      </x:c>
      <x:c r="G707" s="8" t="n">
        <x:f>N581</x:f>
        <x:v>0</x:v>
      </x:c>
      <x:c r="H707" s="8" t="n">
        <x:f>SUMIFS('PO detail'!$U$2:$U$672,'PO detail'!$A$2:$A$672,B707,'PO detail'!$B$2:$B$672,C707,'PO detail'!$G$2:$G$672,"&gt;="&amp;D707,'PO detail'!$G$2:$G$672,"&lt;"&amp;A707)</x:f>
        <x:v>0</x:v>
      </x:c>
      <x:c r="I707" s="8" t="n">
        <x:f>SUMIFS('PO detail'!$V$2:$V$672,'PO detail'!$A$2:$A$672,B707,'PO detail'!$B$2:$B$672,C707,'PO detail'!$G$2:$G$672,"&gt;="&amp;D707,'PO detail'!$G$2:$G$672,"&lt;"&amp;A707)</x:f>
        <x:v>0</x:v>
      </x:c>
      <x:c r="J707" s="8" t="n">
        <x:f>SUMIFS('PO detail'!$W$2:$W$672,'PO detail'!$A$2:$A$672,B707,'PO detail'!$B$2:$B$672,C707,'PO detail'!$G$2:$G$672,"&gt;="&amp;D707,'PO detail'!$G$2:$G$672,"&lt;"&amp;A707)</x:f>
        <x:v>0</x:v>
      </x:c>
      <x:c r="K707" s="8" t="n">
        <x:f>'Current inventory'!E77*Summary!$D$6*(A707-D707)/30.4375</x:f>
        <x:v>0</x:v>
      </x:c>
      <x:c r="L707" s="8" t="n">
        <x:f>MAX(0,E707+H707-K707)</x:f>
        <x:v>0</x:v>
      </x:c>
      <x:c r="M707" s="8" t="n">
        <x:f>MAX(0,F707+I707-MAX(0,K707-E707-H707))</x:f>
        <x:v>0</x:v>
      </x:c>
      <x:c r="N707" s="8" t="n">
        <x:f>MAX(0,G707+J707-K707)</x:f>
        <x:v>0</x:v>
      </x:c>
      <x:c r="O707" s="8" t="n">
        <x:f>SUM(L707:N707)</x:f>
        <x:v>0</x:v>
      </x:c>
      <x:c r="P707" s="14" t="n">
        <x:f>'Current inventory'!V77</x:f>
        <x:v>0.1456</x:v>
      </x:c>
      <x:c r="Q707" s="14" t="str">
        <x:f>'Current inventory'!W77</x:f>
        <x:v>n.a.</x:v>
      </x:c>
      <x:c r="R707" s="10" t="n">
        <x:f>L707*P707</x:f>
        <x:v>0</x:v>
      </x:c>
      <x:c r="S707" s="10" t="n">
        <x:f>M707*P707</x:f>
        <x:v>0</x:v>
      </x:c>
      <x:c r="T707" s="10" t="n">
        <x:f>N707*P707</x:f>
        <x:v>0</x:v>
      </x:c>
      <x:c r="U707" s="10" t="n">
        <x:f>O707*P707</x:f>
        <x:v>0</x:v>
      </x:c>
      <x:c r="V707" s="10" t="str">
        <x:f>IF(ISNUMBER(Q707),O707*(Q707-P707),"n.a.")</x:f>
        <x:v>n.a.</x:v>
      </x:c>
      <x:c r="W707" s="10" t="n">
        <x:f>IF(ISNUMBER(Q707),U707,0)</x:f>
        <x:v>0</x:v>
      </x:c>
      <x:c r="X707" s="8" t="n">
        <x:f>MAX(0,K707-SUM(E707:J707))</x:f>
        <x:v>0</x:v>
      </x:c>
      <x:c r="Y707" s="1" t="str">
        <x:f>IF(AND(O707&gt;0,NOT(ISNUMBER(Q707))),"No proposed replacement standard",IF(X707&gt;0,"Demand exceeds available stock",""))</x:f>
      </x:c>
      <x:c r="Z707" s="1" t="n">
        <x:f>IF(ISNUMBER(Q707),1,0)</x:f>
        <x:v>0</x:v>
      </x:c>
    </x:row>
    <x:row r="708" ht="21" customHeight="1">
      <x:c r="A708" s="17" t="n">
        <x:f>Summary!B20</x:f>
        <x:v>46478</x:v>
      </x:c>
      <x:c r="B708" s="1" t="str">
        <x:f>'Current inventory'!A78</x:f>
        <x:v>10</x:v>
      </x:c>
      <x:c r="C708" s="1" t="str">
        <x:f>'Current inventory'!B78</x:f>
        <x:v>800WFGBRC</x:v>
      </x:c>
      <x:c r="D708" s="7" t="n">
        <x:f>A582</x:f>
        <x:v>46447</x:v>
      </x:c>
      <x:c r="E708" s="8" t="n">
        <x:f>L582</x:f>
        <x:v>0</x:v>
      </x:c>
      <x:c r="F708" s="8" t="n">
        <x:f>M582</x:f>
        <x:v>0</x:v>
      </x:c>
      <x:c r="G708" s="8" t="n">
        <x:f>N582</x:f>
        <x:v>0</x:v>
      </x:c>
      <x:c r="H708" s="8" t="n">
        <x:f>SUMIFS('PO detail'!$U$2:$U$672,'PO detail'!$A$2:$A$672,B708,'PO detail'!$B$2:$B$672,C708,'PO detail'!$G$2:$G$672,"&gt;="&amp;D708,'PO detail'!$G$2:$G$672,"&lt;"&amp;A708)</x:f>
        <x:v>0</x:v>
      </x:c>
      <x:c r="I708" s="8" t="n">
        <x:f>SUMIFS('PO detail'!$V$2:$V$672,'PO detail'!$A$2:$A$672,B708,'PO detail'!$B$2:$B$672,C708,'PO detail'!$G$2:$G$672,"&gt;="&amp;D708,'PO detail'!$G$2:$G$672,"&lt;"&amp;A708)</x:f>
        <x:v>0</x:v>
      </x:c>
      <x:c r="J708" s="8" t="n">
        <x:f>SUMIFS('PO detail'!$W$2:$W$672,'PO detail'!$A$2:$A$672,B708,'PO detail'!$B$2:$B$672,C708,'PO detail'!$G$2:$G$672,"&gt;="&amp;D708,'PO detail'!$G$2:$G$672,"&lt;"&amp;A708)</x:f>
        <x:v>0</x:v>
      </x:c>
      <x:c r="K708" s="8" t="n">
        <x:f>'Current inventory'!E78*Summary!$D$6*(A708-D708)/30.4375</x:f>
        <x:v>0</x:v>
      </x:c>
      <x:c r="L708" s="8" t="n">
        <x:f>MAX(0,E708+H708-K708)</x:f>
        <x:v>0</x:v>
      </x:c>
      <x:c r="M708" s="8" t="n">
        <x:f>MAX(0,F708+I708-MAX(0,K708-E708-H708))</x:f>
        <x:v>0</x:v>
      </x:c>
      <x:c r="N708" s="8" t="n">
        <x:f>MAX(0,G708+J708-K708)</x:f>
        <x:v>0</x:v>
      </x:c>
      <x:c r="O708" s="8" t="n">
        <x:f>SUM(L708:N708)</x:f>
        <x:v>0</x:v>
      </x:c>
      <x:c r="P708" s="14" t="n">
        <x:f>'Current inventory'!V78</x:f>
        <x:v>0.18469999999999998</x:v>
      </x:c>
      <x:c r="Q708" s="14" t="str">
        <x:f>'Current inventory'!W78</x:f>
        <x:v>n.a.</x:v>
      </x:c>
      <x:c r="R708" s="10" t="n">
        <x:f>L708*P708</x:f>
        <x:v>0</x:v>
      </x:c>
      <x:c r="S708" s="10" t="n">
        <x:f>M708*P708</x:f>
        <x:v>0</x:v>
      </x:c>
      <x:c r="T708" s="10" t="n">
        <x:f>N708*P708</x:f>
        <x:v>0</x:v>
      </x:c>
      <x:c r="U708" s="10" t="n">
        <x:f>O708*P708</x:f>
        <x:v>0</x:v>
      </x:c>
      <x:c r="V708" s="10" t="str">
        <x:f>IF(ISNUMBER(Q708),O708*(Q708-P708),"n.a.")</x:f>
        <x:v>n.a.</x:v>
      </x:c>
      <x:c r="W708" s="10" t="n">
        <x:f>IF(ISNUMBER(Q708),U708,0)</x:f>
        <x:v>0</x:v>
      </x:c>
      <x:c r="X708" s="8" t="n">
        <x:f>MAX(0,K708-SUM(E708:J708))</x:f>
        <x:v>0</x:v>
      </x:c>
      <x:c r="Y708" s="1" t="str">
        <x:f>IF(AND(O708&gt;0,NOT(ISNUMBER(Q708))),"No proposed replacement standard",IF(X708&gt;0,"Demand exceeds available stock",""))</x:f>
      </x:c>
      <x:c r="Z708" s="1" t="n">
        <x:f>IF(ISNUMBER(Q708),1,0)</x:f>
        <x:v>0</x:v>
      </x:c>
    </x:row>
    <x:row r="709" ht="21" customHeight="1">
      <x:c r="A709" s="17" t="n">
        <x:f>Summary!B20</x:f>
        <x:v>46478</x:v>
      </x:c>
      <x:c r="B709" s="1" t="str">
        <x:f>'Current inventory'!A79</x:f>
        <x:v>10</x:v>
      </x:c>
      <x:c r="C709" s="1" t="str">
        <x:f>'Current inventory'!B79</x:f>
        <x:v>800WMARBRC</x:v>
      </x:c>
      <x:c r="D709" s="7" t="n">
        <x:f>A583</x:f>
        <x:v>46447</x:v>
      </x:c>
      <x:c r="E709" s="8" t="n">
        <x:f>L583</x:f>
        <x:v>0</x:v>
      </x:c>
      <x:c r="F709" s="8" t="n">
        <x:f>M583</x:f>
        <x:v>0</x:v>
      </x:c>
      <x:c r="G709" s="8" t="n">
        <x:f>N583</x:f>
        <x:v>900</x:v>
      </x:c>
      <x:c r="H709" s="8" t="n">
        <x:f>SUMIFS('PO detail'!$U$2:$U$672,'PO detail'!$A$2:$A$672,B709,'PO detail'!$B$2:$B$672,C709,'PO detail'!$G$2:$G$672,"&gt;="&amp;D709,'PO detail'!$G$2:$G$672,"&lt;"&amp;A709)</x:f>
        <x:v>0</x:v>
      </x:c>
      <x:c r="I709" s="8" t="n">
        <x:f>SUMIFS('PO detail'!$V$2:$V$672,'PO detail'!$A$2:$A$672,B709,'PO detail'!$B$2:$B$672,C709,'PO detail'!$G$2:$G$672,"&gt;="&amp;D709,'PO detail'!$G$2:$G$672,"&lt;"&amp;A709)</x:f>
        <x:v>0</x:v>
      </x:c>
      <x:c r="J709" s="8" t="n">
        <x:f>SUMIFS('PO detail'!$W$2:$W$672,'PO detail'!$A$2:$A$672,B709,'PO detail'!$B$2:$B$672,C709,'PO detail'!$G$2:$G$672,"&gt;="&amp;D709,'PO detail'!$G$2:$G$672,"&lt;"&amp;A709)</x:f>
        <x:v>0</x:v>
      </x:c>
      <x:c r="K709" s="8" t="n">
        <x:f>'Current inventory'!E79*Summary!$D$6*(A709-D709)/30.4375</x:f>
        <x:v>0</x:v>
      </x:c>
      <x:c r="L709" s="8" t="n">
        <x:f>MAX(0,E709+H709-K709)</x:f>
        <x:v>0</x:v>
      </x:c>
      <x:c r="M709" s="8" t="n">
        <x:f>MAX(0,F709+I709-MAX(0,K709-E709-H709))</x:f>
        <x:v>0</x:v>
      </x:c>
      <x:c r="N709" s="8" t="n">
        <x:f>MAX(0,G709+J709-K709)</x:f>
        <x:v>900</x:v>
      </x:c>
      <x:c r="O709" s="8" t="n">
        <x:f>SUM(L709:N709)</x:f>
        <x:v>900</x:v>
      </x:c>
      <x:c r="P709" s="14" t="n">
        <x:f>'Current inventory'!V79</x:f>
        <x:v>0.17350000000000002</x:v>
      </x:c>
      <x:c r="Q709" s="14" t="str">
        <x:f>'Current inventory'!W79</x:f>
        <x:v>n.a.</x:v>
      </x:c>
      <x:c r="R709" s="10" t="n">
        <x:f>L709*P709</x:f>
        <x:v>0</x:v>
      </x:c>
      <x:c r="S709" s="10" t="n">
        <x:f>M709*P709</x:f>
        <x:v>0</x:v>
      </x:c>
      <x:c r="T709" s="10" t="n">
        <x:f>N709*P709</x:f>
        <x:v>156.15</x:v>
      </x:c>
      <x:c r="U709" s="10" t="n">
        <x:f>O709*P709</x:f>
        <x:v>156.15</x:v>
      </x:c>
      <x:c r="V709" s="10" t="str">
        <x:f>IF(ISNUMBER(Q709),O709*(Q709-P709),"n.a.")</x:f>
        <x:v>n.a.</x:v>
      </x:c>
      <x:c r="W709" s="10" t="n">
        <x:f>IF(ISNUMBER(Q709),U709,0)</x:f>
        <x:v>0</x:v>
      </x:c>
      <x:c r="X709" s="8" t="n">
        <x:f>MAX(0,K709-SUM(E709:J709))</x:f>
        <x:v>0</x:v>
      </x:c>
      <x:c r="Y709" s="1" t="str">
        <x:f>IF(AND(O709&gt;0,NOT(ISNUMBER(Q709))),"No proposed replacement standard",IF(X709&gt;0,"Demand exceeds available stock",""))</x:f>
        <x:v>No proposed replacement standard</x:v>
      </x:c>
      <x:c r="Z709" s="1" t="n">
        <x:f>IF(ISNUMBER(Q709),1,0)</x:f>
        <x:v>0</x:v>
      </x:c>
    </x:row>
    <x:row r="710" ht="21" customHeight="1">
      <x:c r="A710" s="17" t="n">
        <x:f>Summary!B20</x:f>
        <x:v>46478</x:v>
      </x:c>
      <x:c r="B710" s="1" t="str">
        <x:f>'Current inventory'!A80</x:f>
        <x:v>10</x:v>
      </x:c>
      <x:c r="C710" s="1" t="str">
        <x:f>'Current inventory'!B80</x:f>
        <x:v>800WNAVBRC</x:v>
      </x:c>
      <x:c r="D710" s="7" t="n">
        <x:f>A584</x:f>
        <x:v>46447</x:v>
      </x:c>
      <x:c r="E710" s="8" t="n">
        <x:f>L584</x:f>
        <x:v>0</x:v>
      </x:c>
      <x:c r="F710" s="8" t="n">
        <x:f>M584</x:f>
        <x:v>0</x:v>
      </x:c>
      <x:c r="G710" s="8" t="n">
        <x:f>N584</x:f>
        <x:v>600</x:v>
      </x:c>
      <x:c r="H710" s="8" t="n">
        <x:f>SUMIFS('PO detail'!$U$2:$U$672,'PO detail'!$A$2:$A$672,B710,'PO detail'!$B$2:$B$672,C710,'PO detail'!$G$2:$G$672,"&gt;="&amp;D710,'PO detail'!$G$2:$G$672,"&lt;"&amp;A710)</x:f>
        <x:v>0</x:v>
      </x:c>
      <x:c r="I710" s="8" t="n">
        <x:f>SUMIFS('PO detail'!$V$2:$V$672,'PO detail'!$A$2:$A$672,B710,'PO detail'!$B$2:$B$672,C710,'PO detail'!$G$2:$G$672,"&gt;="&amp;D710,'PO detail'!$G$2:$G$672,"&lt;"&amp;A710)</x:f>
        <x:v>0</x:v>
      </x:c>
      <x:c r="J710" s="8" t="n">
        <x:f>SUMIFS('PO detail'!$W$2:$W$672,'PO detail'!$A$2:$A$672,B710,'PO detail'!$B$2:$B$672,C710,'PO detail'!$G$2:$G$672,"&gt;="&amp;D710,'PO detail'!$G$2:$G$672,"&lt;"&amp;A710)</x:f>
        <x:v>0</x:v>
      </x:c>
      <x:c r="K710" s="8" t="n">
        <x:f>'Current inventory'!E80*Summary!$D$6*(A710-D710)/30.4375</x:f>
        <x:v>0</x:v>
      </x:c>
      <x:c r="L710" s="8" t="n">
        <x:f>MAX(0,E710+H710-K710)</x:f>
        <x:v>0</x:v>
      </x:c>
      <x:c r="M710" s="8" t="n">
        <x:f>MAX(0,F710+I710-MAX(0,K710-E710-H710))</x:f>
        <x:v>0</x:v>
      </x:c>
      <x:c r="N710" s="8" t="n">
        <x:f>MAX(0,G710+J710-K710)</x:f>
        <x:v>600</x:v>
      </x:c>
      <x:c r="O710" s="8" t="n">
        <x:f>SUM(L710:N710)</x:f>
        <x:v>600</x:v>
      </x:c>
      <x:c r="P710" s="14" t="n">
        <x:f>'Current inventory'!V80</x:f>
        <x:v>0.17350000000000002</x:v>
      </x:c>
      <x:c r="Q710" s="14" t="str">
        <x:f>'Current inventory'!W80</x:f>
        <x:v>n.a.</x:v>
      </x:c>
      <x:c r="R710" s="10" t="n">
        <x:f>L710*P710</x:f>
        <x:v>0</x:v>
      </x:c>
      <x:c r="S710" s="10" t="n">
        <x:f>M710*P710</x:f>
        <x:v>0</x:v>
      </x:c>
      <x:c r="T710" s="10" t="n">
        <x:f>N710*P710</x:f>
        <x:v>104.10000000000001</x:v>
      </x:c>
      <x:c r="U710" s="10" t="n">
        <x:f>O710*P710</x:f>
        <x:v>104.10000000000001</x:v>
      </x:c>
      <x:c r="V710" s="10" t="str">
        <x:f>IF(ISNUMBER(Q710),O710*(Q710-P710),"n.a.")</x:f>
        <x:v>n.a.</x:v>
      </x:c>
      <x:c r="W710" s="10" t="n">
        <x:f>IF(ISNUMBER(Q710),U710,0)</x:f>
        <x:v>0</x:v>
      </x:c>
      <x:c r="X710" s="8" t="n">
        <x:f>MAX(0,K710-SUM(E710:J710))</x:f>
        <x:v>0</x:v>
      </x:c>
      <x:c r="Y710" s="1" t="str">
        <x:f>IF(AND(O710&gt;0,NOT(ISNUMBER(Q710))),"No proposed replacement standard",IF(X710&gt;0,"Demand exceeds available stock",""))</x:f>
        <x:v>No proposed replacement standard</x:v>
      </x:c>
      <x:c r="Z710" s="1" t="n">
        <x:f>IF(ISNUMBER(Q710),1,0)</x:f>
        <x:v>0</x:v>
      </x:c>
    </x:row>
    <x:row r="711" ht="21" customHeight="1">
      <x:c r="A711" s="17" t="n">
        <x:f>Summary!B20</x:f>
        <x:v>46478</x:v>
      </x:c>
      <x:c r="B711" s="1" t="str">
        <x:f>'Current inventory'!A81</x:f>
        <x:v>10</x:v>
      </x:c>
      <x:c r="C711" s="1" t="str">
        <x:f>'Current inventory'!B81</x:f>
        <x:v>800WREDASC</x:v>
      </x:c>
      <x:c r="D711" s="7" t="n">
        <x:f>A585</x:f>
        <x:v>46447</x:v>
      </x:c>
      <x:c r="E711" s="8" t="n">
        <x:f>L585</x:f>
        <x:v>0</x:v>
      </x:c>
      <x:c r="F711" s="8" t="n">
        <x:f>M585</x:f>
        <x:v>0</x:v>
      </x:c>
      <x:c r="G711" s="8" t="n">
        <x:f>N585</x:f>
        <x:v>0</x:v>
      </x:c>
      <x:c r="H711" s="8" t="n">
        <x:f>SUMIFS('PO detail'!$U$2:$U$672,'PO detail'!$A$2:$A$672,B711,'PO detail'!$B$2:$B$672,C711,'PO detail'!$G$2:$G$672,"&gt;="&amp;D711,'PO detail'!$G$2:$G$672,"&lt;"&amp;A711)</x:f>
        <x:v>0</x:v>
      </x:c>
      <x:c r="I711" s="8" t="n">
        <x:f>SUMIFS('PO detail'!$V$2:$V$672,'PO detail'!$A$2:$A$672,B711,'PO detail'!$B$2:$B$672,C711,'PO detail'!$G$2:$G$672,"&gt;="&amp;D711,'PO detail'!$G$2:$G$672,"&lt;"&amp;A711)</x:f>
        <x:v>0</x:v>
      </x:c>
      <x:c r="J711" s="8" t="n">
        <x:f>SUMIFS('PO detail'!$W$2:$W$672,'PO detail'!$A$2:$A$672,B711,'PO detail'!$B$2:$B$672,C711,'PO detail'!$G$2:$G$672,"&gt;="&amp;D711,'PO detail'!$G$2:$G$672,"&lt;"&amp;A711)</x:f>
        <x:v>0</x:v>
      </x:c>
      <x:c r="K711" s="8" t="n">
        <x:f>'Current inventory'!E81*Summary!$D$6*(A711-D711)/30.4375</x:f>
        <x:v>0</x:v>
      </x:c>
      <x:c r="L711" s="8" t="n">
        <x:f>MAX(0,E711+H711-K711)</x:f>
        <x:v>0</x:v>
      </x:c>
      <x:c r="M711" s="8" t="n">
        <x:f>MAX(0,F711+I711-MAX(0,K711-E711-H711))</x:f>
        <x:v>0</x:v>
      </x:c>
      <x:c r="N711" s="8" t="n">
        <x:f>MAX(0,G711+J711-K711)</x:f>
        <x:v>0</x:v>
      </x:c>
      <x:c r="O711" s="8" t="n">
        <x:f>SUM(L711:N711)</x:f>
        <x:v>0</x:v>
      </x:c>
      <x:c r="P711" s="14" t="n">
        <x:f>'Current inventory'!V81</x:f>
        <x:v>0.07919999999999999</x:v>
      </x:c>
      <x:c r="Q711" s="14" t="str">
        <x:f>'Current inventory'!W81</x:f>
        <x:v>n.a.</x:v>
      </x:c>
      <x:c r="R711" s="10" t="n">
        <x:f>L711*P711</x:f>
        <x:v>0</x:v>
      </x:c>
      <x:c r="S711" s="10" t="n">
        <x:f>M711*P711</x:f>
        <x:v>0</x:v>
      </x:c>
      <x:c r="T711" s="10" t="n">
        <x:f>N711*P711</x:f>
        <x:v>0</x:v>
      </x:c>
      <x:c r="U711" s="10" t="n">
        <x:f>O711*P711</x:f>
        <x:v>0</x:v>
      </x:c>
      <x:c r="V711" s="10" t="str">
        <x:f>IF(ISNUMBER(Q711),O711*(Q711-P711),"n.a.")</x:f>
        <x:v>n.a.</x:v>
      </x:c>
      <x:c r="W711" s="10" t="n">
        <x:f>IF(ISNUMBER(Q711),U711,0)</x:f>
        <x:v>0</x:v>
      </x:c>
      <x:c r="X711" s="8" t="n">
        <x:f>MAX(0,K711-SUM(E711:J711))</x:f>
        <x:v>0</x:v>
      </x:c>
      <x:c r="Y711" s="1" t="str">
        <x:f>IF(AND(O711&gt;0,NOT(ISNUMBER(Q711))),"No proposed replacement standard",IF(X711&gt;0,"Demand exceeds available stock",""))</x:f>
      </x:c>
      <x:c r="Z711" s="1" t="n">
        <x:f>IF(ISNUMBER(Q711),1,0)</x:f>
        <x:v>0</x:v>
      </x:c>
    </x:row>
    <x:row r="712" ht="21" customHeight="1">
      <x:c r="A712" s="17" t="n">
        <x:f>Summary!B20</x:f>
        <x:v>46478</x:v>
      </x:c>
      <x:c r="B712" s="1" t="str">
        <x:f>'Current inventory'!A82</x:f>
        <x:v>10</x:v>
      </x:c>
      <x:c r="C712" s="1" t="str">
        <x:f>'Current inventory'!B82</x:f>
        <x:v>800WREDBRC</x:v>
      </x:c>
      <x:c r="D712" s="7" t="n">
        <x:f>A586</x:f>
        <x:v>46447</x:v>
      </x:c>
      <x:c r="E712" s="8" t="n">
        <x:f>L586</x:f>
        <x:v>0</x:v>
      </x:c>
      <x:c r="F712" s="8" t="n">
        <x:f>M586</x:f>
        <x:v>0</x:v>
      </x:c>
      <x:c r="G712" s="8" t="n">
        <x:f>N586</x:f>
        <x:v>0</x:v>
      </x:c>
      <x:c r="H712" s="8" t="n">
        <x:f>SUMIFS('PO detail'!$U$2:$U$672,'PO detail'!$A$2:$A$672,B712,'PO detail'!$B$2:$B$672,C712,'PO detail'!$G$2:$G$672,"&gt;="&amp;D712,'PO detail'!$G$2:$G$672,"&lt;"&amp;A712)</x:f>
        <x:v>0</x:v>
      </x:c>
      <x:c r="I712" s="8" t="n">
        <x:f>SUMIFS('PO detail'!$V$2:$V$672,'PO detail'!$A$2:$A$672,B712,'PO detail'!$B$2:$B$672,C712,'PO detail'!$G$2:$G$672,"&gt;="&amp;D712,'PO detail'!$G$2:$G$672,"&lt;"&amp;A712)</x:f>
        <x:v>0</x:v>
      </x:c>
      <x:c r="J712" s="8" t="n">
        <x:f>SUMIFS('PO detail'!$W$2:$W$672,'PO detail'!$A$2:$A$672,B712,'PO detail'!$B$2:$B$672,C712,'PO detail'!$G$2:$G$672,"&gt;="&amp;D712,'PO detail'!$G$2:$G$672,"&lt;"&amp;A712)</x:f>
        <x:v>0</x:v>
      </x:c>
      <x:c r="K712" s="8" t="n">
        <x:f>'Current inventory'!E82*Summary!$D$6*(A712-D712)/30.4375</x:f>
        <x:v>0</x:v>
      </x:c>
      <x:c r="L712" s="8" t="n">
        <x:f>MAX(0,E712+H712-K712)</x:f>
        <x:v>0</x:v>
      </x:c>
      <x:c r="M712" s="8" t="n">
        <x:f>MAX(0,F712+I712-MAX(0,K712-E712-H712))</x:f>
        <x:v>0</x:v>
      </x:c>
      <x:c r="N712" s="8" t="n">
        <x:f>MAX(0,G712+J712-K712)</x:f>
        <x:v>0</x:v>
      </x:c>
      <x:c r="O712" s="8" t="n">
        <x:f>SUM(L712:N712)</x:f>
        <x:v>0</x:v>
      </x:c>
      <x:c r="P712" s="14" t="n">
        <x:f>'Current inventory'!V82</x:f>
        <x:v>0.0898</x:v>
      </x:c>
      <x:c r="Q712" s="14" t="str">
        <x:f>'Current inventory'!W82</x:f>
        <x:v>n.a.</x:v>
      </x:c>
      <x:c r="R712" s="10" t="n">
        <x:f>L712*P712</x:f>
        <x:v>0</x:v>
      </x:c>
      <x:c r="S712" s="10" t="n">
        <x:f>M712*P712</x:f>
        <x:v>0</x:v>
      </x:c>
      <x:c r="T712" s="10" t="n">
        <x:f>N712*P712</x:f>
        <x:v>0</x:v>
      </x:c>
      <x:c r="U712" s="10" t="n">
        <x:f>O712*P712</x:f>
        <x:v>0</x:v>
      </x:c>
      <x:c r="V712" s="10" t="str">
        <x:f>IF(ISNUMBER(Q712),O712*(Q712-P712),"n.a.")</x:f>
        <x:v>n.a.</x:v>
      </x:c>
      <x:c r="W712" s="10" t="n">
        <x:f>IF(ISNUMBER(Q712),U712,0)</x:f>
        <x:v>0</x:v>
      </x:c>
      <x:c r="X712" s="8" t="n">
        <x:f>MAX(0,K712-SUM(E712:J712))</x:f>
        <x:v>0</x:v>
      </x:c>
      <x:c r="Y712" s="1" t="str">
        <x:f>IF(AND(O712&gt;0,NOT(ISNUMBER(Q712))),"No proposed replacement standard",IF(X712&gt;0,"Demand exceeds available stock",""))</x:f>
      </x:c>
      <x:c r="Z712" s="1" t="n">
        <x:f>IF(ISNUMBER(Q712),1,0)</x:f>
        <x:v>0</x:v>
      </x:c>
    </x:row>
    <x:row r="713" ht="21" customHeight="1">
      <x:c r="A713" s="17" t="n">
        <x:f>Summary!B20</x:f>
        <x:v>46478</x:v>
      </x:c>
      <x:c r="B713" s="1" t="str">
        <x:f>'Current inventory'!A83</x:f>
        <x:v>10</x:v>
      </x:c>
      <x:c r="C713" s="1" t="str">
        <x:f>'Current inventory'!B83</x:f>
        <x:v>800WWHTASC</x:v>
      </x:c>
      <x:c r="D713" s="7" t="n">
        <x:f>A587</x:f>
        <x:v>46447</x:v>
      </x:c>
      <x:c r="E713" s="8" t="n">
        <x:f>L587</x:f>
        <x:v>0</x:v>
      </x:c>
      <x:c r="F713" s="8" t="n">
        <x:f>M587</x:f>
        <x:v>0</x:v>
      </x:c>
      <x:c r="G713" s="8" t="n">
        <x:f>N587</x:f>
        <x:v>0</x:v>
      </x:c>
      <x:c r="H713" s="8" t="n">
        <x:f>SUMIFS('PO detail'!$U$2:$U$672,'PO detail'!$A$2:$A$672,B713,'PO detail'!$B$2:$B$672,C713,'PO detail'!$G$2:$G$672,"&gt;="&amp;D713,'PO detail'!$G$2:$G$672,"&lt;"&amp;A713)</x:f>
        <x:v>0</x:v>
      </x:c>
      <x:c r="I713" s="8" t="n">
        <x:f>SUMIFS('PO detail'!$V$2:$V$672,'PO detail'!$A$2:$A$672,B713,'PO detail'!$B$2:$B$672,C713,'PO detail'!$G$2:$G$672,"&gt;="&amp;D713,'PO detail'!$G$2:$G$672,"&lt;"&amp;A713)</x:f>
        <x:v>0</x:v>
      </x:c>
      <x:c r="J713" s="8" t="n">
        <x:f>SUMIFS('PO detail'!$W$2:$W$672,'PO detail'!$A$2:$A$672,B713,'PO detail'!$B$2:$B$672,C713,'PO detail'!$G$2:$G$672,"&gt;="&amp;D713,'PO detail'!$G$2:$G$672,"&lt;"&amp;A713)</x:f>
        <x:v>0</x:v>
      </x:c>
      <x:c r="K713" s="8" t="n">
        <x:f>'Current inventory'!E83*Summary!$D$6*(A713-D713)/30.4375</x:f>
        <x:v>0</x:v>
      </x:c>
      <x:c r="L713" s="8" t="n">
        <x:f>MAX(0,E713+H713-K713)</x:f>
        <x:v>0</x:v>
      </x:c>
      <x:c r="M713" s="8" t="n">
        <x:f>MAX(0,F713+I713-MAX(0,K713-E713-H713))</x:f>
        <x:v>0</x:v>
      </x:c>
      <x:c r="N713" s="8" t="n">
        <x:f>MAX(0,G713+J713-K713)</x:f>
        <x:v>0</x:v>
      </x:c>
      <x:c r="O713" s="8" t="n">
        <x:f>SUM(L713:N713)</x:f>
        <x:v>0</x:v>
      </x:c>
      <x:c r="P713" s="14" t="n">
        <x:f>'Current inventory'!V83</x:f>
        <x:v>0.1456</x:v>
      </x:c>
      <x:c r="Q713" s="14" t="str">
        <x:f>'Current inventory'!W83</x:f>
        <x:v>n.a.</x:v>
      </x:c>
      <x:c r="R713" s="10" t="n">
        <x:f>L713*P713</x:f>
        <x:v>0</x:v>
      </x:c>
      <x:c r="S713" s="10" t="n">
        <x:f>M713*P713</x:f>
        <x:v>0</x:v>
      </x:c>
      <x:c r="T713" s="10" t="n">
        <x:f>N713*P713</x:f>
        <x:v>0</x:v>
      </x:c>
      <x:c r="U713" s="10" t="n">
        <x:f>O713*P713</x:f>
        <x:v>0</x:v>
      </x:c>
      <x:c r="V713" s="10" t="str">
        <x:f>IF(ISNUMBER(Q713),O713*(Q713-P713),"n.a.")</x:f>
        <x:v>n.a.</x:v>
      </x:c>
      <x:c r="W713" s="10" t="n">
        <x:f>IF(ISNUMBER(Q713),U713,0)</x:f>
        <x:v>0</x:v>
      </x:c>
      <x:c r="X713" s="8" t="n">
        <x:f>MAX(0,K713-SUM(E713:J713))</x:f>
        <x:v>0</x:v>
      </x:c>
      <x:c r="Y713" s="1" t="str">
        <x:f>IF(AND(O713&gt;0,NOT(ISNUMBER(Q713))),"No proposed replacement standard",IF(X713&gt;0,"Demand exceeds available stock",""))</x:f>
      </x:c>
      <x:c r="Z713" s="1" t="n">
        <x:f>IF(ISNUMBER(Q713),1,0)</x:f>
        <x:v>0</x:v>
      </x:c>
    </x:row>
    <x:row r="714" ht="21" customHeight="1">
      <x:c r="A714" s="17" t="n">
        <x:f>Summary!B20</x:f>
        <x:v>46478</x:v>
      </x:c>
      <x:c r="B714" s="1" t="str">
        <x:f>'Current inventory'!A84</x:f>
        <x:v>10</x:v>
      </x:c>
      <x:c r="C714" s="1" t="str">
        <x:f>'Current inventory'!B84</x:f>
        <x:v>800WWHTBRC</x:v>
      </x:c>
      <x:c r="D714" s="7" t="n">
        <x:f>A588</x:f>
        <x:v>46447</x:v>
      </x:c>
      <x:c r="E714" s="8" t="n">
        <x:f>L588</x:f>
        <x:v>0</x:v>
      </x:c>
      <x:c r="F714" s="8" t="n">
        <x:f>M588</x:f>
        <x:v>0</x:v>
      </x:c>
      <x:c r="G714" s="8" t="n">
        <x:f>N588</x:f>
        <x:v>0</x:v>
      </x:c>
      <x:c r="H714" s="8" t="n">
        <x:f>SUMIFS('PO detail'!$U$2:$U$672,'PO detail'!$A$2:$A$672,B714,'PO detail'!$B$2:$B$672,C714,'PO detail'!$G$2:$G$672,"&gt;="&amp;D714,'PO detail'!$G$2:$G$672,"&lt;"&amp;A714)</x:f>
        <x:v>0</x:v>
      </x:c>
      <x:c r="I714" s="8" t="n">
        <x:f>SUMIFS('PO detail'!$V$2:$V$672,'PO detail'!$A$2:$A$672,B714,'PO detail'!$B$2:$B$672,C714,'PO detail'!$G$2:$G$672,"&gt;="&amp;D714,'PO detail'!$G$2:$G$672,"&lt;"&amp;A714)</x:f>
        <x:v>0</x:v>
      </x:c>
      <x:c r="J714" s="8" t="n">
        <x:f>SUMIFS('PO detail'!$W$2:$W$672,'PO detail'!$A$2:$A$672,B714,'PO detail'!$B$2:$B$672,C714,'PO detail'!$G$2:$G$672,"&gt;="&amp;D714,'PO detail'!$G$2:$G$672,"&lt;"&amp;A714)</x:f>
        <x:v>0</x:v>
      </x:c>
      <x:c r="K714" s="8" t="n">
        <x:f>'Current inventory'!E84*Summary!$D$6*(A714-D714)/30.4375</x:f>
        <x:v>0</x:v>
      </x:c>
      <x:c r="L714" s="8" t="n">
        <x:f>MAX(0,E714+H714-K714)</x:f>
        <x:v>0</x:v>
      </x:c>
      <x:c r="M714" s="8" t="n">
        <x:f>MAX(0,F714+I714-MAX(0,K714-E714-H714))</x:f>
        <x:v>0</x:v>
      </x:c>
      <x:c r="N714" s="8" t="n">
        <x:f>MAX(0,G714+J714-K714)</x:f>
        <x:v>0</x:v>
      </x:c>
      <x:c r="O714" s="8" t="n">
        <x:f>SUM(L714:N714)</x:f>
        <x:v>0</x:v>
      </x:c>
      <x:c r="P714" s="14" t="n">
        <x:f>'Current inventory'!V84</x:f>
        <x:v>0.18469999999999998</x:v>
      </x:c>
      <x:c r="Q714" s="14" t="str">
        <x:f>'Current inventory'!W84</x:f>
        <x:v>n.a.</x:v>
      </x:c>
      <x:c r="R714" s="10" t="n">
        <x:f>L714*P714</x:f>
        <x:v>0</x:v>
      </x:c>
      <x:c r="S714" s="10" t="n">
        <x:f>M714*P714</x:f>
        <x:v>0</x:v>
      </x:c>
      <x:c r="T714" s="10" t="n">
        <x:f>N714*P714</x:f>
        <x:v>0</x:v>
      </x:c>
      <x:c r="U714" s="10" t="n">
        <x:f>O714*P714</x:f>
        <x:v>0</x:v>
      </x:c>
      <x:c r="V714" s="10" t="str">
        <x:f>IF(ISNUMBER(Q714),O714*(Q714-P714),"n.a.")</x:f>
        <x:v>n.a.</x:v>
      </x:c>
      <x:c r="W714" s="10" t="n">
        <x:f>IF(ISNUMBER(Q714),U714,0)</x:f>
        <x:v>0</x:v>
      </x:c>
      <x:c r="X714" s="8" t="n">
        <x:f>MAX(0,K714-SUM(E714:J714))</x:f>
        <x:v>0</x:v>
      </x:c>
      <x:c r="Y714" s="1" t="str">
        <x:f>IF(AND(O714&gt;0,NOT(ISNUMBER(Q714))),"No proposed replacement standard",IF(X714&gt;0,"Demand exceeds available stock",""))</x:f>
      </x:c>
      <x:c r="Z714" s="1" t="n">
        <x:f>IF(ISNUMBER(Q714),1,0)</x:f>
        <x:v>0</x:v>
      </x:c>
    </x:row>
    <x:row r="715" ht="21" customHeight="1">
      <x:c r="A715" s="17" t="n">
        <x:f>Summary!B20</x:f>
        <x:v>46478</x:v>
      </x:c>
      <x:c r="B715" s="1" t="str">
        <x:f>'Current inventory'!A85</x:f>
        <x:v>30</x:v>
      </x:c>
      <x:c r="C715" s="1" t="str">
        <x:f>'Current inventory'!B85</x:f>
        <x:v>800BFGASC</x:v>
      </x:c>
      <x:c r="D715" s="7" t="n">
        <x:f>A589</x:f>
        <x:v>46447</x:v>
      </x:c>
      <x:c r="E715" s="8" t="n">
        <x:f>L589</x:f>
        <x:v>0</x:v>
      </x:c>
      <x:c r="F715" s="8" t="n">
        <x:f>M589</x:f>
        <x:v>0</x:v>
      </x:c>
      <x:c r="G715" s="8" t="n">
        <x:f>N589</x:f>
        <x:v>0</x:v>
      </x:c>
      <x:c r="H715" s="8" t="n">
        <x:f>SUMIFS('PO detail'!$U$2:$U$672,'PO detail'!$A$2:$A$672,B715,'PO detail'!$B$2:$B$672,C715,'PO detail'!$G$2:$G$672,"&gt;="&amp;D715,'PO detail'!$G$2:$G$672,"&lt;"&amp;A715)</x:f>
        <x:v>0</x:v>
      </x:c>
      <x:c r="I715" s="8" t="n">
        <x:f>SUMIFS('PO detail'!$V$2:$V$672,'PO detail'!$A$2:$A$672,B715,'PO detail'!$B$2:$B$672,C715,'PO detail'!$G$2:$G$672,"&gt;="&amp;D715,'PO detail'!$G$2:$G$672,"&lt;"&amp;A715)</x:f>
        <x:v>0</x:v>
      </x:c>
      <x:c r="J715" s="8" t="n">
        <x:f>SUMIFS('PO detail'!$W$2:$W$672,'PO detail'!$A$2:$A$672,B715,'PO detail'!$B$2:$B$672,C715,'PO detail'!$G$2:$G$672,"&gt;="&amp;D715,'PO detail'!$G$2:$G$672,"&lt;"&amp;A715)</x:f>
        <x:v>0</x:v>
      </x:c>
      <x:c r="K715" s="8" t="n">
        <x:f>'Current inventory'!E85*Summary!$D$6*(A715-D715)/30.4375</x:f>
        <x:v>0</x:v>
      </x:c>
      <x:c r="L715" s="8" t="n">
        <x:f>MAX(0,E715+H715-K715)</x:f>
        <x:v>0</x:v>
      </x:c>
      <x:c r="M715" s="8" t="n">
        <x:f>MAX(0,F715+I715-MAX(0,K715-E715-H715))</x:f>
        <x:v>0</x:v>
      </x:c>
      <x:c r="N715" s="8" t="n">
        <x:f>MAX(0,G715+J715-K715)</x:f>
        <x:v>0</x:v>
      </x:c>
      <x:c r="O715" s="8" t="n">
        <x:f>SUM(L715:N715)</x:f>
        <x:v>0</x:v>
      </x:c>
      <x:c r="P715" s="14" t="n">
        <x:f>'Current inventory'!V85</x:f>
        <x:v>0.1456</x:v>
      </x:c>
      <x:c r="Q715" s="14" t="str">
        <x:f>'Current inventory'!W85</x:f>
        <x:v>n.a.</x:v>
      </x:c>
      <x:c r="R715" s="10" t="n">
        <x:f>L715*P715</x:f>
        <x:v>0</x:v>
      </x:c>
      <x:c r="S715" s="10" t="n">
        <x:f>M715*P715</x:f>
        <x:v>0</x:v>
      </x:c>
      <x:c r="T715" s="10" t="n">
        <x:f>N715*P715</x:f>
        <x:v>0</x:v>
      </x:c>
      <x:c r="U715" s="10" t="n">
        <x:f>O715*P715</x:f>
        <x:v>0</x:v>
      </x:c>
      <x:c r="V715" s="10" t="str">
        <x:f>IF(ISNUMBER(Q715),O715*(Q715-P715),"n.a.")</x:f>
        <x:v>n.a.</x:v>
      </x:c>
      <x:c r="W715" s="10" t="n">
        <x:f>IF(ISNUMBER(Q715),U715,0)</x:f>
        <x:v>0</x:v>
      </x:c>
      <x:c r="X715" s="8" t="n">
        <x:f>MAX(0,K715-SUM(E715:J715))</x:f>
        <x:v>0</x:v>
      </x:c>
      <x:c r="Y715" s="1" t="str">
        <x:f>IF(AND(O715&gt;0,NOT(ISNUMBER(Q715))),"No proposed replacement standard",IF(X715&gt;0,"Demand exceeds available stock",""))</x:f>
      </x:c>
      <x:c r="Z715" s="1" t="n">
        <x:f>IF(ISNUMBER(Q715),1,0)</x:f>
        <x:v>0</x:v>
      </x:c>
    </x:row>
    <x:row r="716" ht="21" customHeight="1">
      <x:c r="A716" s="17" t="n">
        <x:f>Summary!B20</x:f>
        <x:v>46478</x:v>
      </x:c>
      <x:c r="B716" s="1" t="str">
        <x:f>'Current inventory'!A86</x:f>
        <x:v>30</x:v>
      </x:c>
      <x:c r="C716" s="1" t="str">
        <x:f>'Current inventory'!B86</x:f>
        <x:v>800BFGBRC</x:v>
      </x:c>
      <x:c r="D716" s="7" t="n">
        <x:f>A590</x:f>
        <x:v>46447</x:v>
      </x:c>
      <x:c r="E716" s="8" t="n">
        <x:f>L590</x:f>
        <x:v>0</x:v>
      </x:c>
      <x:c r="F716" s="8" t="n">
        <x:f>M590</x:f>
        <x:v>0</x:v>
      </x:c>
      <x:c r="G716" s="8" t="n">
        <x:f>N590</x:f>
        <x:v>0</x:v>
      </x:c>
      <x:c r="H716" s="8" t="n">
        <x:f>SUMIFS('PO detail'!$U$2:$U$672,'PO detail'!$A$2:$A$672,B716,'PO detail'!$B$2:$B$672,C716,'PO detail'!$G$2:$G$672,"&gt;="&amp;D716,'PO detail'!$G$2:$G$672,"&lt;"&amp;A716)</x:f>
        <x:v>0</x:v>
      </x:c>
      <x:c r="I716" s="8" t="n">
        <x:f>SUMIFS('PO detail'!$V$2:$V$672,'PO detail'!$A$2:$A$672,B716,'PO detail'!$B$2:$B$672,C716,'PO detail'!$G$2:$G$672,"&gt;="&amp;D716,'PO detail'!$G$2:$G$672,"&lt;"&amp;A716)</x:f>
        <x:v>0</x:v>
      </x:c>
      <x:c r="J716" s="8" t="n">
        <x:f>SUMIFS('PO detail'!$W$2:$W$672,'PO detail'!$A$2:$A$672,B716,'PO detail'!$B$2:$B$672,C716,'PO detail'!$G$2:$G$672,"&gt;="&amp;D716,'PO detail'!$G$2:$G$672,"&lt;"&amp;A716)</x:f>
        <x:v>0</x:v>
      </x:c>
      <x:c r="K716" s="8" t="n">
        <x:f>'Current inventory'!E86*Summary!$D$6*(A716-D716)/30.4375</x:f>
        <x:v>0</x:v>
      </x:c>
      <x:c r="L716" s="8" t="n">
        <x:f>MAX(0,E716+H716-K716)</x:f>
        <x:v>0</x:v>
      </x:c>
      <x:c r="M716" s="8" t="n">
        <x:f>MAX(0,F716+I716-MAX(0,K716-E716-H716))</x:f>
        <x:v>0</x:v>
      </x:c>
      <x:c r="N716" s="8" t="n">
        <x:f>MAX(0,G716+J716-K716)</x:f>
        <x:v>0</x:v>
      </x:c>
      <x:c r="O716" s="8" t="n">
        <x:f>SUM(L716:N716)</x:f>
        <x:v>0</x:v>
      </x:c>
      <x:c r="P716" s="14" t="n">
        <x:f>'Current inventory'!V86</x:f>
        <x:v>0.18469999999999998</x:v>
      </x:c>
      <x:c r="Q716" s="14" t="str">
        <x:f>'Current inventory'!W86</x:f>
        <x:v>n.a.</x:v>
      </x:c>
      <x:c r="R716" s="10" t="n">
        <x:f>L716*P716</x:f>
        <x:v>0</x:v>
      </x:c>
      <x:c r="S716" s="10" t="n">
        <x:f>M716*P716</x:f>
        <x:v>0</x:v>
      </x:c>
      <x:c r="T716" s="10" t="n">
        <x:f>N716*P716</x:f>
        <x:v>0</x:v>
      </x:c>
      <x:c r="U716" s="10" t="n">
        <x:f>O716*P716</x:f>
        <x:v>0</x:v>
      </x:c>
      <x:c r="V716" s="10" t="str">
        <x:f>IF(ISNUMBER(Q716),O716*(Q716-P716),"n.a.")</x:f>
        <x:v>n.a.</x:v>
      </x:c>
      <x:c r="W716" s="10" t="n">
        <x:f>IF(ISNUMBER(Q716),U716,0)</x:f>
        <x:v>0</x:v>
      </x:c>
      <x:c r="X716" s="8" t="n">
        <x:f>MAX(0,K716-SUM(E716:J716))</x:f>
        <x:v>0</x:v>
      </x:c>
      <x:c r="Y716" s="1" t="str">
        <x:f>IF(AND(O716&gt;0,NOT(ISNUMBER(Q716))),"No proposed replacement standard",IF(X716&gt;0,"Demand exceeds available stock",""))</x:f>
      </x:c>
      <x:c r="Z716" s="1" t="n">
        <x:f>IF(ISNUMBER(Q716),1,0)</x:f>
        <x:v>0</x:v>
      </x:c>
    </x:row>
    <x:row r="717" ht="21" customHeight="1">
      <x:c r="A717" s="17" t="n">
        <x:f>Summary!B20</x:f>
        <x:v>46478</x:v>
      </x:c>
      <x:c r="B717" s="1" t="str">
        <x:f>'Current inventory'!A87</x:f>
        <x:v>30</x:v>
      </x:c>
      <x:c r="C717" s="1" t="str">
        <x:f>'Current inventory'!B87</x:f>
        <x:v>800BFGCSC</x:v>
      </x:c>
      <x:c r="D717" s="7" t="n">
        <x:f>A591</x:f>
        <x:v>46447</x:v>
      </x:c>
      <x:c r="E717" s="8" t="n">
        <x:f>L591</x:f>
        <x:v>0</x:v>
      </x:c>
      <x:c r="F717" s="8" t="n">
        <x:f>M591</x:f>
        <x:v>0</x:v>
      </x:c>
      <x:c r="G717" s="8" t="n">
        <x:f>N591</x:f>
        <x:v>0</x:v>
      </x:c>
      <x:c r="H717" s="8" t="n">
        <x:f>SUMIFS('PO detail'!$U$2:$U$672,'PO detail'!$A$2:$A$672,B717,'PO detail'!$B$2:$B$672,C717,'PO detail'!$G$2:$G$672,"&gt;="&amp;D717,'PO detail'!$G$2:$G$672,"&lt;"&amp;A717)</x:f>
        <x:v>0</x:v>
      </x:c>
      <x:c r="I717" s="8" t="n">
        <x:f>SUMIFS('PO detail'!$V$2:$V$672,'PO detail'!$A$2:$A$672,B717,'PO detail'!$B$2:$B$672,C717,'PO detail'!$G$2:$G$672,"&gt;="&amp;D717,'PO detail'!$G$2:$G$672,"&lt;"&amp;A717)</x:f>
        <x:v>0</x:v>
      </x:c>
      <x:c r="J717" s="8" t="n">
        <x:f>SUMIFS('PO detail'!$W$2:$W$672,'PO detail'!$A$2:$A$672,B717,'PO detail'!$B$2:$B$672,C717,'PO detail'!$G$2:$G$672,"&gt;="&amp;D717,'PO detail'!$G$2:$G$672,"&lt;"&amp;A717)</x:f>
        <x:v>0</x:v>
      </x:c>
      <x:c r="K717" s="8" t="n">
        <x:f>'Current inventory'!E87*Summary!$D$6*(A717-D717)/30.4375</x:f>
        <x:v>0</x:v>
      </x:c>
      <x:c r="L717" s="8" t="n">
        <x:f>MAX(0,E717+H717-K717)</x:f>
        <x:v>0</x:v>
      </x:c>
      <x:c r="M717" s="8" t="n">
        <x:f>MAX(0,F717+I717-MAX(0,K717-E717-H717))</x:f>
        <x:v>0</x:v>
      </x:c>
      <x:c r="N717" s="8" t="n">
        <x:f>MAX(0,G717+J717-K717)</x:f>
        <x:v>0</x:v>
      </x:c>
      <x:c r="O717" s="8" t="n">
        <x:f>SUM(L717:N717)</x:f>
        <x:v>0</x:v>
      </x:c>
      <x:c r="P717" s="14" t="n">
        <x:f>'Current inventory'!V87</x:f>
        <x:v>0.21559999999999999</x:v>
      </x:c>
      <x:c r="Q717" s="14" t="str">
        <x:f>'Current inventory'!W87</x:f>
        <x:v>n.a.</x:v>
      </x:c>
      <x:c r="R717" s="10" t="n">
        <x:f>L717*P717</x:f>
        <x:v>0</x:v>
      </x:c>
      <x:c r="S717" s="10" t="n">
        <x:f>M717*P717</x:f>
        <x:v>0</x:v>
      </x:c>
      <x:c r="T717" s="10" t="n">
        <x:f>N717*P717</x:f>
        <x:v>0</x:v>
      </x:c>
      <x:c r="U717" s="10" t="n">
        <x:f>O717*P717</x:f>
        <x:v>0</x:v>
      </x:c>
      <x:c r="V717" s="10" t="str">
        <x:f>IF(ISNUMBER(Q717),O717*(Q717-P717),"n.a.")</x:f>
        <x:v>n.a.</x:v>
      </x:c>
      <x:c r="W717" s="10" t="n">
        <x:f>IF(ISNUMBER(Q717),U717,0)</x:f>
        <x:v>0</x:v>
      </x:c>
      <x:c r="X717" s="8" t="n">
        <x:f>MAX(0,K717-SUM(E717:J717))</x:f>
        <x:v>0</x:v>
      </x:c>
      <x:c r="Y717" s="1" t="str">
        <x:f>IF(AND(O717&gt;0,NOT(ISNUMBER(Q717))),"No proposed replacement standard",IF(X717&gt;0,"Demand exceeds available stock",""))</x:f>
      </x:c>
      <x:c r="Z717" s="1" t="n">
        <x:f>IF(ISNUMBER(Q717),1,0)</x:f>
        <x:v>0</x:v>
      </x:c>
    </x:row>
    <x:row r="718" ht="21" customHeight="1">
      <x:c r="A718" s="17" t="n">
        <x:f>Summary!B20</x:f>
        <x:v>46478</x:v>
      </x:c>
      <x:c r="B718" s="1" t="str">
        <x:f>'Current inventory'!A88</x:f>
        <x:v>30</x:v>
      </x:c>
      <x:c r="C718" s="1" t="str">
        <x:f>'Current inventory'!B88</x:f>
        <x:v>800BFGDSC</x:v>
      </x:c>
      <x:c r="D718" s="7" t="n">
        <x:f>A592</x:f>
        <x:v>46447</x:v>
      </x:c>
      <x:c r="E718" s="8" t="n">
        <x:f>L592</x:f>
        <x:v>0</x:v>
      </x:c>
      <x:c r="F718" s="8" t="n">
        <x:f>M592</x:f>
        <x:v>0</x:v>
      </x:c>
      <x:c r="G718" s="8" t="n">
        <x:f>N592</x:f>
        <x:v>0</x:v>
      </x:c>
      <x:c r="H718" s="8" t="n">
        <x:f>SUMIFS('PO detail'!$U$2:$U$672,'PO detail'!$A$2:$A$672,B718,'PO detail'!$B$2:$B$672,C718,'PO detail'!$G$2:$G$672,"&gt;="&amp;D718,'PO detail'!$G$2:$G$672,"&lt;"&amp;A718)</x:f>
        <x:v>0</x:v>
      </x:c>
      <x:c r="I718" s="8" t="n">
        <x:f>SUMIFS('PO detail'!$V$2:$V$672,'PO detail'!$A$2:$A$672,B718,'PO detail'!$B$2:$B$672,C718,'PO detail'!$G$2:$G$672,"&gt;="&amp;D718,'PO detail'!$G$2:$G$672,"&lt;"&amp;A718)</x:f>
        <x:v>0</x:v>
      </x:c>
      <x:c r="J718" s="8" t="n">
        <x:f>SUMIFS('PO detail'!$W$2:$W$672,'PO detail'!$A$2:$A$672,B718,'PO detail'!$B$2:$B$672,C718,'PO detail'!$G$2:$G$672,"&gt;="&amp;D718,'PO detail'!$G$2:$G$672,"&lt;"&amp;A718)</x:f>
        <x:v>0</x:v>
      </x:c>
      <x:c r="K718" s="8" t="n">
        <x:f>'Current inventory'!E88*Summary!$D$6*(A718-D718)/30.4375</x:f>
        <x:v>0</x:v>
      </x:c>
      <x:c r="L718" s="8" t="n">
        <x:f>MAX(0,E718+H718-K718)</x:f>
        <x:v>0</x:v>
      </x:c>
      <x:c r="M718" s="8" t="n">
        <x:f>MAX(0,F718+I718-MAX(0,K718-E718-H718))</x:f>
        <x:v>0</x:v>
      </x:c>
      <x:c r="N718" s="8" t="n">
        <x:f>MAX(0,G718+J718-K718)</x:f>
        <x:v>0</x:v>
      </x:c>
      <x:c r="O718" s="8" t="n">
        <x:f>SUM(L718:N718)</x:f>
        <x:v>0</x:v>
      </x:c>
      <x:c r="P718" s="14" t="n">
        <x:f>'Current inventory'!V88</x:f>
        <x:v>0.38</x:v>
      </x:c>
      <x:c r="Q718" s="14" t="str">
        <x:f>'Current inventory'!W88</x:f>
        <x:v>n.a.</x:v>
      </x:c>
      <x:c r="R718" s="10" t="n">
        <x:f>L718*P718</x:f>
        <x:v>0</x:v>
      </x:c>
      <x:c r="S718" s="10" t="n">
        <x:f>M718*P718</x:f>
        <x:v>0</x:v>
      </x:c>
      <x:c r="T718" s="10" t="n">
        <x:f>N718*P718</x:f>
        <x:v>0</x:v>
      </x:c>
      <x:c r="U718" s="10" t="n">
        <x:f>O718*P718</x:f>
        <x:v>0</x:v>
      </x:c>
      <x:c r="V718" s="10" t="str">
        <x:f>IF(ISNUMBER(Q718),O718*(Q718-P718),"n.a.")</x:f>
        <x:v>n.a.</x:v>
      </x:c>
      <x:c r="W718" s="10" t="n">
        <x:f>IF(ISNUMBER(Q718),U718,0)</x:f>
        <x:v>0</x:v>
      </x:c>
      <x:c r="X718" s="8" t="n">
        <x:f>MAX(0,K718-SUM(E718:J718))</x:f>
        <x:v>0</x:v>
      </x:c>
      <x:c r="Y718" s="1" t="str">
        <x:f>IF(AND(O718&gt;0,NOT(ISNUMBER(Q718))),"No proposed replacement standard",IF(X718&gt;0,"Demand exceeds available stock",""))</x:f>
      </x:c>
      <x:c r="Z718" s="1" t="n">
        <x:f>IF(ISNUMBER(Q718),1,0)</x:f>
        <x:v>0</x:v>
      </x:c>
    </x:row>
    <x:row r="719" ht="21" customHeight="1">
      <x:c r="A719" s="17" t="n">
        <x:f>Summary!B20</x:f>
        <x:v>46478</x:v>
      </x:c>
      <x:c r="B719" s="1" t="str">
        <x:f>'Current inventory'!A89</x:f>
        <x:v>30</x:v>
      </x:c>
      <x:c r="C719" s="1" t="str">
        <x:f>'Current inventory'!B89</x:f>
        <x:v>800BFGISC</x:v>
      </x:c>
      <x:c r="D719" s="7" t="n">
        <x:f>A593</x:f>
        <x:v>46447</x:v>
      </x:c>
      <x:c r="E719" s="8" t="n">
        <x:f>L593</x:f>
        <x:v>0</x:v>
      </x:c>
      <x:c r="F719" s="8" t="n">
        <x:f>M593</x:f>
        <x:v>0</x:v>
      </x:c>
      <x:c r="G719" s="8" t="n">
        <x:f>N593</x:f>
        <x:v>0</x:v>
      </x:c>
      <x:c r="H719" s="8" t="n">
        <x:f>SUMIFS('PO detail'!$U$2:$U$672,'PO detail'!$A$2:$A$672,B719,'PO detail'!$B$2:$B$672,C719,'PO detail'!$G$2:$G$672,"&gt;="&amp;D719,'PO detail'!$G$2:$G$672,"&lt;"&amp;A719)</x:f>
        <x:v>0</x:v>
      </x:c>
      <x:c r="I719" s="8" t="n">
        <x:f>SUMIFS('PO detail'!$V$2:$V$672,'PO detail'!$A$2:$A$672,B719,'PO detail'!$B$2:$B$672,C719,'PO detail'!$G$2:$G$672,"&gt;="&amp;D719,'PO detail'!$G$2:$G$672,"&lt;"&amp;A719)</x:f>
        <x:v>0</x:v>
      </x:c>
      <x:c r="J719" s="8" t="n">
        <x:f>SUMIFS('PO detail'!$W$2:$W$672,'PO detail'!$A$2:$A$672,B719,'PO detail'!$B$2:$B$672,C719,'PO detail'!$G$2:$G$672,"&gt;="&amp;D719,'PO detail'!$G$2:$G$672,"&lt;"&amp;A719)</x:f>
        <x:v>0</x:v>
      </x:c>
      <x:c r="K719" s="8" t="n">
        <x:f>'Current inventory'!E89*Summary!$D$6*(A719-D719)/30.4375</x:f>
        <x:v>0</x:v>
      </x:c>
      <x:c r="L719" s="8" t="n">
        <x:f>MAX(0,E719+H719-K719)</x:f>
        <x:v>0</x:v>
      </x:c>
      <x:c r="M719" s="8" t="n">
        <x:f>MAX(0,F719+I719-MAX(0,K719-E719-H719))</x:f>
        <x:v>0</x:v>
      </x:c>
      <x:c r="N719" s="8" t="n">
        <x:f>MAX(0,G719+J719-K719)</x:f>
        <x:v>0</x:v>
      </x:c>
      <x:c r="O719" s="8" t="n">
        <x:f>SUM(L719:N719)</x:f>
        <x:v>0</x:v>
      </x:c>
      <x:c r="P719" s="14" t="n">
        <x:f>'Current inventory'!V89</x:f>
        <x:v>0.1797</x:v>
      </x:c>
      <x:c r="Q719" s="14" t="str">
        <x:f>'Current inventory'!W89</x:f>
        <x:v>n.a.</x:v>
      </x:c>
      <x:c r="R719" s="10" t="n">
        <x:f>L719*P719</x:f>
        <x:v>0</x:v>
      </x:c>
      <x:c r="S719" s="10" t="n">
        <x:f>M719*P719</x:f>
        <x:v>0</x:v>
      </x:c>
      <x:c r="T719" s="10" t="n">
        <x:f>N719*P719</x:f>
        <x:v>0</x:v>
      </x:c>
      <x:c r="U719" s="10" t="n">
        <x:f>O719*P719</x:f>
        <x:v>0</x:v>
      </x:c>
      <x:c r="V719" s="10" t="str">
        <x:f>IF(ISNUMBER(Q719),O719*(Q719-P719),"n.a.")</x:f>
        <x:v>n.a.</x:v>
      </x:c>
      <x:c r="W719" s="10" t="n">
        <x:f>IF(ISNUMBER(Q719),U719,0)</x:f>
        <x:v>0</x:v>
      </x:c>
      <x:c r="X719" s="8" t="n">
        <x:f>MAX(0,K719-SUM(E719:J719))</x:f>
        <x:v>0</x:v>
      </x:c>
      <x:c r="Y719" s="1" t="str">
        <x:f>IF(AND(O719&gt;0,NOT(ISNUMBER(Q719))),"No proposed replacement standard",IF(X719&gt;0,"Demand exceeds available stock",""))</x:f>
      </x:c>
      <x:c r="Z719" s="1" t="n">
        <x:f>IF(ISNUMBER(Q719),1,0)</x:f>
        <x:v>0</x:v>
      </x:c>
    </x:row>
    <x:row r="720" ht="21" customHeight="1">
      <x:c r="A720" s="17" t="n">
        <x:f>Summary!B20</x:f>
        <x:v>46478</x:v>
      </x:c>
      <x:c r="B720" s="1" t="str">
        <x:f>'Current inventory'!A90</x:f>
        <x:v>30</x:v>
      </x:c>
      <x:c r="C720" s="1" t="str">
        <x:f>'Current inventory'!B90</x:f>
        <x:v>800BWHTASC</x:v>
      </x:c>
      <x:c r="D720" s="7" t="n">
        <x:f>A594</x:f>
        <x:v>46447</x:v>
      </x:c>
      <x:c r="E720" s="8" t="n">
        <x:f>L594</x:f>
        <x:v>0</x:v>
      </x:c>
      <x:c r="F720" s="8" t="n">
        <x:f>M594</x:f>
        <x:v>0</x:v>
      </x:c>
      <x:c r="G720" s="8" t="n">
        <x:f>N594</x:f>
        <x:v>0</x:v>
      </x:c>
      <x:c r="H720" s="8" t="n">
        <x:f>SUMIFS('PO detail'!$U$2:$U$672,'PO detail'!$A$2:$A$672,B720,'PO detail'!$B$2:$B$672,C720,'PO detail'!$G$2:$G$672,"&gt;="&amp;D720,'PO detail'!$G$2:$G$672,"&lt;"&amp;A720)</x:f>
        <x:v>0</x:v>
      </x:c>
      <x:c r="I720" s="8" t="n">
        <x:f>SUMIFS('PO detail'!$V$2:$V$672,'PO detail'!$A$2:$A$672,B720,'PO detail'!$B$2:$B$672,C720,'PO detail'!$G$2:$G$672,"&gt;="&amp;D720,'PO detail'!$G$2:$G$672,"&lt;"&amp;A720)</x:f>
        <x:v>0</x:v>
      </x:c>
      <x:c r="J720" s="8" t="n">
        <x:f>SUMIFS('PO detail'!$W$2:$W$672,'PO detail'!$A$2:$A$672,B720,'PO detail'!$B$2:$B$672,C720,'PO detail'!$G$2:$G$672,"&gt;="&amp;D720,'PO detail'!$G$2:$G$672,"&lt;"&amp;A720)</x:f>
        <x:v>0</x:v>
      </x:c>
      <x:c r="K720" s="8" t="n">
        <x:f>'Current inventory'!E90*Summary!$D$6*(A720-D720)/30.4375</x:f>
        <x:v>0</x:v>
      </x:c>
      <x:c r="L720" s="8" t="n">
        <x:f>MAX(0,E720+H720-K720)</x:f>
        <x:v>0</x:v>
      </x:c>
      <x:c r="M720" s="8" t="n">
        <x:f>MAX(0,F720+I720-MAX(0,K720-E720-H720))</x:f>
        <x:v>0</x:v>
      </x:c>
      <x:c r="N720" s="8" t="n">
        <x:f>MAX(0,G720+J720-K720)</x:f>
        <x:v>0</x:v>
      </x:c>
      <x:c r="O720" s="8" t="n">
        <x:f>SUM(L720:N720)</x:f>
        <x:v>0</x:v>
      </x:c>
      <x:c r="P720" s="14" t="n">
        <x:f>'Current inventory'!V90</x:f>
        <x:v>0.1456</x:v>
      </x:c>
      <x:c r="Q720" s="14" t="str">
        <x:f>'Current inventory'!W90</x:f>
        <x:v>n.a.</x:v>
      </x:c>
      <x:c r="R720" s="10" t="n">
        <x:f>L720*P720</x:f>
        <x:v>0</x:v>
      </x:c>
      <x:c r="S720" s="10" t="n">
        <x:f>M720*P720</x:f>
        <x:v>0</x:v>
      </x:c>
      <x:c r="T720" s="10" t="n">
        <x:f>N720*P720</x:f>
        <x:v>0</x:v>
      </x:c>
      <x:c r="U720" s="10" t="n">
        <x:f>O720*P720</x:f>
        <x:v>0</x:v>
      </x:c>
      <x:c r="V720" s="10" t="str">
        <x:f>IF(ISNUMBER(Q720),O720*(Q720-P720),"n.a.")</x:f>
        <x:v>n.a.</x:v>
      </x:c>
      <x:c r="W720" s="10" t="n">
        <x:f>IF(ISNUMBER(Q720),U720,0)</x:f>
        <x:v>0</x:v>
      </x:c>
      <x:c r="X720" s="8" t="n">
        <x:f>MAX(0,K720-SUM(E720:J720))</x:f>
        <x:v>0</x:v>
      </x:c>
      <x:c r="Y720" s="1" t="str">
        <x:f>IF(AND(O720&gt;0,NOT(ISNUMBER(Q720))),"No proposed replacement standard",IF(X720&gt;0,"Demand exceeds available stock",""))</x:f>
      </x:c>
      <x:c r="Z720" s="1" t="n">
        <x:f>IF(ISNUMBER(Q720),1,0)</x:f>
        <x:v>0</x:v>
      </x:c>
    </x:row>
    <x:row r="721" ht="21" customHeight="1">
      <x:c r="A721" s="17" t="n">
        <x:f>Summary!B20</x:f>
        <x:v>46478</x:v>
      </x:c>
      <x:c r="B721" s="1" t="str">
        <x:f>'Current inventory'!A91</x:f>
        <x:v>30</x:v>
      </x:c>
      <x:c r="C721" s="1" t="str">
        <x:f>'Current inventory'!B91</x:f>
        <x:v>800BWHTBRC</x:v>
      </x:c>
      <x:c r="D721" s="7" t="n">
        <x:f>A595</x:f>
        <x:v>46447</x:v>
      </x:c>
      <x:c r="E721" s="8" t="n">
        <x:f>L595</x:f>
        <x:v>0</x:v>
      </x:c>
      <x:c r="F721" s="8" t="n">
        <x:f>M595</x:f>
        <x:v>0</x:v>
      </x:c>
      <x:c r="G721" s="8" t="n">
        <x:f>N595</x:f>
        <x:v>0</x:v>
      </x:c>
      <x:c r="H721" s="8" t="n">
        <x:f>SUMIFS('PO detail'!$U$2:$U$672,'PO detail'!$A$2:$A$672,B721,'PO detail'!$B$2:$B$672,C721,'PO detail'!$G$2:$G$672,"&gt;="&amp;D721,'PO detail'!$G$2:$G$672,"&lt;"&amp;A721)</x:f>
        <x:v>0</x:v>
      </x:c>
      <x:c r="I721" s="8" t="n">
        <x:f>SUMIFS('PO detail'!$V$2:$V$672,'PO detail'!$A$2:$A$672,B721,'PO detail'!$B$2:$B$672,C721,'PO detail'!$G$2:$G$672,"&gt;="&amp;D721,'PO detail'!$G$2:$G$672,"&lt;"&amp;A721)</x:f>
        <x:v>0</x:v>
      </x:c>
      <x:c r="J721" s="8" t="n">
        <x:f>SUMIFS('PO detail'!$W$2:$W$672,'PO detail'!$A$2:$A$672,B721,'PO detail'!$B$2:$B$672,C721,'PO detail'!$G$2:$G$672,"&gt;="&amp;D721,'PO detail'!$G$2:$G$672,"&lt;"&amp;A721)</x:f>
        <x:v>0</x:v>
      </x:c>
      <x:c r="K721" s="8" t="n">
        <x:f>'Current inventory'!E91*Summary!$D$6*(A721-D721)/30.4375</x:f>
        <x:v>0</x:v>
      </x:c>
      <x:c r="L721" s="8" t="n">
        <x:f>MAX(0,E721+H721-K721)</x:f>
        <x:v>0</x:v>
      </x:c>
      <x:c r="M721" s="8" t="n">
        <x:f>MAX(0,F721+I721-MAX(0,K721-E721-H721))</x:f>
        <x:v>0</x:v>
      </x:c>
      <x:c r="N721" s="8" t="n">
        <x:f>MAX(0,G721+J721-K721)</x:f>
        <x:v>0</x:v>
      </x:c>
      <x:c r="O721" s="8" t="n">
        <x:f>SUM(L721:N721)</x:f>
        <x:v>0</x:v>
      </x:c>
      <x:c r="P721" s="14" t="n">
        <x:f>'Current inventory'!V91</x:f>
        <x:v>0.18469999999999998</x:v>
      </x:c>
      <x:c r="Q721" s="14" t="str">
        <x:f>'Current inventory'!W91</x:f>
        <x:v>n.a.</x:v>
      </x:c>
      <x:c r="R721" s="10" t="n">
        <x:f>L721*P721</x:f>
        <x:v>0</x:v>
      </x:c>
      <x:c r="S721" s="10" t="n">
        <x:f>M721*P721</x:f>
        <x:v>0</x:v>
      </x:c>
      <x:c r="T721" s="10" t="n">
        <x:f>N721*P721</x:f>
        <x:v>0</x:v>
      </x:c>
      <x:c r="U721" s="10" t="n">
        <x:f>O721*P721</x:f>
        <x:v>0</x:v>
      </x:c>
      <x:c r="V721" s="10" t="str">
        <x:f>IF(ISNUMBER(Q721),O721*(Q721-P721),"n.a.")</x:f>
        <x:v>n.a.</x:v>
      </x:c>
      <x:c r="W721" s="10" t="n">
        <x:f>IF(ISNUMBER(Q721),U721,0)</x:f>
        <x:v>0</x:v>
      </x:c>
      <x:c r="X721" s="8" t="n">
        <x:f>MAX(0,K721-SUM(E721:J721))</x:f>
        <x:v>0</x:v>
      </x:c>
      <x:c r="Y721" s="1" t="str">
        <x:f>IF(AND(O721&gt;0,NOT(ISNUMBER(Q721))),"No proposed replacement standard",IF(X721&gt;0,"Demand exceeds available stock",""))</x:f>
      </x:c>
      <x:c r="Z721" s="1" t="n">
        <x:f>IF(ISNUMBER(Q721),1,0)</x:f>
        <x:v>0</x:v>
      </x:c>
    </x:row>
    <x:row r="722" ht="21" customHeight="1">
      <x:c r="A722" s="17" t="n">
        <x:f>Summary!B20</x:f>
        <x:v>46478</x:v>
      </x:c>
      <x:c r="B722" s="1" t="str">
        <x:f>'Current inventory'!A92</x:f>
        <x:v>30</x:v>
      </x:c>
      <x:c r="C722" s="1" t="str">
        <x:f>'Current inventory'!B92</x:f>
        <x:v>800BWHTCSC</x:v>
      </x:c>
      <x:c r="D722" s="7" t="n">
        <x:f>A596</x:f>
        <x:v>46447</x:v>
      </x:c>
      <x:c r="E722" s="8" t="n">
        <x:f>L596</x:f>
        <x:v>0</x:v>
      </x:c>
      <x:c r="F722" s="8" t="n">
        <x:f>M596</x:f>
        <x:v>0</x:v>
      </x:c>
      <x:c r="G722" s="8" t="n">
        <x:f>N596</x:f>
        <x:v>0</x:v>
      </x:c>
      <x:c r="H722" s="8" t="n">
        <x:f>SUMIFS('PO detail'!$U$2:$U$672,'PO detail'!$A$2:$A$672,B722,'PO detail'!$B$2:$B$672,C722,'PO detail'!$G$2:$G$672,"&gt;="&amp;D722,'PO detail'!$G$2:$G$672,"&lt;"&amp;A722)</x:f>
        <x:v>0</x:v>
      </x:c>
      <x:c r="I722" s="8" t="n">
        <x:f>SUMIFS('PO detail'!$V$2:$V$672,'PO detail'!$A$2:$A$672,B722,'PO detail'!$B$2:$B$672,C722,'PO detail'!$G$2:$G$672,"&gt;="&amp;D722,'PO detail'!$G$2:$G$672,"&lt;"&amp;A722)</x:f>
        <x:v>0</x:v>
      </x:c>
      <x:c r="J722" s="8" t="n">
        <x:f>SUMIFS('PO detail'!$W$2:$W$672,'PO detail'!$A$2:$A$672,B722,'PO detail'!$B$2:$B$672,C722,'PO detail'!$G$2:$G$672,"&gt;="&amp;D722,'PO detail'!$G$2:$G$672,"&lt;"&amp;A722)</x:f>
        <x:v>0</x:v>
      </x:c>
      <x:c r="K722" s="8" t="n">
        <x:f>'Current inventory'!E92*Summary!$D$6*(A722-D722)/30.4375</x:f>
        <x:v>0</x:v>
      </x:c>
      <x:c r="L722" s="8" t="n">
        <x:f>MAX(0,E722+H722-K722)</x:f>
        <x:v>0</x:v>
      </x:c>
      <x:c r="M722" s="8" t="n">
        <x:f>MAX(0,F722+I722-MAX(0,K722-E722-H722))</x:f>
        <x:v>0</x:v>
      </x:c>
      <x:c r="N722" s="8" t="n">
        <x:f>MAX(0,G722+J722-K722)</x:f>
        <x:v>0</x:v>
      </x:c>
      <x:c r="O722" s="8" t="n">
        <x:f>SUM(L722:N722)</x:f>
        <x:v>0</x:v>
      </x:c>
      <x:c r="P722" s="14" t="n">
        <x:f>'Current inventory'!V92</x:f>
        <x:v>0.21559999999999999</x:v>
      </x:c>
      <x:c r="Q722" s="14" t="str">
        <x:f>'Current inventory'!W92</x:f>
        <x:v>n.a.</x:v>
      </x:c>
      <x:c r="R722" s="10" t="n">
        <x:f>L722*P722</x:f>
        <x:v>0</x:v>
      </x:c>
      <x:c r="S722" s="10" t="n">
        <x:f>M722*P722</x:f>
        <x:v>0</x:v>
      </x:c>
      <x:c r="T722" s="10" t="n">
        <x:f>N722*P722</x:f>
        <x:v>0</x:v>
      </x:c>
      <x:c r="U722" s="10" t="n">
        <x:f>O722*P722</x:f>
        <x:v>0</x:v>
      </x:c>
      <x:c r="V722" s="10" t="str">
        <x:f>IF(ISNUMBER(Q722),O722*(Q722-P722),"n.a.")</x:f>
        <x:v>n.a.</x:v>
      </x:c>
      <x:c r="W722" s="10" t="n">
        <x:f>IF(ISNUMBER(Q722),U722,0)</x:f>
        <x:v>0</x:v>
      </x:c>
      <x:c r="X722" s="8" t="n">
        <x:f>MAX(0,K722-SUM(E722:J722))</x:f>
        <x:v>0</x:v>
      </x:c>
      <x:c r="Y722" s="1" t="str">
        <x:f>IF(AND(O722&gt;0,NOT(ISNUMBER(Q722))),"No proposed replacement standard",IF(X722&gt;0,"Demand exceeds available stock",""))</x:f>
      </x:c>
      <x:c r="Z722" s="1" t="n">
        <x:f>IF(ISNUMBER(Q722),1,0)</x:f>
        <x:v>0</x:v>
      </x:c>
    </x:row>
    <x:row r="723" ht="21" customHeight="1">
      <x:c r="A723" s="17" t="n">
        <x:f>Summary!B20</x:f>
        <x:v>46478</x:v>
      </x:c>
      <x:c r="B723" s="1" t="str">
        <x:f>'Current inventory'!A93</x:f>
        <x:v>30</x:v>
      </x:c>
      <x:c r="C723" s="1" t="str">
        <x:f>'Current inventory'!B93</x:f>
        <x:v>800BWHTDSC</x:v>
      </x:c>
      <x:c r="D723" s="7" t="n">
        <x:f>A597</x:f>
        <x:v>46447</x:v>
      </x:c>
      <x:c r="E723" s="8" t="n">
        <x:f>L597</x:f>
        <x:v>0</x:v>
      </x:c>
      <x:c r="F723" s="8" t="n">
        <x:f>M597</x:f>
        <x:v>0</x:v>
      </x:c>
      <x:c r="G723" s="8" t="n">
        <x:f>N597</x:f>
        <x:v>0</x:v>
      </x:c>
      <x:c r="H723" s="8" t="n">
        <x:f>SUMIFS('PO detail'!$U$2:$U$672,'PO detail'!$A$2:$A$672,B723,'PO detail'!$B$2:$B$672,C723,'PO detail'!$G$2:$G$672,"&gt;="&amp;D723,'PO detail'!$G$2:$G$672,"&lt;"&amp;A723)</x:f>
        <x:v>0</x:v>
      </x:c>
      <x:c r="I723" s="8" t="n">
        <x:f>SUMIFS('PO detail'!$V$2:$V$672,'PO detail'!$A$2:$A$672,B723,'PO detail'!$B$2:$B$672,C723,'PO detail'!$G$2:$G$672,"&gt;="&amp;D723,'PO detail'!$G$2:$G$672,"&lt;"&amp;A723)</x:f>
        <x:v>0</x:v>
      </x:c>
      <x:c r="J723" s="8" t="n">
        <x:f>SUMIFS('PO detail'!$W$2:$W$672,'PO detail'!$A$2:$A$672,B723,'PO detail'!$B$2:$B$672,C723,'PO detail'!$G$2:$G$672,"&gt;="&amp;D723,'PO detail'!$G$2:$G$672,"&lt;"&amp;A723)</x:f>
        <x:v>0</x:v>
      </x:c>
      <x:c r="K723" s="8" t="n">
        <x:f>'Current inventory'!E93*Summary!$D$6*(A723-D723)/30.4375</x:f>
        <x:v>0</x:v>
      </x:c>
      <x:c r="L723" s="8" t="n">
        <x:f>MAX(0,E723+H723-K723)</x:f>
        <x:v>0</x:v>
      </x:c>
      <x:c r="M723" s="8" t="n">
        <x:f>MAX(0,F723+I723-MAX(0,K723-E723-H723))</x:f>
        <x:v>0</x:v>
      </x:c>
      <x:c r="N723" s="8" t="n">
        <x:f>MAX(0,G723+J723-K723)</x:f>
        <x:v>0</x:v>
      </x:c>
      <x:c r="O723" s="8" t="n">
        <x:f>SUM(L723:N723)</x:f>
        <x:v>0</x:v>
      </x:c>
      <x:c r="P723" s="14" t="n">
        <x:f>'Current inventory'!V93</x:f>
        <x:v>0.38</x:v>
      </x:c>
      <x:c r="Q723" s="14" t="str">
        <x:f>'Current inventory'!W93</x:f>
        <x:v>n.a.</x:v>
      </x:c>
      <x:c r="R723" s="10" t="n">
        <x:f>L723*P723</x:f>
        <x:v>0</x:v>
      </x:c>
      <x:c r="S723" s="10" t="n">
        <x:f>M723*P723</x:f>
        <x:v>0</x:v>
      </x:c>
      <x:c r="T723" s="10" t="n">
        <x:f>N723*P723</x:f>
        <x:v>0</x:v>
      </x:c>
      <x:c r="U723" s="10" t="n">
        <x:f>O723*P723</x:f>
        <x:v>0</x:v>
      </x:c>
      <x:c r="V723" s="10" t="str">
        <x:f>IF(ISNUMBER(Q723),O723*(Q723-P723),"n.a.")</x:f>
        <x:v>n.a.</x:v>
      </x:c>
      <x:c r="W723" s="10" t="n">
        <x:f>IF(ISNUMBER(Q723),U723,0)</x:f>
        <x:v>0</x:v>
      </x:c>
      <x:c r="X723" s="8" t="n">
        <x:f>MAX(0,K723-SUM(E723:J723))</x:f>
        <x:v>0</x:v>
      </x:c>
      <x:c r="Y723" s="1" t="str">
        <x:f>IF(AND(O723&gt;0,NOT(ISNUMBER(Q723))),"No proposed replacement standard",IF(X723&gt;0,"Demand exceeds available stock",""))</x:f>
      </x:c>
      <x:c r="Z723" s="1" t="n">
        <x:f>IF(ISNUMBER(Q723),1,0)</x:f>
        <x:v>0</x:v>
      </x:c>
    </x:row>
    <x:row r="724" ht="21" customHeight="1">
      <x:c r="A724" s="17" t="n">
        <x:f>Summary!B20</x:f>
        <x:v>46478</x:v>
      </x:c>
      <x:c r="B724" s="1" t="str">
        <x:f>'Current inventory'!A94</x:f>
        <x:v>30</x:v>
      </x:c>
      <x:c r="C724" s="1" t="str">
        <x:f>'Current inventory'!B94</x:f>
        <x:v>800BWHTISC</x:v>
      </x:c>
      <x:c r="D724" s="7" t="n">
        <x:f>A598</x:f>
        <x:v>46447</x:v>
      </x:c>
      <x:c r="E724" s="8" t="n">
        <x:f>L598</x:f>
        <x:v>0</x:v>
      </x:c>
      <x:c r="F724" s="8" t="n">
        <x:f>M598</x:f>
        <x:v>0</x:v>
      </x:c>
      <x:c r="G724" s="8" t="n">
        <x:f>N598</x:f>
        <x:v>0</x:v>
      </x:c>
      <x:c r="H724" s="8" t="n">
        <x:f>SUMIFS('PO detail'!$U$2:$U$672,'PO detail'!$A$2:$A$672,B724,'PO detail'!$B$2:$B$672,C724,'PO detail'!$G$2:$G$672,"&gt;="&amp;D724,'PO detail'!$G$2:$G$672,"&lt;"&amp;A724)</x:f>
        <x:v>0</x:v>
      </x:c>
      <x:c r="I724" s="8" t="n">
        <x:f>SUMIFS('PO detail'!$V$2:$V$672,'PO detail'!$A$2:$A$672,B724,'PO detail'!$B$2:$B$672,C724,'PO detail'!$G$2:$G$672,"&gt;="&amp;D724,'PO detail'!$G$2:$G$672,"&lt;"&amp;A724)</x:f>
        <x:v>0</x:v>
      </x:c>
      <x:c r="J724" s="8" t="n">
        <x:f>SUMIFS('PO detail'!$W$2:$W$672,'PO detail'!$A$2:$A$672,B724,'PO detail'!$B$2:$B$672,C724,'PO detail'!$G$2:$G$672,"&gt;="&amp;D724,'PO detail'!$G$2:$G$672,"&lt;"&amp;A724)</x:f>
        <x:v>0</x:v>
      </x:c>
      <x:c r="K724" s="8" t="n">
        <x:f>'Current inventory'!E94*Summary!$D$6*(A724-D724)/30.4375</x:f>
        <x:v>0</x:v>
      </x:c>
      <x:c r="L724" s="8" t="n">
        <x:f>MAX(0,E724+H724-K724)</x:f>
        <x:v>0</x:v>
      </x:c>
      <x:c r="M724" s="8" t="n">
        <x:f>MAX(0,F724+I724-MAX(0,K724-E724-H724))</x:f>
        <x:v>0</x:v>
      </x:c>
      <x:c r="N724" s="8" t="n">
        <x:f>MAX(0,G724+J724-K724)</x:f>
        <x:v>0</x:v>
      </x:c>
      <x:c r="O724" s="8" t="n">
        <x:f>SUM(L724:N724)</x:f>
        <x:v>0</x:v>
      </x:c>
      <x:c r="P724" s="14" t="n">
        <x:f>'Current inventory'!V94</x:f>
        <x:v>0.1797</x:v>
      </x:c>
      <x:c r="Q724" s="14" t="str">
        <x:f>'Current inventory'!W94</x:f>
        <x:v>n.a.</x:v>
      </x:c>
      <x:c r="R724" s="10" t="n">
        <x:f>L724*P724</x:f>
        <x:v>0</x:v>
      </x:c>
      <x:c r="S724" s="10" t="n">
        <x:f>M724*P724</x:f>
        <x:v>0</x:v>
      </x:c>
      <x:c r="T724" s="10" t="n">
        <x:f>N724*P724</x:f>
        <x:v>0</x:v>
      </x:c>
      <x:c r="U724" s="10" t="n">
        <x:f>O724*P724</x:f>
        <x:v>0</x:v>
      </x:c>
      <x:c r="V724" s="10" t="str">
        <x:f>IF(ISNUMBER(Q724),O724*(Q724-P724),"n.a.")</x:f>
        <x:v>n.a.</x:v>
      </x:c>
      <x:c r="W724" s="10" t="n">
        <x:f>IF(ISNUMBER(Q724),U724,0)</x:f>
        <x:v>0</x:v>
      </x:c>
      <x:c r="X724" s="8" t="n">
        <x:f>MAX(0,K724-SUM(E724:J724))</x:f>
        <x:v>0</x:v>
      </x:c>
      <x:c r="Y724" s="1" t="str">
        <x:f>IF(AND(O724&gt;0,NOT(ISNUMBER(Q724))),"No proposed replacement standard",IF(X724&gt;0,"Demand exceeds available stock",""))</x:f>
      </x:c>
      <x:c r="Z724" s="1" t="n">
        <x:f>IF(ISNUMBER(Q724),1,0)</x:f>
        <x:v>0</x:v>
      </x:c>
    </x:row>
    <x:row r="725" ht="21" customHeight="1">
      <x:c r="A725" s="17" t="n">
        <x:f>Summary!B20</x:f>
        <x:v>46478</x:v>
      </x:c>
      <x:c r="B725" s="1" t="str">
        <x:f>'Current inventory'!A95</x:f>
        <x:v>30</x:v>
      </x:c>
      <x:c r="C725" s="1" t="str">
        <x:f>'Current inventory'!B95</x:f>
        <x:v>800BREDASC</x:v>
      </x:c>
      <x:c r="D725" s="7" t="n">
        <x:f>A599</x:f>
        <x:v>46447</x:v>
      </x:c>
      <x:c r="E725" s="8" t="n">
        <x:f>L599</x:f>
        <x:v>0</x:v>
      </x:c>
      <x:c r="F725" s="8" t="n">
        <x:f>M599</x:f>
        <x:v>0</x:v>
      </x:c>
      <x:c r="G725" s="8" t="n">
        <x:f>N599</x:f>
        <x:v>0</x:v>
      </x:c>
      <x:c r="H725" s="8" t="n">
        <x:f>SUMIFS('PO detail'!$U$2:$U$672,'PO detail'!$A$2:$A$672,B725,'PO detail'!$B$2:$B$672,C725,'PO detail'!$G$2:$G$672,"&gt;="&amp;D725,'PO detail'!$G$2:$G$672,"&lt;"&amp;A725)</x:f>
        <x:v>0</x:v>
      </x:c>
      <x:c r="I725" s="8" t="n">
        <x:f>SUMIFS('PO detail'!$V$2:$V$672,'PO detail'!$A$2:$A$672,B725,'PO detail'!$B$2:$B$672,C725,'PO detail'!$G$2:$G$672,"&gt;="&amp;D725,'PO detail'!$G$2:$G$672,"&lt;"&amp;A725)</x:f>
        <x:v>0</x:v>
      </x:c>
      <x:c r="J725" s="8" t="n">
        <x:f>SUMIFS('PO detail'!$W$2:$W$672,'PO detail'!$A$2:$A$672,B725,'PO detail'!$B$2:$B$672,C725,'PO detail'!$G$2:$G$672,"&gt;="&amp;D725,'PO detail'!$G$2:$G$672,"&lt;"&amp;A725)</x:f>
        <x:v>0</x:v>
      </x:c>
      <x:c r="K725" s="8" t="n">
        <x:f>'Current inventory'!E95*Summary!$D$6*(A725-D725)/30.4375</x:f>
        <x:v>0</x:v>
      </x:c>
      <x:c r="L725" s="8" t="n">
        <x:f>MAX(0,E725+H725-K725)</x:f>
        <x:v>0</x:v>
      </x:c>
      <x:c r="M725" s="8" t="n">
        <x:f>MAX(0,F725+I725-MAX(0,K725-E725-H725))</x:f>
        <x:v>0</x:v>
      </x:c>
      <x:c r="N725" s="8" t="n">
        <x:f>MAX(0,G725+J725-K725)</x:f>
        <x:v>0</x:v>
      </x:c>
      <x:c r="O725" s="8" t="n">
        <x:f>SUM(L725:N725)</x:f>
        <x:v>0</x:v>
      </x:c>
      <x:c r="P725" s="14" t="n">
        <x:f>'Current inventory'!V95</x:f>
        <x:v>0.07919999999999999</x:v>
      </x:c>
      <x:c r="Q725" s="14" t="str">
        <x:f>'Current inventory'!W95</x:f>
        <x:v>n.a.</x:v>
      </x:c>
      <x:c r="R725" s="10" t="n">
        <x:f>L725*P725</x:f>
        <x:v>0</x:v>
      </x:c>
      <x:c r="S725" s="10" t="n">
        <x:f>M725*P725</x:f>
        <x:v>0</x:v>
      </x:c>
      <x:c r="T725" s="10" t="n">
        <x:f>N725*P725</x:f>
        <x:v>0</x:v>
      </x:c>
      <x:c r="U725" s="10" t="n">
        <x:f>O725*P725</x:f>
        <x:v>0</x:v>
      </x:c>
      <x:c r="V725" s="10" t="str">
        <x:f>IF(ISNUMBER(Q725),O725*(Q725-P725),"n.a.")</x:f>
        <x:v>n.a.</x:v>
      </x:c>
      <x:c r="W725" s="10" t="n">
        <x:f>IF(ISNUMBER(Q725),U725,0)</x:f>
        <x:v>0</x:v>
      </x:c>
      <x:c r="X725" s="8" t="n">
        <x:f>MAX(0,K725-SUM(E725:J725))</x:f>
        <x:v>0</x:v>
      </x:c>
      <x:c r="Y725" s="1" t="str">
        <x:f>IF(AND(O725&gt;0,NOT(ISNUMBER(Q725))),"No proposed replacement standard",IF(X725&gt;0,"Demand exceeds available stock",""))</x:f>
      </x:c>
      <x:c r="Z725" s="1" t="n">
        <x:f>IF(ISNUMBER(Q725),1,0)</x:f>
        <x:v>0</x:v>
      </x:c>
    </x:row>
    <x:row r="726" ht="21" customHeight="1">
      <x:c r="A726" s="17" t="n">
        <x:f>Summary!B20</x:f>
        <x:v>46478</x:v>
      </x:c>
      <x:c r="B726" s="1" t="str">
        <x:f>'Current inventory'!A96</x:f>
        <x:v>30</x:v>
      </x:c>
      <x:c r="C726" s="1" t="str">
        <x:f>'Current inventory'!B96</x:f>
        <x:v>800BREDBRC</x:v>
      </x:c>
      <x:c r="D726" s="7" t="n">
        <x:f>A600</x:f>
        <x:v>46447</x:v>
      </x:c>
      <x:c r="E726" s="8" t="n">
        <x:f>L600</x:f>
        <x:v>0</x:v>
      </x:c>
      <x:c r="F726" s="8" t="n">
        <x:f>M600</x:f>
        <x:v>0</x:v>
      </x:c>
      <x:c r="G726" s="8" t="n">
        <x:f>N600</x:f>
        <x:v>0</x:v>
      </x:c>
      <x:c r="H726" s="8" t="n">
        <x:f>SUMIFS('PO detail'!$U$2:$U$672,'PO detail'!$A$2:$A$672,B726,'PO detail'!$B$2:$B$672,C726,'PO detail'!$G$2:$G$672,"&gt;="&amp;D726,'PO detail'!$G$2:$G$672,"&lt;"&amp;A726)</x:f>
        <x:v>0</x:v>
      </x:c>
      <x:c r="I726" s="8" t="n">
        <x:f>SUMIFS('PO detail'!$V$2:$V$672,'PO detail'!$A$2:$A$672,B726,'PO detail'!$B$2:$B$672,C726,'PO detail'!$G$2:$G$672,"&gt;="&amp;D726,'PO detail'!$G$2:$G$672,"&lt;"&amp;A726)</x:f>
        <x:v>0</x:v>
      </x:c>
      <x:c r="J726" s="8" t="n">
        <x:f>SUMIFS('PO detail'!$W$2:$W$672,'PO detail'!$A$2:$A$672,B726,'PO detail'!$B$2:$B$672,C726,'PO detail'!$G$2:$G$672,"&gt;="&amp;D726,'PO detail'!$G$2:$G$672,"&lt;"&amp;A726)</x:f>
        <x:v>0</x:v>
      </x:c>
      <x:c r="K726" s="8" t="n">
        <x:f>'Current inventory'!E96*Summary!$D$6*(A726-D726)/30.4375</x:f>
        <x:v>0</x:v>
      </x:c>
      <x:c r="L726" s="8" t="n">
        <x:f>MAX(0,E726+H726-K726)</x:f>
        <x:v>0</x:v>
      </x:c>
      <x:c r="M726" s="8" t="n">
        <x:f>MAX(0,F726+I726-MAX(0,K726-E726-H726))</x:f>
        <x:v>0</x:v>
      </x:c>
      <x:c r="N726" s="8" t="n">
        <x:f>MAX(0,G726+J726-K726)</x:f>
        <x:v>0</x:v>
      </x:c>
      <x:c r="O726" s="8" t="n">
        <x:f>SUM(L726:N726)</x:f>
        <x:v>0</x:v>
      </x:c>
      <x:c r="P726" s="14" t="n">
        <x:f>'Current inventory'!V96</x:f>
        <x:v>0.0898</x:v>
      </x:c>
      <x:c r="Q726" s="14" t="str">
        <x:f>'Current inventory'!W96</x:f>
        <x:v>n.a.</x:v>
      </x:c>
      <x:c r="R726" s="10" t="n">
        <x:f>L726*P726</x:f>
        <x:v>0</x:v>
      </x:c>
      <x:c r="S726" s="10" t="n">
        <x:f>M726*P726</x:f>
        <x:v>0</x:v>
      </x:c>
      <x:c r="T726" s="10" t="n">
        <x:f>N726*P726</x:f>
        <x:v>0</x:v>
      </x:c>
      <x:c r="U726" s="10" t="n">
        <x:f>O726*P726</x:f>
        <x:v>0</x:v>
      </x:c>
      <x:c r="V726" s="10" t="str">
        <x:f>IF(ISNUMBER(Q726),O726*(Q726-P726),"n.a.")</x:f>
        <x:v>n.a.</x:v>
      </x:c>
      <x:c r="W726" s="10" t="n">
        <x:f>IF(ISNUMBER(Q726),U726,0)</x:f>
        <x:v>0</x:v>
      </x:c>
      <x:c r="X726" s="8" t="n">
        <x:f>MAX(0,K726-SUM(E726:J726))</x:f>
        <x:v>0</x:v>
      </x:c>
      <x:c r="Y726" s="1" t="str">
        <x:f>IF(AND(O726&gt;0,NOT(ISNUMBER(Q726))),"No proposed replacement standard",IF(X726&gt;0,"Demand exceeds available stock",""))</x:f>
      </x:c>
      <x:c r="Z726" s="1" t="n">
        <x:f>IF(ISNUMBER(Q726),1,0)</x:f>
        <x:v>0</x:v>
      </x:c>
    </x:row>
    <x:row r="727" ht="21" customHeight="1">
      <x:c r="A727" s="17" t="n">
        <x:f>Summary!B20</x:f>
        <x:v>46478</x:v>
      </x:c>
      <x:c r="B727" s="1" t="str">
        <x:f>'Current inventory'!A97</x:f>
        <x:v>30</x:v>
      </x:c>
      <x:c r="C727" s="1" t="str">
        <x:f>'Current inventory'!B97</x:f>
        <x:v>800WBLKASC</x:v>
      </x:c>
      <x:c r="D727" s="7" t="n">
        <x:f>A601</x:f>
        <x:v>46447</x:v>
      </x:c>
      <x:c r="E727" s="8" t="n">
        <x:f>L601</x:f>
        <x:v>0</x:v>
      </x:c>
      <x:c r="F727" s="8" t="n">
        <x:f>M601</x:f>
        <x:v>0</x:v>
      </x:c>
      <x:c r="G727" s="8" t="n">
        <x:f>N601</x:f>
        <x:v>0</x:v>
      </x:c>
      <x:c r="H727" s="8" t="n">
        <x:f>SUMIFS('PO detail'!$U$2:$U$672,'PO detail'!$A$2:$A$672,B727,'PO detail'!$B$2:$B$672,C727,'PO detail'!$G$2:$G$672,"&gt;="&amp;D727,'PO detail'!$G$2:$G$672,"&lt;"&amp;A727)</x:f>
        <x:v>0</x:v>
      </x:c>
      <x:c r="I727" s="8" t="n">
        <x:f>SUMIFS('PO detail'!$V$2:$V$672,'PO detail'!$A$2:$A$672,B727,'PO detail'!$B$2:$B$672,C727,'PO detail'!$G$2:$G$672,"&gt;="&amp;D727,'PO detail'!$G$2:$G$672,"&lt;"&amp;A727)</x:f>
        <x:v>0</x:v>
      </x:c>
      <x:c r="J727" s="8" t="n">
        <x:f>SUMIFS('PO detail'!$W$2:$W$672,'PO detail'!$A$2:$A$672,B727,'PO detail'!$B$2:$B$672,C727,'PO detail'!$G$2:$G$672,"&gt;="&amp;D727,'PO detail'!$G$2:$G$672,"&lt;"&amp;A727)</x:f>
        <x:v>0</x:v>
      </x:c>
      <x:c r="K727" s="8" t="n">
        <x:f>'Current inventory'!E97*Summary!$D$6*(A727-D727)/30.4375</x:f>
        <x:v>0</x:v>
      </x:c>
      <x:c r="L727" s="8" t="n">
        <x:f>MAX(0,E727+H727-K727)</x:f>
        <x:v>0</x:v>
      </x:c>
      <x:c r="M727" s="8" t="n">
        <x:f>MAX(0,F727+I727-MAX(0,K727-E727-H727))</x:f>
        <x:v>0</x:v>
      </x:c>
      <x:c r="N727" s="8" t="n">
        <x:f>MAX(0,G727+J727-K727)</x:f>
        <x:v>0</x:v>
      </x:c>
      <x:c r="O727" s="8" t="n">
        <x:f>SUM(L727:N727)</x:f>
        <x:v>0</x:v>
      </x:c>
      <x:c r="P727" s="14" t="n">
        <x:f>'Current inventory'!V97</x:f>
        <x:v>0.111</x:v>
      </x:c>
      <x:c r="Q727" s="14" t="str">
        <x:f>'Current inventory'!W97</x:f>
        <x:v>n.a.</x:v>
      </x:c>
      <x:c r="R727" s="10" t="n">
        <x:f>L727*P727</x:f>
        <x:v>0</x:v>
      </x:c>
      <x:c r="S727" s="10" t="n">
        <x:f>M727*P727</x:f>
        <x:v>0</x:v>
      </x:c>
      <x:c r="T727" s="10" t="n">
        <x:f>N727*P727</x:f>
        <x:v>0</x:v>
      </x:c>
      <x:c r="U727" s="10" t="n">
        <x:f>O727*P727</x:f>
        <x:v>0</x:v>
      </x:c>
      <x:c r="V727" s="10" t="str">
        <x:f>IF(ISNUMBER(Q727),O727*(Q727-P727),"n.a.")</x:f>
        <x:v>n.a.</x:v>
      </x:c>
      <x:c r="W727" s="10" t="n">
        <x:f>IF(ISNUMBER(Q727),U727,0)</x:f>
        <x:v>0</x:v>
      </x:c>
      <x:c r="X727" s="8" t="n">
        <x:f>MAX(0,K727-SUM(E727:J727))</x:f>
        <x:v>0</x:v>
      </x:c>
      <x:c r="Y727" s="1" t="str">
        <x:f>IF(AND(O727&gt;0,NOT(ISNUMBER(Q727))),"No proposed replacement standard",IF(X727&gt;0,"Demand exceeds available stock",""))</x:f>
      </x:c>
      <x:c r="Z727" s="1" t="n">
        <x:f>IF(ISNUMBER(Q727),1,0)</x:f>
        <x:v>0</x:v>
      </x:c>
    </x:row>
    <x:row r="728" ht="21" customHeight="1">
      <x:c r="A728" s="17" t="n">
        <x:f>Summary!B20</x:f>
        <x:v>46478</x:v>
      </x:c>
      <x:c r="B728" s="1" t="str">
        <x:f>'Current inventory'!A98</x:f>
        <x:v>30</x:v>
      </x:c>
      <x:c r="C728" s="1" t="str">
        <x:f>'Current inventory'!B98</x:f>
        <x:v>800WNAVASC</x:v>
      </x:c>
      <x:c r="D728" s="7" t="n">
        <x:f>A602</x:f>
        <x:v>46447</x:v>
      </x:c>
      <x:c r="E728" s="8" t="n">
        <x:f>L602</x:f>
        <x:v>0</x:v>
      </x:c>
      <x:c r="F728" s="8" t="n">
        <x:f>M602</x:f>
        <x:v>0</x:v>
      </x:c>
      <x:c r="G728" s="8" t="n">
        <x:f>N602</x:f>
        <x:v>0</x:v>
      </x:c>
      <x:c r="H728" s="8" t="n">
        <x:f>SUMIFS('PO detail'!$U$2:$U$672,'PO detail'!$A$2:$A$672,B728,'PO detail'!$B$2:$B$672,C728,'PO detail'!$G$2:$G$672,"&gt;="&amp;D728,'PO detail'!$G$2:$G$672,"&lt;"&amp;A728)</x:f>
        <x:v>0</x:v>
      </x:c>
      <x:c r="I728" s="8" t="n">
        <x:f>SUMIFS('PO detail'!$V$2:$V$672,'PO detail'!$A$2:$A$672,B728,'PO detail'!$B$2:$B$672,C728,'PO detail'!$G$2:$G$672,"&gt;="&amp;D728,'PO detail'!$G$2:$G$672,"&lt;"&amp;A728)</x:f>
        <x:v>0</x:v>
      </x:c>
      <x:c r="J728" s="8" t="n">
        <x:f>SUMIFS('PO detail'!$W$2:$W$672,'PO detail'!$A$2:$A$672,B728,'PO detail'!$B$2:$B$672,C728,'PO detail'!$G$2:$G$672,"&gt;="&amp;D728,'PO detail'!$G$2:$G$672,"&lt;"&amp;A728)</x:f>
        <x:v>0</x:v>
      </x:c>
      <x:c r="K728" s="8" t="n">
        <x:f>'Current inventory'!E98*Summary!$D$6*(A728-D728)/30.4375</x:f>
        <x:v>0</x:v>
      </x:c>
      <x:c r="L728" s="8" t="n">
        <x:f>MAX(0,E728+H728-K728)</x:f>
        <x:v>0</x:v>
      </x:c>
      <x:c r="M728" s="8" t="n">
        <x:f>MAX(0,F728+I728-MAX(0,K728-E728-H728))</x:f>
        <x:v>0</x:v>
      </x:c>
      <x:c r="N728" s="8" t="n">
        <x:f>MAX(0,G728+J728-K728)</x:f>
        <x:v>0</x:v>
      </x:c>
      <x:c r="O728" s="8" t="n">
        <x:f>SUM(L728:N728)</x:f>
        <x:v>0</x:v>
      </x:c>
      <x:c r="P728" s="14" t="n">
        <x:f>'Current inventory'!V98</x:f>
        <x:v>0.13570000000000002</x:v>
      </x:c>
      <x:c r="Q728" s="14" t="str">
        <x:f>'Current inventory'!W98</x:f>
        <x:v>n.a.</x:v>
      </x:c>
      <x:c r="R728" s="10" t="n">
        <x:f>L728*P728</x:f>
        <x:v>0</x:v>
      </x:c>
      <x:c r="S728" s="10" t="n">
        <x:f>M728*P728</x:f>
        <x:v>0</x:v>
      </x:c>
      <x:c r="T728" s="10" t="n">
        <x:f>N728*P728</x:f>
        <x:v>0</x:v>
      </x:c>
      <x:c r="U728" s="10" t="n">
        <x:f>O728*P728</x:f>
        <x:v>0</x:v>
      </x:c>
      <x:c r="V728" s="10" t="str">
        <x:f>IF(ISNUMBER(Q728),O728*(Q728-P728),"n.a.")</x:f>
        <x:v>n.a.</x:v>
      </x:c>
      <x:c r="W728" s="10" t="n">
        <x:f>IF(ISNUMBER(Q728),U728,0)</x:f>
        <x:v>0</x:v>
      </x:c>
      <x:c r="X728" s="8" t="n">
        <x:f>MAX(0,K728-SUM(E728:J728))</x:f>
        <x:v>0</x:v>
      </x:c>
      <x:c r="Y728" s="1" t="str">
        <x:f>IF(AND(O728&gt;0,NOT(ISNUMBER(Q728))),"No proposed replacement standard",IF(X728&gt;0,"Demand exceeds available stock",""))</x:f>
      </x:c>
      <x:c r="Z728" s="1" t="n">
        <x:f>IF(ISNUMBER(Q728),1,0)</x:f>
        <x:v>0</x:v>
      </x:c>
    </x:row>
    <x:row r="729" ht="21" customHeight="1">
      <x:c r="A729" s="17" t="n">
        <x:f>Summary!B20</x:f>
        <x:v>46478</x:v>
      </x:c>
      <x:c r="B729" s="1" t="str">
        <x:f>'Current inventory'!A99</x:f>
        <x:v>30</x:v>
      </x:c>
      <x:c r="C729" s="1" t="str">
        <x:f>'Current inventory'!B99</x:f>
        <x:v>800WNAVBRC</x:v>
      </x:c>
      <x:c r="D729" s="7" t="n">
        <x:f>A603</x:f>
        <x:v>46447</x:v>
      </x:c>
      <x:c r="E729" s="8" t="n">
        <x:f>L603</x:f>
        <x:v>0</x:v>
      </x:c>
      <x:c r="F729" s="8" t="n">
        <x:f>M603</x:f>
        <x:v>0</x:v>
      </x:c>
      <x:c r="G729" s="8" t="n">
        <x:f>N603</x:f>
        <x:v>0</x:v>
      </x:c>
      <x:c r="H729" s="8" t="n">
        <x:f>SUMIFS('PO detail'!$U$2:$U$672,'PO detail'!$A$2:$A$672,B729,'PO detail'!$B$2:$B$672,C729,'PO detail'!$G$2:$G$672,"&gt;="&amp;D729,'PO detail'!$G$2:$G$672,"&lt;"&amp;A729)</x:f>
        <x:v>0</x:v>
      </x:c>
      <x:c r="I729" s="8" t="n">
        <x:f>SUMIFS('PO detail'!$V$2:$V$672,'PO detail'!$A$2:$A$672,B729,'PO detail'!$B$2:$B$672,C729,'PO detail'!$G$2:$G$672,"&gt;="&amp;D729,'PO detail'!$G$2:$G$672,"&lt;"&amp;A729)</x:f>
        <x:v>0</x:v>
      </x:c>
      <x:c r="J729" s="8" t="n">
        <x:f>SUMIFS('PO detail'!$W$2:$W$672,'PO detail'!$A$2:$A$672,B729,'PO detail'!$B$2:$B$672,C729,'PO detail'!$G$2:$G$672,"&gt;="&amp;D729,'PO detail'!$G$2:$G$672,"&lt;"&amp;A729)</x:f>
        <x:v>0</x:v>
      </x:c>
      <x:c r="K729" s="8" t="n">
        <x:f>'Current inventory'!E99*Summary!$D$6*(A729-D729)/30.4375</x:f>
        <x:v>0</x:v>
      </x:c>
      <x:c r="L729" s="8" t="n">
        <x:f>MAX(0,E729+H729-K729)</x:f>
        <x:v>0</x:v>
      </x:c>
      <x:c r="M729" s="8" t="n">
        <x:f>MAX(0,F729+I729-MAX(0,K729-E729-H729))</x:f>
        <x:v>0</x:v>
      </x:c>
      <x:c r="N729" s="8" t="n">
        <x:f>MAX(0,G729+J729-K729)</x:f>
        <x:v>0</x:v>
      </x:c>
      <x:c r="O729" s="8" t="n">
        <x:f>SUM(L729:N729)</x:f>
        <x:v>0</x:v>
      </x:c>
      <x:c r="P729" s="14" t="n">
        <x:f>'Current inventory'!V99</x:f>
        <x:v>0.17350000000000002</x:v>
      </x:c>
      <x:c r="Q729" s="14" t="str">
        <x:f>'Current inventory'!W99</x:f>
        <x:v>n.a.</x:v>
      </x:c>
      <x:c r="R729" s="10" t="n">
        <x:f>L729*P729</x:f>
        <x:v>0</x:v>
      </x:c>
      <x:c r="S729" s="10" t="n">
        <x:f>M729*P729</x:f>
        <x:v>0</x:v>
      </x:c>
      <x:c r="T729" s="10" t="n">
        <x:f>N729*P729</x:f>
        <x:v>0</x:v>
      </x:c>
      <x:c r="U729" s="10" t="n">
        <x:f>O729*P729</x:f>
        <x:v>0</x:v>
      </x:c>
      <x:c r="V729" s="10" t="str">
        <x:f>IF(ISNUMBER(Q729),O729*(Q729-P729),"n.a.")</x:f>
        <x:v>n.a.</x:v>
      </x:c>
      <x:c r="W729" s="10" t="n">
        <x:f>IF(ISNUMBER(Q729),U729,0)</x:f>
        <x:v>0</x:v>
      </x:c>
      <x:c r="X729" s="8" t="n">
        <x:f>MAX(0,K729-SUM(E729:J729))</x:f>
        <x:v>0</x:v>
      </x:c>
      <x:c r="Y729" s="1" t="str">
        <x:f>IF(AND(O729&gt;0,NOT(ISNUMBER(Q729))),"No proposed replacement standard",IF(X729&gt;0,"Demand exceeds available stock",""))</x:f>
      </x:c>
      <x:c r="Z729" s="1" t="n">
        <x:f>IF(ISNUMBER(Q729),1,0)</x:f>
        <x:v>0</x:v>
      </x:c>
    </x:row>
    <x:row r="730" ht="21" customHeight="1">
      <x:c r="A730" s="17" t="n">
        <x:f>Summary!B20</x:f>
        <x:v>46478</x:v>
      </x:c>
      <x:c r="B730" s="1" t="str">
        <x:f>'Current inventory'!A100</x:f>
        <x:v>60</x:v>
      </x:c>
      <x:c r="C730" s="1" t="str">
        <x:f>'Current inventory'!B100</x:f>
        <x:v>800BFGASC</x:v>
      </x:c>
      <x:c r="D730" s="7" t="n">
        <x:f>A604</x:f>
        <x:v>46447</x:v>
      </x:c>
      <x:c r="E730" s="8" t="n">
        <x:f>L604</x:f>
        <x:v>0</x:v>
      </x:c>
      <x:c r="F730" s="8" t="n">
        <x:f>M604</x:f>
        <x:v>0</x:v>
      </x:c>
      <x:c r="G730" s="8" t="n">
        <x:f>N604</x:f>
        <x:v>0</x:v>
      </x:c>
      <x:c r="H730" s="8" t="n">
        <x:f>SUMIFS('PO detail'!$U$2:$U$672,'PO detail'!$A$2:$A$672,B730,'PO detail'!$B$2:$B$672,C730,'PO detail'!$G$2:$G$672,"&gt;="&amp;D730,'PO detail'!$G$2:$G$672,"&lt;"&amp;A730)</x:f>
        <x:v>0</x:v>
      </x:c>
      <x:c r="I730" s="8" t="n">
        <x:f>SUMIFS('PO detail'!$V$2:$V$672,'PO detail'!$A$2:$A$672,B730,'PO detail'!$B$2:$B$672,C730,'PO detail'!$G$2:$G$672,"&gt;="&amp;D730,'PO detail'!$G$2:$G$672,"&lt;"&amp;A730)</x:f>
        <x:v>0</x:v>
      </x:c>
      <x:c r="J730" s="8" t="n">
        <x:f>SUMIFS('PO detail'!$W$2:$W$672,'PO detail'!$A$2:$A$672,B730,'PO detail'!$B$2:$B$672,C730,'PO detail'!$G$2:$G$672,"&gt;="&amp;D730,'PO detail'!$G$2:$G$672,"&lt;"&amp;A730)</x:f>
        <x:v>0</x:v>
      </x:c>
      <x:c r="K730" s="8" t="n">
        <x:f>'Current inventory'!E100*Summary!$D$6*(A730-D730)/30.4375</x:f>
        <x:v>0</x:v>
      </x:c>
      <x:c r="L730" s="8" t="n">
        <x:f>MAX(0,E730+H730-K730)</x:f>
        <x:v>0</x:v>
      </x:c>
      <x:c r="M730" s="8" t="n">
        <x:f>MAX(0,F730+I730-MAX(0,K730-E730-H730))</x:f>
        <x:v>0</x:v>
      </x:c>
      <x:c r="N730" s="8" t="n">
        <x:f>MAX(0,G730+J730-K730)</x:f>
        <x:v>0</x:v>
      </x:c>
      <x:c r="O730" s="8" t="n">
        <x:f>SUM(L730:N730)</x:f>
        <x:v>0</x:v>
      </x:c>
      <x:c r="P730" s="14" t="n">
        <x:f>'Current inventory'!V100</x:f>
        <x:v>0.1456</x:v>
      </x:c>
      <x:c r="Q730" s="14" t="str">
        <x:f>'Current inventory'!W100</x:f>
        <x:v>n.a.</x:v>
      </x:c>
      <x:c r="R730" s="10" t="n">
        <x:f>L730*P730</x:f>
        <x:v>0</x:v>
      </x:c>
      <x:c r="S730" s="10" t="n">
        <x:f>M730*P730</x:f>
        <x:v>0</x:v>
      </x:c>
      <x:c r="T730" s="10" t="n">
        <x:f>N730*P730</x:f>
        <x:v>0</x:v>
      </x:c>
      <x:c r="U730" s="10" t="n">
        <x:f>O730*P730</x:f>
        <x:v>0</x:v>
      </x:c>
      <x:c r="V730" s="10" t="str">
        <x:f>IF(ISNUMBER(Q730),O730*(Q730-P730),"n.a.")</x:f>
        <x:v>n.a.</x:v>
      </x:c>
      <x:c r="W730" s="10" t="n">
        <x:f>IF(ISNUMBER(Q730),U730,0)</x:f>
        <x:v>0</x:v>
      </x:c>
      <x:c r="X730" s="8" t="n">
        <x:f>MAX(0,K730-SUM(E730:J730))</x:f>
        <x:v>0</x:v>
      </x:c>
      <x:c r="Y730" s="1" t="str">
        <x:f>IF(AND(O730&gt;0,NOT(ISNUMBER(Q730))),"No proposed replacement standard",IF(X730&gt;0,"Demand exceeds available stock",""))</x:f>
      </x:c>
      <x:c r="Z730" s="1" t="n">
        <x:f>IF(ISNUMBER(Q730),1,0)</x:f>
        <x:v>0</x:v>
      </x:c>
    </x:row>
    <x:row r="731" ht="21" customHeight="1">
      <x:c r="A731" s="17" t="n">
        <x:f>Summary!B20</x:f>
        <x:v>46478</x:v>
      </x:c>
      <x:c r="B731" s="1" t="str">
        <x:f>'Current inventory'!A101</x:f>
        <x:v>60</x:v>
      </x:c>
      <x:c r="C731" s="1" t="str">
        <x:f>'Current inventory'!B101</x:f>
        <x:v>800BFGBRC</x:v>
      </x:c>
      <x:c r="D731" s="7" t="n">
        <x:f>A605</x:f>
        <x:v>46447</x:v>
      </x:c>
      <x:c r="E731" s="8" t="n">
        <x:f>L605</x:f>
        <x:v>0</x:v>
      </x:c>
      <x:c r="F731" s="8" t="n">
        <x:f>M605</x:f>
        <x:v>0</x:v>
      </x:c>
      <x:c r="G731" s="8" t="n">
        <x:f>N605</x:f>
        <x:v>0</x:v>
      </x:c>
      <x:c r="H731" s="8" t="n">
        <x:f>SUMIFS('PO detail'!$U$2:$U$672,'PO detail'!$A$2:$A$672,B731,'PO detail'!$B$2:$B$672,C731,'PO detail'!$G$2:$G$672,"&gt;="&amp;D731,'PO detail'!$G$2:$G$672,"&lt;"&amp;A731)</x:f>
        <x:v>0</x:v>
      </x:c>
      <x:c r="I731" s="8" t="n">
        <x:f>SUMIFS('PO detail'!$V$2:$V$672,'PO detail'!$A$2:$A$672,B731,'PO detail'!$B$2:$B$672,C731,'PO detail'!$G$2:$G$672,"&gt;="&amp;D731,'PO detail'!$G$2:$G$672,"&lt;"&amp;A731)</x:f>
        <x:v>0</x:v>
      </x:c>
      <x:c r="J731" s="8" t="n">
        <x:f>SUMIFS('PO detail'!$W$2:$W$672,'PO detail'!$A$2:$A$672,B731,'PO detail'!$B$2:$B$672,C731,'PO detail'!$G$2:$G$672,"&gt;="&amp;D731,'PO detail'!$G$2:$G$672,"&lt;"&amp;A731)</x:f>
        <x:v>0</x:v>
      </x:c>
      <x:c r="K731" s="8" t="n">
        <x:f>'Current inventory'!E101*Summary!$D$6*(A731-D731)/30.4375</x:f>
        <x:v>0</x:v>
      </x:c>
      <x:c r="L731" s="8" t="n">
        <x:f>MAX(0,E731+H731-K731)</x:f>
        <x:v>0</x:v>
      </x:c>
      <x:c r="M731" s="8" t="n">
        <x:f>MAX(0,F731+I731-MAX(0,K731-E731-H731))</x:f>
        <x:v>0</x:v>
      </x:c>
      <x:c r="N731" s="8" t="n">
        <x:f>MAX(0,G731+J731-K731)</x:f>
        <x:v>0</x:v>
      </x:c>
      <x:c r="O731" s="8" t="n">
        <x:f>SUM(L731:N731)</x:f>
        <x:v>0</x:v>
      </x:c>
      <x:c r="P731" s="14" t="n">
        <x:f>'Current inventory'!V101</x:f>
        <x:v>0.18469999999999998</x:v>
      </x:c>
      <x:c r="Q731" s="14" t="str">
        <x:f>'Current inventory'!W101</x:f>
        <x:v>n.a.</x:v>
      </x:c>
      <x:c r="R731" s="10" t="n">
        <x:f>L731*P731</x:f>
        <x:v>0</x:v>
      </x:c>
      <x:c r="S731" s="10" t="n">
        <x:f>M731*P731</x:f>
        <x:v>0</x:v>
      </x:c>
      <x:c r="T731" s="10" t="n">
        <x:f>N731*P731</x:f>
        <x:v>0</x:v>
      </x:c>
      <x:c r="U731" s="10" t="n">
        <x:f>O731*P731</x:f>
        <x:v>0</x:v>
      </x:c>
      <x:c r="V731" s="10" t="str">
        <x:f>IF(ISNUMBER(Q731),O731*(Q731-P731),"n.a.")</x:f>
        <x:v>n.a.</x:v>
      </x:c>
      <x:c r="W731" s="10" t="n">
        <x:f>IF(ISNUMBER(Q731),U731,0)</x:f>
        <x:v>0</x:v>
      </x:c>
      <x:c r="X731" s="8" t="n">
        <x:f>MAX(0,K731-SUM(E731:J731))</x:f>
        <x:v>0</x:v>
      </x:c>
      <x:c r="Y731" s="1" t="str">
        <x:f>IF(AND(O731&gt;0,NOT(ISNUMBER(Q731))),"No proposed replacement standard",IF(X731&gt;0,"Demand exceeds available stock",""))</x:f>
      </x:c>
      <x:c r="Z731" s="1" t="n">
        <x:f>IF(ISNUMBER(Q731),1,0)</x:f>
        <x:v>0</x:v>
      </x:c>
    </x:row>
    <x:row r="732" ht="21" customHeight="1">
      <x:c r="A732" s="17" t="n">
        <x:f>Summary!B20</x:f>
        <x:v>46478</x:v>
      </x:c>
      <x:c r="B732" s="1" t="str">
        <x:f>'Current inventory'!A102</x:f>
        <x:v>60</x:v>
      </x:c>
      <x:c r="C732" s="1" t="str">
        <x:f>'Current inventory'!B102</x:f>
        <x:v>800BFGCSC</x:v>
      </x:c>
      <x:c r="D732" s="7" t="n">
        <x:f>A606</x:f>
        <x:v>46447</x:v>
      </x:c>
      <x:c r="E732" s="8" t="n">
        <x:f>L606</x:f>
        <x:v>0</x:v>
      </x:c>
      <x:c r="F732" s="8" t="n">
        <x:f>M606</x:f>
        <x:v>0</x:v>
      </x:c>
      <x:c r="G732" s="8" t="n">
        <x:f>N606</x:f>
        <x:v>0</x:v>
      </x:c>
      <x:c r="H732" s="8" t="n">
        <x:f>SUMIFS('PO detail'!$U$2:$U$672,'PO detail'!$A$2:$A$672,B732,'PO detail'!$B$2:$B$672,C732,'PO detail'!$G$2:$G$672,"&gt;="&amp;D732,'PO detail'!$G$2:$G$672,"&lt;"&amp;A732)</x:f>
        <x:v>0</x:v>
      </x:c>
      <x:c r="I732" s="8" t="n">
        <x:f>SUMIFS('PO detail'!$V$2:$V$672,'PO detail'!$A$2:$A$672,B732,'PO detail'!$B$2:$B$672,C732,'PO detail'!$G$2:$G$672,"&gt;="&amp;D732,'PO detail'!$G$2:$G$672,"&lt;"&amp;A732)</x:f>
        <x:v>0</x:v>
      </x:c>
      <x:c r="J732" s="8" t="n">
        <x:f>SUMIFS('PO detail'!$W$2:$W$672,'PO detail'!$A$2:$A$672,B732,'PO detail'!$B$2:$B$672,C732,'PO detail'!$G$2:$G$672,"&gt;="&amp;D732,'PO detail'!$G$2:$G$672,"&lt;"&amp;A732)</x:f>
        <x:v>0</x:v>
      </x:c>
      <x:c r="K732" s="8" t="n">
        <x:f>'Current inventory'!E102*Summary!$D$6*(A732-D732)/30.4375</x:f>
        <x:v>0</x:v>
      </x:c>
      <x:c r="L732" s="8" t="n">
        <x:f>MAX(0,E732+H732-K732)</x:f>
        <x:v>0</x:v>
      </x:c>
      <x:c r="M732" s="8" t="n">
        <x:f>MAX(0,F732+I732-MAX(0,K732-E732-H732))</x:f>
        <x:v>0</x:v>
      </x:c>
      <x:c r="N732" s="8" t="n">
        <x:f>MAX(0,G732+J732-K732)</x:f>
        <x:v>0</x:v>
      </x:c>
      <x:c r="O732" s="8" t="n">
        <x:f>SUM(L732:N732)</x:f>
        <x:v>0</x:v>
      </x:c>
      <x:c r="P732" s="14" t="n">
        <x:f>'Current inventory'!V102</x:f>
        <x:v>0.21559999999999999</x:v>
      </x:c>
      <x:c r="Q732" s="14" t="str">
        <x:f>'Current inventory'!W102</x:f>
        <x:v>n.a.</x:v>
      </x:c>
      <x:c r="R732" s="10" t="n">
        <x:f>L732*P732</x:f>
        <x:v>0</x:v>
      </x:c>
      <x:c r="S732" s="10" t="n">
        <x:f>M732*P732</x:f>
        <x:v>0</x:v>
      </x:c>
      <x:c r="T732" s="10" t="n">
        <x:f>N732*P732</x:f>
        <x:v>0</x:v>
      </x:c>
      <x:c r="U732" s="10" t="n">
        <x:f>O732*P732</x:f>
        <x:v>0</x:v>
      </x:c>
      <x:c r="V732" s="10" t="str">
        <x:f>IF(ISNUMBER(Q732),O732*(Q732-P732),"n.a.")</x:f>
        <x:v>n.a.</x:v>
      </x:c>
      <x:c r="W732" s="10" t="n">
        <x:f>IF(ISNUMBER(Q732),U732,0)</x:f>
        <x:v>0</x:v>
      </x:c>
      <x:c r="X732" s="8" t="n">
        <x:f>MAX(0,K732-SUM(E732:J732))</x:f>
        <x:v>0</x:v>
      </x:c>
      <x:c r="Y732" s="1" t="str">
        <x:f>IF(AND(O732&gt;0,NOT(ISNUMBER(Q732))),"No proposed replacement standard",IF(X732&gt;0,"Demand exceeds available stock",""))</x:f>
      </x:c>
      <x:c r="Z732" s="1" t="n">
        <x:f>IF(ISNUMBER(Q732),1,0)</x:f>
        <x:v>0</x:v>
      </x:c>
    </x:row>
    <x:row r="733" ht="21" customHeight="1">
      <x:c r="A733" s="17" t="n">
        <x:f>Summary!B20</x:f>
        <x:v>46478</x:v>
      </x:c>
      <x:c r="B733" s="1" t="str">
        <x:f>'Current inventory'!A103</x:f>
        <x:v>60</x:v>
      </x:c>
      <x:c r="C733" s="1" t="str">
        <x:f>'Current inventory'!B103</x:f>
        <x:v>800BFGDSC</x:v>
      </x:c>
      <x:c r="D733" s="7" t="n">
        <x:f>A607</x:f>
        <x:v>46447</x:v>
      </x:c>
      <x:c r="E733" s="8" t="n">
        <x:f>L607</x:f>
        <x:v>0</x:v>
      </x:c>
      <x:c r="F733" s="8" t="n">
        <x:f>M607</x:f>
        <x:v>0</x:v>
      </x:c>
      <x:c r="G733" s="8" t="n">
        <x:f>N607</x:f>
        <x:v>0</x:v>
      </x:c>
      <x:c r="H733" s="8" t="n">
        <x:f>SUMIFS('PO detail'!$U$2:$U$672,'PO detail'!$A$2:$A$672,B733,'PO detail'!$B$2:$B$672,C733,'PO detail'!$G$2:$G$672,"&gt;="&amp;D733,'PO detail'!$G$2:$G$672,"&lt;"&amp;A733)</x:f>
        <x:v>0</x:v>
      </x:c>
      <x:c r="I733" s="8" t="n">
        <x:f>SUMIFS('PO detail'!$V$2:$V$672,'PO detail'!$A$2:$A$672,B733,'PO detail'!$B$2:$B$672,C733,'PO detail'!$G$2:$G$672,"&gt;="&amp;D733,'PO detail'!$G$2:$G$672,"&lt;"&amp;A733)</x:f>
        <x:v>0</x:v>
      </x:c>
      <x:c r="J733" s="8" t="n">
        <x:f>SUMIFS('PO detail'!$W$2:$W$672,'PO detail'!$A$2:$A$672,B733,'PO detail'!$B$2:$B$672,C733,'PO detail'!$G$2:$G$672,"&gt;="&amp;D733,'PO detail'!$G$2:$G$672,"&lt;"&amp;A733)</x:f>
        <x:v>0</x:v>
      </x:c>
      <x:c r="K733" s="8" t="n">
        <x:f>'Current inventory'!E103*Summary!$D$6*(A733-D733)/30.4375</x:f>
        <x:v>0</x:v>
      </x:c>
      <x:c r="L733" s="8" t="n">
        <x:f>MAX(0,E733+H733-K733)</x:f>
        <x:v>0</x:v>
      </x:c>
      <x:c r="M733" s="8" t="n">
        <x:f>MAX(0,F733+I733-MAX(0,K733-E733-H733))</x:f>
        <x:v>0</x:v>
      </x:c>
      <x:c r="N733" s="8" t="n">
        <x:f>MAX(0,G733+J733-K733)</x:f>
        <x:v>0</x:v>
      </x:c>
      <x:c r="O733" s="8" t="n">
        <x:f>SUM(L733:N733)</x:f>
        <x:v>0</x:v>
      </x:c>
      <x:c r="P733" s="14" t="n">
        <x:f>'Current inventory'!V103</x:f>
        <x:v>0.38</x:v>
      </x:c>
      <x:c r="Q733" s="14" t="str">
        <x:f>'Current inventory'!W103</x:f>
        <x:v>n.a.</x:v>
      </x:c>
      <x:c r="R733" s="10" t="n">
        <x:f>L733*P733</x:f>
        <x:v>0</x:v>
      </x:c>
      <x:c r="S733" s="10" t="n">
        <x:f>M733*P733</x:f>
        <x:v>0</x:v>
      </x:c>
      <x:c r="T733" s="10" t="n">
        <x:f>N733*P733</x:f>
        <x:v>0</x:v>
      </x:c>
      <x:c r="U733" s="10" t="n">
        <x:f>O733*P733</x:f>
        <x:v>0</x:v>
      </x:c>
      <x:c r="V733" s="10" t="str">
        <x:f>IF(ISNUMBER(Q733),O733*(Q733-P733),"n.a.")</x:f>
        <x:v>n.a.</x:v>
      </x:c>
      <x:c r="W733" s="10" t="n">
        <x:f>IF(ISNUMBER(Q733),U733,0)</x:f>
        <x:v>0</x:v>
      </x:c>
      <x:c r="X733" s="8" t="n">
        <x:f>MAX(0,K733-SUM(E733:J733))</x:f>
        <x:v>0</x:v>
      </x:c>
      <x:c r="Y733" s="1" t="str">
        <x:f>IF(AND(O733&gt;0,NOT(ISNUMBER(Q733))),"No proposed replacement standard",IF(X733&gt;0,"Demand exceeds available stock",""))</x:f>
      </x:c>
      <x:c r="Z733" s="1" t="n">
        <x:f>IF(ISNUMBER(Q733),1,0)</x:f>
        <x:v>0</x:v>
      </x:c>
    </x:row>
    <x:row r="734" ht="21" customHeight="1">
      <x:c r="A734" s="17" t="n">
        <x:f>Summary!B20</x:f>
        <x:v>46478</x:v>
      </x:c>
      <x:c r="B734" s="1" t="str">
        <x:f>'Current inventory'!A104</x:f>
        <x:v>60</x:v>
      </x:c>
      <x:c r="C734" s="1" t="str">
        <x:f>'Current inventory'!B104</x:f>
        <x:v>800BFGISC</x:v>
      </x:c>
      <x:c r="D734" s="7" t="n">
        <x:f>A608</x:f>
        <x:v>46447</x:v>
      </x:c>
      <x:c r="E734" s="8" t="n">
        <x:f>L608</x:f>
        <x:v>0</x:v>
      </x:c>
      <x:c r="F734" s="8" t="n">
        <x:f>M608</x:f>
        <x:v>0</x:v>
      </x:c>
      <x:c r="G734" s="8" t="n">
        <x:f>N608</x:f>
        <x:v>0</x:v>
      </x:c>
      <x:c r="H734" s="8" t="n">
        <x:f>SUMIFS('PO detail'!$U$2:$U$672,'PO detail'!$A$2:$A$672,B734,'PO detail'!$B$2:$B$672,C734,'PO detail'!$G$2:$G$672,"&gt;="&amp;D734,'PO detail'!$G$2:$G$672,"&lt;"&amp;A734)</x:f>
        <x:v>0</x:v>
      </x:c>
      <x:c r="I734" s="8" t="n">
        <x:f>SUMIFS('PO detail'!$V$2:$V$672,'PO detail'!$A$2:$A$672,B734,'PO detail'!$B$2:$B$672,C734,'PO detail'!$G$2:$G$672,"&gt;="&amp;D734,'PO detail'!$G$2:$G$672,"&lt;"&amp;A734)</x:f>
        <x:v>0</x:v>
      </x:c>
      <x:c r="J734" s="8" t="n">
        <x:f>SUMIFS('PO detail'!$W$2:$W$672,'PO detail'!$A$2:$A$672,B734,'PO detail'!$B$2:$B$672,C734,'PO detail'!$G$2:$G$672,"&gt;="&amp;D734,'PO detail'!$G$2:$G$672,"&lt;"&amp;A734)</x:f>
        <x:v>0</x:v>
      </x:c>
      <x:c r="K734" s="8" t="n">
        <x:f>'Current inventory'!E104*Summary!$D$6*(A734-D734)/30.4375</x:f>
        <x:v>0</x:v>
      </x:c>
      <x:c r="L734" s="8" t="n">
        <x:f>MAX(0,E734+H734-K734)</x:f>
        <x:v>0</x:v>
      </x:c>
      <x:c r="M734" s="8" t="n">
        <x:f>MAX(0,F734+I734-MAX(0,K734-E734-H734))</x:f>
        <x:v>0</x:v>
      </x:c>
      <x:c r="N734" s="8" t="n">
        <x:f>MAX(0,G734+J734-K734)</x:f>
        <x:v>0</x:v>
      </x:c>
      <x:c r="O734" s="8" t="n">
        <x:f>SUM(L734:N734)</x:f>
        <x:v>0</x:v>
      </x:c>
      <x:c r="P734" s="14" t="n">
        <x:f>'Current inventory'!V104</x:f>
        <x:v>0.1797</x:v>
      </x:c>
      <x:c r="Q734" s="14" t="str">
        <x:f>'Current inventory'!W104</x:f>
        <x:v>n.a.</x:v>
      </x:c>
      <x:c r="R734" s="10" t="n">
        <x:f>L734*P734</x:f>
        <x:v>0</x:v>
      </x:c>
      <x:c r="S734" s="10" t="n">
        <x:f>M734*P734</x:f>
        <x:v>0</x:v>
      </x:c>
      <x:c r="T734" s="10" t="n">
        <x:f>N734*P734</x:f>
        <x:v>0</x:v>
      </x:c>
      <x:c r="U734" s="10" t="n">
        <x:f>O734*P734</x:f>
        <x:v>0</x:v>
      </x:c>
      <x:c r="V734" s="10" t="str">
        <x:f>IF(ISNUMBER(Q734),O734*(Q734-P734),"n.a.")</x:f>
        <x:v>n.a.</x:v>
      </x:c>
      <x:c r="W734" s="10" t="n">
        <x:f>IF(ISNUMBER(Q734),U734,0)</x:f>
        <x:v>0</x:v>
      </x:c>
      <x:c r="X734" s="8" t="n">
        <x:f>MAX(0,K734-SUM(E734:J734))</x:f>
        <x:v>0</x:v>
      </x:c>
      <x:c r="Y734" s="1" t="str">
        <x:f>IF(AND(O734&gt;0,NOT(ISNUMBER(Q734))),"No proposed replacement standard",IF(X734&gt;0,"Demand exceeds available stock",""))</x:f>
      </x:c>
      <x:c r="Z734" s="1" t="n">
        <x:f>IF(ISNUMBER(Q734),1,0)</x:f>
        <x:v>0</x:v>
      </x:c>
    </x:row>
    <x:row r="735" ht="21" customHeight="1">
      <x:c r="A735" s="17" t="n">
        <x:f>Summary!B20</x:f>
        <x:v>46478</x:v>
      </x:c>
      <x:c r="B735" s="1" t="str">
        <x:f>'Current inventory'!A105</x:f>
        <x:v>60</x:v>
      </x:c>
      <x:c r="C735" s="1" t="str">
        <x:f>'Current inventory'!B105</x:f>
        <x:v>800BLKF</x:v>
      </x:c>
      <x:c r="D735" s="7" t="n">
        <x:f>A609</x:f>
        <x:v>46447</x:v>
      </x:c>
      <x:c r="E735" s="8" t="n">
        <x:f>L609</x:f>
        <x:v>0</x:v>
      </x:c>
      <x:c r="F735" s="8" t="n">
        <x:f>M609</x:f>
        <x:v>0</x:v>
      </x:c>
      <x:c r="G735" s="8" t="n">
        <x:f>N609</x:f>
        <x:v>0</x:v>
      </x:c>
      <x:c r="H735" s="8" t="n">
        <x:f>SUMIFS('PO detail'!$U$2:$U$672,'PO detail'!$A$2:$A$672,B735,'PO detail'!$B$2:$B$672,C735,'PO detail'!$G$2:$G$672,"&gt;="&amp;D735,'PO detail'!$G$2:$G$672,"&lt;"&amp;A735)</x:f>
        <x:v>0</x:v>
      </x:c>
      <x:c r="I735" s="8" t="n">
        <x:f>SUMIFS('PO detail'!$V$2:$V$672,'PO detail'!$A$2:$A$672,B735,'PO detail'!$B$2:$B$672,C735,'PO detail'!$G$2:$G$672,"&gt;="&amp;D735,'PO detail'!$G$2:$G$672,"&lt;"&amp;A735)</x:f>
        <x:v>0</x:v>
      </x:c>
      <x:c r="J735" s="8" t="n">
        <x:f>SUMIFS('PO detail'!$W$2:$W$672,'PO detail'!$A$2:$A$672,B735,'PO detail'!$B$2:$B$672,C735,'PO detail'!$G$2:$G$672,"&gt;="&amp;D735,'PO detail'!$G$2:$G$672,"&lt;"&amp;A735)</x:f>
        <x:v>0</x:v>
      </x:c>
      <x:c r="K735" s="8" t="n">
        <x:f>'Current inventory'!E105*Summary!$D$6*(A735-D735)/30.4375</x:f>
        <x:v>0</x:v>
      </x:c>
      <x:c r="L735" s="8" t="n">
        <x:f>MAX(0,E735+H735-K735)</x:f>
        <x:v>0</x:v>
      </x:c>
      <x:c r="M735" s="8" t="n">
        <x:f>MAX(0,F735+I735-MAX(0,K735-E735-H735))</x:f>
        <x:v>0</x:v>
      </x:c>
      <x:c r="N735" s="8" t="n">
        <x:f>MAX(0,G735+J735-K735)</x:f>
        <x:v>0</x:v>
      </x:c>
      <x:c r="O735" s="8" t="n">
        <x:f>SUM(L735:N735)</x:f>
        <x:v>0</x:v>
      </x:c>
      <x:c r="P735" s="14" t="n">
        <x:f>'Current inventory'!V105</x:f>
        <x:v>7.03</x:v>
      </x:c>
      <x:c r="Q735" s="14" t="str">
        <x:f>'Current inventory'!W105</x:f>
        <x:v>n.a.</x:v>
      </x:c>
      <x:c r="R735" s="10" t="n">
        <x:f>L735*P735</x:f>
        <x:v>0</x:v>
      </x:c>
      <x:c r="S735" s="10" t="n">
        <x:f>M735*P735</x:f>
        <x:v>0</x:v>
      </x:c>
      <x:c r="T735" s="10" t="n">
        <x:f>N735*P735</x:f>
        <x:v>0</x:v>
      </x:c>
      <x:c r="U735" s="10" t="n">
        <x:f>O735*P735</x:f>
        <x:v>0</x:v>
      </x:c>
      <x:c r="V735" s="10" t="str">
        <x:f>IF(ISNUMBER(Q735),O735*(Q735-P735),"n.a.")</x:f>
        <x:v>n.a.</x:v>
      </x:c>
      <x:c r="W735" s="10" t="n">
        <x:f>IF(ISNUMBER(Q735),U735,0)</x:f>
        <x:v>0</x:v>
      </x:c>
      <x:c r="X735" s="8" t="n">
        <x:f>MAX(0,K735-SUM(E735:J735))</x:f>
        <x:v>0</x:v>
      </x:c>
      <x:c r="Y735" s="1" t="str">
        <x:f>IF(AND(O735&gt;0,NOT(ISNUMBER(Q735))),"No proposed replacement standard",IF(X735&gt;0,"Demand exceeds available stock",""))</x:f>
      </x:c>
      <x:c r="Z735" s="1" t="n">
        <x:f>IF(ISNUMBER(Q735),1,0)</x:f>
        <x:v>0</x:v>
      </x:c>
    </x:row>
    <x:row r="736" ht="21" customHeight="1">
      <x:c r="A736" s="17" t="n">
        <x:f>Summary!B20</x:f>
        <x:v>46478</x:v>
      </x:c>
      <x:c r="B736" s="1" t="str">
        <x:f>'Current inventory'!A106</x:f>
        <x:v>60</x:v>
      </x:c>
      <x:c r="C736" s="1" t="str">
        <x:f>'Current inventory'!B106</x:f>
        <x:v>800BWHTASC</x:v>
      </x:c>
      <x:c r="D736" s="7" t="n">
        <x:f>A610</x:f>
        <x:v>46447</x:v>
      </x:c>
      <x:c r="E736" s="8" t="n">
        <x:f>L610</x:f>
        <x:v>0</x:v>
      </x:c>
      <x:c r="F736" s="8" t="n">
        <x:f>M610</x:f>
        <x:v>0</x:v>
      </x:c>
      <x:c r="G736" s="8" t="n">
        <x:f>N610</x:f>
        <x:v>0</x:v>
      </x:c>
      <x:c r="H736" s="8" t="n">
        <x:f>SUMIFS('PO detail'!$U$2:$U$672,'PO detail'!$A$2:$A$672,B736,'PO detail'!$B$2:$B$672,C736,'PO detail'!$G$2:$G$672,"&gt;="&amp;D736,'PO detail'!$G$2:$G$672,"&lt;"&amp;A736)</x:f>
        <x:v>0</x:v>
      </x:c>
      <x:c r="I736" s="8" t="n">
        <x:f>SUMIFS('PO detail'!$V$2:$V$672,'PO detail'!$A$2:$A$672,B736,'PO detail'!$B$2:$B$672,C736,'PO detail'!$G$2:$G$672,"&gt;="&amp;D736,'PO detail'!$G$2:$G$672,"&lt;"&amp;A736)</x:f>
        <x:v>0</x:v>
      </x:c>
      <x:c r="J736" s="8" t="n">
        <x:f>SUMIFS('PO detail'!$W$2:$W$672,'PO detail'!$A$2:$A$672,B736,'PO detail'!$B$2:$B$672,C736,'PO detail'!$G$2:$G$672,"&gt;="&amp;D736,'PO detail'!$G$2:$G$672,"&lt;"&amp;A736)</x:f>
        <x:v>0</x:v>
      </x:c>
      <x:c r="K736" s="8" t="n">
        <x:f>'Current inventory'!E106*Summary!$D$6*(A736-D736)/30.4375</x:f>
        <x:v>0</x:v>
      </x:c>
      <x:c r="L736" s="8" t="n">
        <x:f>MAX(0,E736+H736-K736)</x:f>
        <x:v>0</x:v>
      </x:c>
      <x:c r="M736" s="8" t="n">
        <x:f>MAX(0,F736+I736-MAX(0,K736-E736-H736))</x:f>
        <x:v>0</x:v>
      </x:c>
      <x:c r="N736" s="8" t="n">
        <x:f>MAX(0,G736+J736-K736)</x:f>
        <x:v>0</x:v>
      </x:c>
      <x:c r="O736" s="8" t="n">
        <x:f>SUM(L736:N736)</x:f>
        <x:v>0</x:v>
      </x:c>
      <x:c r="P736" s="14" t="n">
        <x:f>'Current inventory'!V106</x:f>
        <x:v>0.1456</x:v>
      </x:c>
      <x:c r="Q736" s="14" t="str">
        <x:f>'Current inventory'!W106</x:f>
        <x:v>n.a.</x:v>
      </x:c>
      <x:c r="R736" s="10" t="n">
        <x:f>L736*P736</x:f>
        <x:v>0</x:v>
      </x:c>
      <x:c r="S736" s="10" t="n">
        <x:f>M736*P736</x:f>
        <x:v>0</x:v>
      </x:c>
      <x:c r="T736" s="10" t="n">
        <x:f>N736*P736</x:f>
        <x:v>0</x:v>
      </x:c>
      <x:c r="U736" s="10" t="n">
        <x:f>O736*P736</x:f>
        <x:v>0</x:v>
      </x:c>
      <x:c r="V736" s="10" t="str">
        <x:f>IF(ISNUMBER(Q736),O736*(Q736-P736),"n.a.")</x:f>
        <x:v>n.a.</x:v>
      </x:c>
      <x:c r="W736" s="10" t="n">
        <x:f>IF(ISNUMBER(Q736),U736,0)</x:f>
        <x:v>0</x:v>
      </x:c>
      <x:c r="X736" s="8" t="n">
        <x:f>MAX(0,K736-SUM(E736:J736))</x:f>
        <x:v>0</x:v>
      </x:c>
      <x:c r="Y736" s="1" t="str">
        <x:f>IF(AND(O736&gt;0,NOT(ISNUMBER(Q736))),"No proposed replacement standard",IF(X736&gt;0,"Demand exceeds available stock",""))</x:f>
      </x:c>
      <x:c r="Z736" s="1" t="n">
        <x:f>IF(ISNUMBER(Q736),1,0)</x:f>
        <x:v>0</x:v>
      </x:c>
    </x:row>
    <x:row r="737" ht="21" customHeight="1">
      <x:c r="A737" s="17" t="n">
        <x:f>Summary!B20</x:f>
        <x:v>46478</x:v>
      </x:c>
      <x:c r="B737" s="1" t="str">
        <x:f>'Current inventory'!A107</x:f>
        <x:v>60</x:v>
      </x:c>
      <x:c r="C737" s="1" t="str">
        <x:f>'Current inventory'!B107</x:f>
        <x:v>800BWHTBRC</x:v>
      </x:c>
      <x:c r="D737" s="7" t="n">
        <x:f>A611</x:f>
        <x:v>46447</x:v>
      </x:c>
      <x:c r="E737" s="8" t="n">
        <x:f>L611</x:f>
        <x:v>0</x:v>
      </x:c>
      <x:c r="F737" s="8" t="n">
        <x:f>M611</x:f>
        <x:v>0</x:v>
      </x:c>
      <x:c r="G737" s="8" t="n">
        <x:f>N611</x:f>
        <x:v>0</x:v>
      </x:c>
      <x:c r="H737" s="8" t="n">
        <x:f>SUMIFS('PO detail'!$U$2:$U$672,'PO detail'!$A$2:$A$672,B737,'PO detail'!$B$2:$B$672,C737,'PO detail'!$G$2:$G$672,"&gt;="&amp;D737,'PO detail'!$G$2:$G$672,"&lt;"&amp;A737)</x:f>
        <x:v>0</x:v>
      </x:c>
      <x:c r="I737" s="8" t="n">
        <x:f>SUMIFS('PO detail'!$V$2:$V$672,'PO detail'!$A$2:$A$672,B737,'PO detail'!$B$2:$B$672,C737,'PO detail'!$G$2:$G$672,"&gt;="&amp;D737,'PO detail'!$G$2:$G$672,"&lt;"&amp;A737)</x:f>
        <x:v>0</x:v>
      </x:c>
      <x:c r="J737" s="8" t="n">
        <x:f>SUMIFS('PO detail'!$W$2:$W$672,'PO detail'!$A$2:$A$672,B737,'PO detail'!$B$2:$B$672,C737,'PO detail'!$G$2:$G$672,"&gt;="&amp;D737,'PO detail'!$G$2:$G$672,"&lt;"&amp;A737)</x:f>
        <x:v>0</x:v>
      </x:c>
      <x:c r="K737" s="8" t="n">
        <x:f>'Current inventory'!E107*Summary!$D$6*(A737-D737)/30.4375</x:f>
        <x:v>0</x:v>
      </x:c>
      <x:c r="L737" s="8" t="n">
        <x:f>MAX(0,E737+H737-K737)</x:f>
        <x:v>0</x:v>
      </x:c>
      <x:c r="M737" s="8" t="n">
        <x:f>MAX(0,F737+I737-MAX(0,K737-E737-H737))</x:f>
        <x:v>0</x:v>
      </x:c>
      <x:c r="N737" s="8" t="n">
        <x:f>MAX(0,G737+J737-K737)</x:f>
        <x:v>0</x:v>
      </x:c>
      <x:c r="O737" s="8" t="n">
        <x:f>SUM(L737:N737)</x:f>
        <x:v>0</x:v>
      </x:c>
      <x:c r="P737" s="14" t="n">
        <x:f>'Current inventory'!V107</x:f>
        <x:v>0.18469999999999998</x:v>
      </x:c>
      <x:c r="Q737" s="14" t="str">
        <x:f>'Current inventory'!W107</x:f>
        <x:v>n.a.</x:v>
      </x:c>
      <x:c r="R737" s="10" t="n">
        <x:f>L737*P737</x:f>
        <x:v>0</x:v>
      </x:c>
      <x:c r="S737" s="10" t="n">
        <x:f>M737*P737</x:f>
        <x:v>0</x:v>
      </x:c>
      <x:c r="T737" s="10" t="n">
        <x:f>N737*P737</x:f>
        <x:v>0</x:v>
      </x:c>
      <x:c r="U737" s="10" t="n">
        <x:f>O737*P737</x:f>
        <x:v>0</x:v>
      </x:c>
      <x:c r="V737" s="10" t="str">
        <x:f>IF(ISNUMBER(Q737),O737*(Q737-P737),"n.a.")</x:f>
        <x:v>n.a.</x:v>
      </x:c>
      <x:c r="W737" s="10" t="n">
        <x:f>IF(ISNUMBER(Q737),U737,0)</x:f>
        <x:v>0</x:v>
      </x:c>
      <x:c r="X737" s="8" t="n">
        <x:f>MAX(0,K737-SUM(E737:J737))</x:f>
        <x:v>0</x:v>
      </x:c>
      <x:c r="Y737" s="1" t="str">
        <x:f>IF(AND(O737&gt;0,NOT(ISNUMBER(Q737))),"No proposed replacement standard",IF(X737&gt;0,"Demand exceeds available stock",""))</x:f>
      </x:c>
      <x:c r="Z737" s="1" t="n">
        <x:f>IF(ISNUMBER(Q737),1,0)</x:f>
        <x:v>0</x:v>
      </x:c>
    </x:row>
    <x:row r="738" ht="21" customHeight="1">
      <x:c r="A738" s="17" t="n">
        <x:f>Summary!B20</x:f>
        <x:v>46478</x:v>
      </x:c>
      <x:c r="B738" s="1" t="str">
        <x:f>'Current inventory'!A108</x:f>
        <x:v>60</x:v>
      </x:c>
      <x:c r="C738" s="1" t="str">
        <x:f>'Current inventory'!B108</x:f>
        <x:v>800BWHTCSC</x:v>
      </x:c>
      <x:c r="D738" s="7" t="n">
        <x:f>A612</x:f>
        <x:v>46447</x:v>
      </x:c>
      <x:c r="E738" s="8" t="n">
        <x:f>L612</x:f>
        <x:v>0</x:v>
      </x:c>
      <x:c r="F738" s="8" t="n">
        <x:f>M612</x:f>
        <x:v>0</x:v>
      </x:c>
      <x:c r="G738" s="8" t="n">
        <x:f>N612</x:f>
        <x:v>0</x:v>
      </x:c>
      <x:c r="H738" s="8" t="n">
        <x:f>SUMIFS('PO detail'!$U$2:$U$672,'PO detail'!$A$2:$A$672,B738,'PO detail'!$B$2:$B$672,C738,'PO detail'!$G$2:$G$672,"&gt;="&amp;D738,'PO detail'!$G$2:$G$672,"&lt;"&amp;A738)</x:f>
        <x:v>0</x:v>
      </x:c>
      <x:c r="I738" s="8" t="n">
        <x:f>SUMIFS('PO detail'!$V$2:$V$672,'PO detail'!$A$2:$A$672,B738,'PO detail'!$B$2:$B$672,C738,'PO detail'!$G$2:$G$672,"&gt;="&amp;D738,'PO detail'!$G$2:$G$672,"&lt;"&amp;A738)</x:f>
        <x:v>0</x:v>
      </x:c>
      <x:c r="J738" s="8" t="n">
        <x:f>SUMIFS('PO detail'!$W$2:$W$672,'PO detail'!$A$2:$A$672,B738,'PO detail'!$B$2:$B$672,C738,'PO detail'!$G$2:$G$672,"&gt;="&amp;D738,'PO detail'!$G$2:$G$672,"&lt;"&amp;A738)</x:f>
        <x:v>0</x:v>
      </x:c>
      <x:c r="K738" s="8" t="n">
        <x:f>'Current inventory'!E108*Summary!$D$6*(A738-D738)/30.4375</x:f>
        <x:v>0</x:v>
      </x:c>
      <x:c r="L738" s="8" t="n">
        <x:f>MAX(0,E738+H738-K738)</x:f>
        <x:v>0</x:v>
      </x:c>
      <x:c r="M738" s="8" t="n">
        <x:f>MAX(0,F738+I738-MAX(0,K738-E738-H738))</x:f>
        <x:v>0</x:v>
      </x:c>
      <x:c r="N738" s="8" t="n">
        <x:f>MAX(0,G738+J738-K738)</x:f>
        <x:v>0</x:v>
      </x:c>
      <x:c r="O738" s="8" t="n">
        <x:f>SUM(L738:N738)</x:f>
        <x:v>0</x:v>
      </x:c>
      <x:c r="P738" s="14" t="n">
        <x:f>'Current inventory'!V108</x:f>
        <x:v>0.21559999999999999</x:v>
      </x:c>
      <x:c r="Q738" s="14" t="str">
        <x:f>'Current inventory'!W108</x:f>
        <x:v>n.a.</x:v>
      </x:c>
      <x:c r="R738" s="10" t="n">
        <x:f>L738*P738</x:f>
        <x:v>0</x:v>
      </x:c>
      <x:c r="S738" s="10" t="n">
        <x:f>M738*P738</x:f>
        <x:v>0</x:v>
      </x:c>
      <x:c r="T738" s="10" t="n">
        <x:f>N738*P738</x:f>
        <x:v>0</x:v>
      </x:c>
      <x:c r="U738" s="10" t="n">
        <x:f>O738*P738</x:f>
        <x:v>0</x:v>
      </x:c>
      <x:c r="V738" s="10" t="str">
        <x:f>IF(ISNUMBER(Q738),O738*(Q738-P738),"n.a.")</x:f>
        <x:v>n.a.</x:v>
      </x:c>
      <x:c r="W738" s="10" t="n">
        <x:f>IF(ISNUMBER(Q738),U738,0)</x:f>
        <x:v>0</x:v>
      </x:c>
      <x:c r="X738" s="8" t="n">
        <x:f>MAX(0,K738-SUM(E738:J738))</x:f>
        <x:v>0</x:v>
      </x:c>
      <x:c r="Y738" s="1" t="str">
        <x:f>IF(AND(O738&gt;0,NOT(ISNUMBER(Q738))),"No proposed replacement standard",IF(X738&gt;0,"Demand exceeds available stock",""))</x:f>
      </x:c>
      <x:c r="Z738" s="1" t="n">
        <x:f>IF(ISNUMBER(Q738),1,0)</x:f>
        <x:v>0</x:v>
      </x:c>
    </x:row>
    <x:row r="739" ht="21" customHeight="1">
      <x:c r="A739" s="17" t="n">
        <x:f>Summary!B20</x:f>
        <x:v>46478</x:v>
      </x:c>
      <x:c r="B739" s="1" t="str">
        <x:f>'Current inventory'!A109</x:f>
        <x:v>60</x:v>
      </x:c>
      <x:c r="C739" s="1" t="str">
        <x:f>'Current inventory'!B109</x:f>
        <x:v>800BWHTDSC</x:v>
      </x:c>
      <x:c r="D739" s="7" t="n">
        <x:f>A613</x:f>
        <x:v>46447</x:v>
      </x:c>
      <x:c r="E739" s="8" t="n">
        <x:f>L613</x:f>
        <x:v>0</x:v>
      </x:c>
      <x:c r="F739" s="8" t="n">
        <x:f>M613</x:f>
        <x:v>0</x:v>
      </x:c>
      <x:c r="G739" s="8" t="n">
        <x:f>N613</x:f>
        <x:v>0</x:v>
      </x:c>
      <x:c r="H739" s="8" t="n">
        <x:f>SUMIFS('PO detail'!$U$2:$U$672,'PO detail'!$A$2:$A$672,B739,'PO detail'!$B$2:$B$672,C739,'PO detail'!$G$2:$G$672,"&gt;="&amp;D739,'PO detail'!$G$2:$G$672,"&lt;"&amp;A739)</x:f>
        <x:v>0</x:v>
      </x:c>
      <x:c r="I739" s="8" t="n">
        <x:f>SUMIFS('PO detail'!$V$2:$V$672,'PO detail'!$A$2:$A$672,B739,'PO detail'!$B$2:$B$672,C739,'PO detail'!$G$2:$G$672,"&gt;="&amp;D739,'PO detail'!$G$2:$G$672,"&lt;"&amp;A739)</x:f>
        <x:v>0</x:v>
      </x:c>
      <x:c r="J739" s="8" t="n">
        <x:f>SUMIFS('PO detail'!$W$2:$W$672,'PO detail'!$A$2:$A$672,B739,'PO detail'!$B$2:$B$672,C739,'PO detail'!$G$2:$G$672,"&gt;="&amp;D739,'PO detail'!$G$2:$G$672,"&lt;"&amp;A739)</x:f>
        <x:v>0</x:v>
      </x:c>
      <x:c r="K739" s="8" t="n">
        <x:f>'Current inventory'!E109*Summary!$D$6*(A739-D739)/30.4375</x:f>
        <x:v>0</x:v>
      </x:c>
      <x:c r="L739" s="8" t="n">
        <x:f>MAX(0,E739+H739-K739)</x:f>
        <x:v>0</x:v>
      </x:c>
      <x:c r="M739" s="8" t="n">
        <x:f>MAX(0,F739+I739-MAX(0,K739-E739-H739))</x:f>
        <x:v>0</x:v>
      </x:c>
      <x:c r="N739" s="8" t="n">
        <x:f>MAX(0,G739+J739-K739)</x:f>
        <x:v>0</x:v>
      </x:c>
      <x:c r="O739" s="8" t="n">
        <x:f>SUM(L739:N739)</x:f>
        <x:v>0</x:v>
      </x:c>
      <x:c r="P739" s="14" t="n">
        <x:f>'Current inventory'!V109</x:f>
        <x:v>0.38</x:v>
      </x:c>
      <x:c r="Q739" s="14" t="str">
        <x:f>'Current inventory'!W109</x:f>
        <x:v>n.a.</x:v>
      </x:c>
      <x:c r="R739" s="10" t="n">
        <x:f>L739*P739</x:f>
        <x:v>0</x:v>
      </x:c>
      <x:c r="S739" s="10" t="n">
        <x:f>M739*P739</x:f>
        <x:v>0</x:v>
      </x:c>
      <x:c r="T739" s="10" t="n">
        <x:f>N739*P739</x:f>
        <x:v>0</x:v>
      </x:c>
      <x:c r="U739" s="10" t="n">
        <x:f>O739*P739</x:f>
        <x:v>0</x:v>
      </x:c>
      <x:c r="V739" s="10" t="str">
        <x:f>IF(ISNUMBER(Q739),O739*(Q739-P739),"n.a.")</x:f>
        <x:v>n.a.</x:v>
      </x:c>
      <x:c r="W739" s="10" t="n">
        <x:f>IF(ISNUMBER(Q739),U739,0)</x:f>
        <x:v>0</x:v>
      </x:c>
      <x:c r="X739" s="8" t="n">
        <x:f>MAX(0,K739-SUM(E739:J739))</x:f>
        <x:v>0</x:v>
      </x:c>
      <x:c r="Y739" s="1" t="str">
        <x:f>IF(AND(O739&gt;0,NOT(ISNUMBER(Q739))),"No proposed replacement standard",IF(X739&gt;0,"Demand exceeds available stock",""))</x:f>
      </x:c>
      <x:c r="Z739" s="1" t="n">
        <x:f>IF(ISNUMBER(Q739),1,0)</x:f>
        <x:v>0</x:v>
      </x:c>
    </x:row>
    <x:row r="740" ht="21" customHeight="1">
      <x:c r="A740" s="17" t="n">
        <x:f>Summary!B20</x:f>
        <x:v>46478</x:v>
      </x:c>
      <x:c r="B740" s="1" t="str">
        <x:f>'Current inventory'!A110</x:f>
        <x:v>60</x:v>
      </x:c>
      <x:c r="C740" s="1" t="str">
        <x:f>'Current inventory'!B110</x:f>
        <x:v>800BWHTISC</x:v>
      </x:c>
      <x:c r="D740" s="7" t="n">
        <x:f>A614</x:f>
        <x:v>46447</x:v>
      </x:c>
      <x:c r="E740" s="8" t="n">
        <x:f>L614</x:f>
        <x:v>0</x:v>
      </x:c>
      <x:c r="F740" s="8" t="n">
        <x:f>M614</x:f>
        <x:v>0</x:v>
      </x:c>
      <x:c r="G740" s="8" t="n">
        <x:f>N614</x:f>
        <x:v>0</x:v>
      </x:c>
      <x:c r="H740" s="8" t="n">
        <x:f>SUMIFS('PO detail'!$U$2:$U$672,'PO detail'!$A$2:$A$672,B740,'PO detail'!$B$2:$B$672,C740,'PO detail'!$G$2:$G$672,"&gt;="&amp;D740,'PO detail'!$G$2:$G$672,"&lt;"&amp;A740)</x:f>
        <x:v>0</x:v>
      </x:c>
      <x:c r="I740" s="8" t="n">
        <x:f>SUMIFS('PO detail'!$V$2:$V$672,'PO detail'!$A$2:$A$672,B740,'PO detail'!$B$2:$B$672,C740,'PO detail'!$G$2:$G$672,"&gt;="&amp;D740,'PO detail'!$G$2:$G$672,"&lt;"&amp;A740)</x:f>
        <x:v>0</x:v>
      </x:c>
      <x:c r="J740" s="8" t="n">
        <x:f>SUMIFS('PO detail'!$W$2:$W$672,'PO detail'!$A$2:$A$672,B740,'PO detail'!$B$2:$B$672,C740,'PO detail'!$G$2:$G$672,"&gt;="&amp;D740,'PO detail'!$G$2:$G$672,"&lt;"&amp;A740)</x:f>
        <x:v>0</x:v>
      </x:c>
      <x:c r="K740" s="8" t="n">
        <x:f>'Current inventory'!E110*Summary!$D$6*(A740-D740)/30.4375</x:f>
        <x:v>0</x:v>
      </x:c>
      <x:c r="L740" s="8" t="n">
        <x:f>MAX(0,E740+H740-K740)</x:f>
        <x:v>0</x:v>
      </x:c>
      <x:c r="M740" s="8" t="n">
        <x:f>MAX(0,F740+I740-MAX(0,K740-E740-H740))</x:f>
        <x:v>0</x:v>
      </x:c>
      <x:c r="N740" s="8" t="n">
        <x:f>MAX(0,G740+J740-K740)</x:f>
        <x:v>0</x:v>
      </x:c>
      <x:c r="O740" s="8" t="n">
        <x:f>SUM(L740:N740)</x:f>
        <x:v>0</x:v>
      </x:c>
      <x:c r="P740" s="14" t="n">
        <x:f>'Current inventory'!V110</x:f>
        <x:v>0.1797</x:v>
      </x:c>
      <x:c r="Q740" s="14" t="str">
        <x:f>'Current inventory'!W110</x:f>
        <x:v>n.a.</x:v>
      </x:c>
      <x:c r="R740" s="10" t="n">
        <x:f>L740*P740</x:f>
        <x:v>0</x:v>
      </x:c>
      <x:c r="S740" s="10" t="n">
        <x:f>M740*P740</x:f>
        <x:v>0</x:v>
      </x:c>
      <x:c r="T740" s="10" t="n">
        <x:f>N740*P740</x:f>
        <x:v>0</x:v>
      </x:c>
      <x:c r="U740" s="10" t="n">
        <x:f>O740*P740</x:f>
        <x:v>0</x:v>
      </x:c>
      <x:c r="V740" s="10" t="str">
        <x:f>IF(ISNUMBER(Q740),O740*(Q740-P740),"n.a.")</x:f>
        <x:v>n.a.</x:v>
      </x:c>
      <x:c r="W740" s="10" t="n">
        <x:f>IF(ISNUMBER(Q740),U740,0)</x:f>
        <x:v>0</x:v>
      </x:c>
      <x:c r="X740" s="8" t="n">
        <x:f>MAX(0,K740-SUM(E740:J740))</x:f>
        <x:v>0</x:v>
      </x:c>
      <x:c r="Y740" s="1" t="str">
        <x:f>IF(AND(O740&gt;0,NOT(ISNUMBER(Q740))),"No proposed replacement standard",IF(X740&gt;0,"Demand exceeds available stock",""))</x:f>
      </x:c>
      <x:c r="Z740" s="1" t="n">
        <x:f>IF(ISNUMBER(Q740),1,0)</x:f>
        <x:v>0</x:v>
      </x:c>
    </x:row>
    <x:row r="741" ht="21" customHeight="1">
      <x:c r="A741" s="17" t="n">
        <x:f>Summary!B20</x:f>
        <x:v>46478</x:v>
      </x:c>
      <x:c r="B741" s="1" t="str">
        <x:f>'Current inventory'!A111</x:f>
        <x:v>60</x:v>
      </x:c>
      <x:c r="C741" s="1" t="str">
        <x:f>'Current inventory'!B111</x:f>
        <x:v>800FGE</x:v>
      </x:c>
      <x:c r="D741" s="7" t="n">
        <x:f>A615</x:f>
        <x:v>46447</x:v>
      </x:c>
      <x:c r="E741" s="8" t="n">
        <x:f>L615</x:f>
        <x:v>0</x:v>
      </x:c>
      <x:c r="F741" s="8" t="n">
        <x:f>M615</x:f>
        <x:v>0</x:v>
      </x:c>
      <x:c r="G741" s="8" t="n">
        <x:f>N615</x:f>
        <x:v>0</x:v>
      </x:c>
      <x:c r="H741" s="8" t="n">
        <x:f>SUMIFS('PO detail'!$U$2:$U$672,'PO detail'!$A$2:$A$672,B741,'PO detail'!$B$2:$B$672,C741,'PO detail'!$G$2:$G$672,"&gt;="&amp;D741,'PO detail'!$G$2:$G$672,"&lt;"&amp;A741)</x:f>
        <x:v>0</x:v>
      </x:c>
      <x:c r="I741" s="8" t="n">
        <x:f>SUMIFS('PO detail'!$V$2:$V$672,'PO detail'!$A$2:$A$672,B741,'PO detail'!$B$2:$B$672,C741,'PO detail'!$G$2:$G$672,"&gt;="&amp;D741,'PO detail'!$G$2:$G$672,"&lt;"&amp;A741)</x:f>
        <x:v>0</x:v>
      </x:c>
      <x:c r="J741" s="8" t="n">
        <x:f>SUMIFS('PO detail'!$W$2:$W$672,'PO detail'!$A$2:$A$672,B741,'PO detail'!$B$2:$B$672,C741,'PO detail'!$G$2:$G$672,"&gt;="&amp;D741,'PO detail'!$G$2:$G$672,"&lt;"&amp;A741)</x:f>
        <x:v>0</x:v>
      </x:c>
      <x:c r="K741" s="8" t="n">
        <x:f>'Current inventory'!E111*Summary!$D$6*(A741-D741)/30.4375</x:f>
        <x:v>0</x:v>
      </x:c>
      <x:c r="L741" s="8" t="n">
        <x:f>MAX(0,E741+H741-K741)</x:f>
        <x:v>0</x:v>
      </x:c>
      <x:c r="M741" s="8" t="n">
        <x:f>MAX(0,F741+I741-MAX(0,K741-E741-H741))</x:f>
        <x:v>0</x:v>
      </x:c>
      <x:c r="N741" s="8" t="n">
        <x:f>MAX(0,G741+J741-K741)</x:f>
        <x:v>0</x:v>
      </x:c>
      <x:c r="O741" s="8" t="n">
        <x:f>SUM(L741:N741)</x:f>
        <x:v>0</x:v>
      </x:c>
      <x:c r="P741" s="14" t="n">
        <x:f>'Current inventory'!V111</x:f>
        <x:v>10.78</x:v>
      </x:c>
      <x:c r="Q741" s="14" t="str">
        <x:f>'Current inventory'!W111</x:f>
        <x:v>n.a.</x:v>
      </x:c>
      <x:c r="R741" s="10" t="n">
        <x:f>L741*P741</x:f>
        <x:v>0</x:v>
      </x:c>
      <x:c r="S741" s="10" t="n">
        <x:f>M741*P741</x:f>
        <x:v>0</x:v>
      </x:c>
      <x:c r="T741" s="10" t="n">
        <x:f>N741*P741</x:f>
        <x:v>0</x:v>
      </x:c>
      <x:c r="U741" s="10" t="n">
        <x:f>O741*P741</x:f>
        <x:v>0</x:v>
      </x:c>
      <x:c r="V741" s="10" t="str">
        <x:f>IF(ISNUMBER(Q741),O741*(Q741-P741),"n.a.")</x:f>
        <x:v>n.a.</x:v>
      </x:c>
      <x:c r="W741" s="10" t="n">
        <x:f>IF(ISNUMBER(Q741),U741,0)</x:f>
        <x:v>0</x:v>
      </x:c>
      <x:c r="X741" s="8" t="n">
        <x:f>MAX(0,K741-SUM(E741:J741))</x:f>
        <x:v>0</x:v>
      </x:c>
      <x:c r="Y741" s="1" t="str">
        <x:f>IF(AND(O741&gt;0,NOT(ISNUMBER(Q741))),"No proposed replacement standard",IF(X741&gt;0,"Demand exceeds available stock",""))</x:f>
      </x:c>
      <x:c r="Z741" s="1" t="n">
        <x:f>IF(ISNUMBER(Q741),1,0)</x:f>
        <x:v>0</x:v>
      </x:c>
    </x:row>
    <x:row r="742" ht="21" customHeight="1">
      <x:c r="A742" s="17" t="n">
        <x:f>Summary!B20</x:f>
        <x:v>46478</x:v>
      </x:c>
      <x:c r="B742" s="1" t="str">
        <x:f>'Current inventory'!A112</x:f>
        <x:v>60</x:v>
      </x:c>
      <x:c r="C742" s="1" t="str">
        <x:f>'Current inventory'!B112</x:f>
        <x:v>800NAVF</x:v>
      </x:c>
      <x:c r="D742" s="7" t="n">
        <x:f>A616</x:f>
        <x:v>46447</x:v>
      </x:c>
      <x:c r="E742" s="8" t="n">
        <x:f>L616</x:f>
        <x:v>0</x:v>
      </x:c>
      <x:c r="F742" s="8" t="n">
        <x:f>M616</x:f>
        <x:v>0</x:v>
      </x:c>
      <x:c r="G742" s="8" t="n">
        <x:f>N616</x:f>
        <x:v>0</x:v>
      </x:c>
      <x:c r="H742" s="8" t="n">
        <x:f>SUMIFS('PO detail'!$U$2:$U$672,'PO detail'!$A$2:$A$672,B742,'PO detail'!$B$2:$B$672,C742,'PO detail'!$G$2:$G$672,"&gt;="&amp;D742,'PO detail'!$G$2:$G$672,"&lt;"&amp;A742)</x:f>
        <x:v>0</x:v>
      </x:c>
      <x:c r="I742" s="8" t="n">
        <x:f>SUMIFS('PO detail'!$V$2:$V$672,'PO detail'!$A$2:$A$672,B742,'PO detail'!$B$2:$B$672,C742,'PO detail'!$G$2:$G$672,"&gt;="&amp;D742,'PO detail'!$G$2:$G$672,"&lt;"&amp;A742)</x:f>
        <x:v>0</x:v>
      </x:c>
      <x:c r="J742" s="8" t="n">
        <x:f>SUMIFS('PO detail'!$W$2:$W$672,'PO detail'!$A$2:$A$672,B742,'PO detail'!$B$2:$B$672,C742,'PO detail'!$G$2:$G$672,"&gt;="&amp;D742,'PO detail'!$G$2:$G$672,"&lt;"&amp;A742)</x:f>
        <x:v>0</x:v>
      </x:c>
      <x:c r="K742" s="8" t="n">
        <x:f>'Current inventory'!E112*Summary!$D$6*(A742-D742)/30.4375</x:f>
        <x:v>0</x:v>
      </x:c>
      <x:c r="L742" s="8" t="n">
        <x:f>MAX(0,E742+H742-K742)</x:f>
        <x:v>0</x:v>
      </x:c>
      <x:c r="M742" s="8" t="n">
        <x:f>MAX(0,F742+I742-MAX(0,K742-E742-H742))</x:f>
        <x:v>0</x:v>
      </x:c>
      <x:c r="N742" s="8" t="n">
        <x:f>MAX(0,G742+J742-K742)</x:f>
        <x:v>0</x:v>
      </x:c>
      <x:c r="O742" s="8" t="n">
        <x:f>SUM(L742:N742)</x:f>
        <x:v>0</x:v>
      </x:c>
      <x:c r="P742" s="14" t="n">
        <x:f>'Current inventory'!V112</x:f>
        <x:v>7.03</x:v>
      </x:c>
      <x:c r="Q742" s="14" t="str">
        <x:f>'Current inventory'!W112</x:f>
        <x:v>n.a.</x:v>
      </x:c>
      <x:c r="R742" s="10" t="n">
        <x:f>L742*P742</x:f>
        <x:v>0</x:v>
      </x:c>
      <x:c r="S742" s="10" t="n">
        <x:f>M742*P742</x:f>
        <x:v>0</x:v>
      </x:c>
      <x:c r="T742" s="10" t="n">
        <x:f>N742*P742</x:f>
        <x:v>0</x:v>
      </x:c>
      <x:c r="U742" s="10" t="n">
        <x:f>O742*P742</x:f>
        <x:v>0</x:v>
      </x:c>
      <x:c r="V742" s="10" t="str">
        <x:f>IF(ISNUMBER(Q742),O742*(Q742-P742),"n.a.")</x:f>
        <x:v>n.a.</x:v>
      </x:c>
      <x:c r="W742" s="10" t="n">
        <x:f>IF(ISNUMBER(Q742),U742,0)</x:f>
        <x:v>0</x:v>
      </x:c>
      <x:c r="X742" s="8" t="n">
        <x:f>MAX(0,K742-SUM(E742:J742))</x:f>
        <x:v>0</x:v>
      </x:c>
      <x:c r="Y742" s="1" t="str">
        <x:f>IF(AND(O742&gt;0,NOT(ISNUMBER(Q742))),"No proposed replacement standard",IF(X742&gt;0,"Demand exceeds available stock",""))</x:f>
      </x:c>
      <x:c r="Z742" s="1" t="n">
        <x:f>IF(ISNUMBER(Q742),1,0)</x:f>
        <x:v>0</x:v>
      </x:c>
    </x:row>
    <x:row r="743" ht="21" customHeight="1">
      <x:c r="A743" s="17" t="n">
        <x:f>Summary!B20</x:f>
        <x:v>46478</x:v>
      </x:c>
      <x:c r="B743" s="1" t="str">
        <x:f>'Current inventory'!A113</x:f>
        <x:v>60</x:v>
      </x:c>
      <x:c r="C743" s="1" t="str">
        <x:f>'Current inventory'!B113</x:f>
        <x:v>800WHTE</x:v>
      </x:c>
      <x:c r="D743" s="7" t="n">
        <x:f>A617</x:f>
        <x:v>46447</x:v>
      </x:c>
      <x:c r="E743" s="8" t="n">
        <x:f>L617</x:f>
        <x:v>0</x:v>
      </x:c>
      <x:c r="F743" s="8" t="n">
        <x:f>M617</x:f>
        <x:v>0</x:v>
      </x:c>
      <x:c r="G743" s="8" t="n">
        <x:f>N617</x:f>
        <x:v>0</x:v>
      </x:c>
      <x:c r="H743" s="8" t="n">
        <x:f>SUMIFS('PO detail'!$U$2:$U$672,'PO detail'!$A$2:$A$672,B743,'PO detail'!$B$2:$B$672,C743,'PO detail'!$G$2:$G$672,"&gt;="&amp;D743,'PO detail'!$G$2:$G$672,"&lt;"&amp;A743)</x:f>
        <x:v>0</x:v>
      </x:c>
      <x:c r="I743" s="8" t="n">
        <x:f>SUMIFS('PO detail'!$V$2:$V$672,'PO detail'!$A$2:$A$672,B743,'PO detail'!$B$2:$B$672,C743,'PO detail'!$G$2:$G$672,"&gt;="&amp;D743,'PO detail'!$G$2:$G$672,"&lt;"&amp;A743)</x:f>
        <x:v>0</x:v>
      </x:c>
      <x:c r="J743" s="8" t="n">
        <x:f>SUMIFS('PO detail'!$W$2:$W$672,'PO detail'!$A$2:$A$672,B743,'PO detail'!$B$2:$B$672,C743,'PO detail'!$G$2:$G$672,"&gt;="&amp;D743,'PO detail'!$G$2:$G$672,"&lt;"&amp;A743)</x:f>
        <x:v>0</x:v>
      </x:c>
      <x:c r="K743" s="8" t="n">
        <x:f>'Current inventory'!E113*Summary!$D$6*(A743-D743)/30.4375</x:f>
        <x:v>0</x:v>
      </x:c>
      <x:c r="L743" s="8" t="n">
        <x:f>MAX(0,E743+H743-K743)</x:f>
        <x:v>0</x:v>
      </x:c>
      <x:c r="M743" s="8" t="n">
        <x:f>MAX(0,F743+I743-MAX(0,K743-E743-H743))</x:f>
        <x:v>0</x:v>
      </x:c>
      <x:c r="N743" s="8" t="n">
        <x:f>MAX(0,G743+J743-K743)</x:f>
        <x:v>0</x:v>
      </x:c>
      <x:c r="O743" s="8" t="n">
        <x:f>SUM(L743:N743)</x:f>
        <x:v>0</x:v>
      </x:c>
      <x:c r="P743" s="14" t="n">
        <x:f>'Current inventory'!V113</x:f>
        <x:v>11.44</x:v>
      </x:c>
      <x:c r="Q743" s="14" t="str">
        <x:f>'Current inventory'!W113</x:f>
        <x:v>n.a.</x:v>
      </x:c>
      <x:c r="R743" s="10" t="n">
        <x:f>L743*P743</x:f>
        <x:v>0</x:v>
      </x:c>
      <x:c r="S743" s="10" t="n">
        <x:f>M743*P743</x:f>
        <x:v>0</x:v>
      </x:c>
      <x:c r="T743" s="10" t="n">
        <x:f>N743*P743</x:f>
        <x:v>0</x:v>
      </x:c>
      <x:c r="U743" s="10" t="n">
        <x:f>O743*P743</x:f>
        <x:v>0</x:v>
      </x:c>
      <x:c r="V743" s="10" t="str">
        <x:f>IF(ISNUMBER(Q743),O743*(Q743-P743),"n.a.")</x:f>
        <x:v>n.a.</x:v>
      </x:c>
      <x:c r="W743" s="10" t="n">
        <x:f>IF(ISNUMBER(Q743),U743,0)</x:f>
        <x:v>0</x:v>
      </x:c>
      <x:c r="X743" s="8" t="n">
        <x:f>MAX(0,K743-SUM(E743:J743))</x:f>
        <x:v>0</x:v>
      </x:c>
      <x:c r="Y743" s="1" t="str">
        <x:f>IF(AND(O743&gt;0,NOT(ISNUMBER(Q743))),"No proposed replacement standard",IF(X743&gt;0,"Demand exceeds available stock",""))</x:f>
      </x:c>
      <x:c r="Z743" s="1" t="n">
        <x:f>IF(ISNUMBER(Q743),1,0)</x:f>
        <x:v>0</x:v>
      </x:c>
    </x:row>
    <x:row r="744" ht="21" customHeight="1">
      <x:c r="A744" s="17" t="n">
        <x:f>Summary!B20</x:f>
        <x:v>46478</x:v>
      </x:c>
      <x:c r="B744" s="1" t="str">
        <x:f>'Current inventory'!A114</x:f>
        <x:v>60</x:v>
      </x:c>
      <x:c r="C744" s="1" t="str">
        <x:f>'Current inventory'!B114</x:f>
        <x:v>800BLKTB</x:v>
      </x:c>
      <x:c r="D744" s="7" t="n">
        <x:f>A618</x:f>
        <x:v>46447</x:v>
      </x:c>
      <x:c r="E744" s="8" t="n">
        <x:f>L618</x:f>
        <x:v>0</x:v>
      </x:c>
      <x:c r="F744" s="8" t="n">
        <x:f>M618</x:f>
        <x:v>0</x:v>
      </x:c>
      <x:c r="G744" s="8" t="n">
        <x:f>N618</x:f>
        <x:v>0</x:v>
      </x:c>
      <x:c r="H744" s="8" t="n">
        <x:f>SUMIFS('PO detail'!$U$2:$U$672,'PO detail'!$A$2:$A$672,B744,'PO detail'!$B$2:$B$672,C744,'PO detail'!$G$2:$G$672,"&gt;="&amp;D744,'PO detail'!$G$2:$G$672,"&lt;"&amp;A744)</x:f>
        <x:v>0</x:v>
      </x:c>
      <x:c r="I744" s="8" t="n">
        <x:f>SUMIFS('PO detail'!$V$2:$V$672,'PO detail'!$A$2:$A$672,B744,'PO detail'!$B$2:$B$672,C744,'PO detail'!$G$2:$G$672,"&gt;="&amp;D744,'PO detail'!$G$2:$G$672,"&lt;"&amp;A744)</x:f>
        <x:v>0</x:v>
      </x:c>
      <x:c r="J744" s="8" t="n">
        <x:f>SUMIFS('PO detail'!$W$2:$W$672,'PO detail'!$A$2:$A$672,B744,'PO detail'!$B$2:$B$672,C744,'PO detail'!$G$2:$G$672,"&gt;="&amp;D744,'PO detail'!$G$2:$G$672,"&lt;"&amp;A744)</x:f>
        <x:v>0</x:v>
      </x:c>
      <x:c r="K744" s="8" t="n">
        <x:f>'Current inventory'!E114*Summary!$D$6*(A744-D744)/30.4375</x:f>
        <x:v>0</x:v>
      </x:c>
      <x:c r="L744" s="8" t="n">
        <x:f>MAX(0,E744+H744-K744)</x:f>
        <x:v>0</x:v>
      </x:c>
      <x:c r="M744" s="8" t="n">
        <x:f>MAX(0,F744+I744-MAX(0,K744-E744-H744))</x:f>
        <x:v>0</x:v>
      </x:c>
      <x:c r="N744" s="8" t="n">
        <x:f>MAX(0,G744+J744-K744)</x:f>
        <x:v>0</x:v>
      </x:c>
      <x:c r="O744" s="8" t="n">
        <x:f>SUM(L744:N744)</x:f>
        <x:v>0</x:v>
      </x:c>
      <x:c r="P744" s="14" t="n">
        <x:f>'Current inventory'!V114</x:f>
        <x:v>0</x:v>
      </x:c>
      <x:c r="Q744" s="14" t="str">
        <x:f>'Current inventory'!W114</x:f>
        <x:v>n.a.</x:v>
      </x:c>
      <x:c r="R744" s="10" t="n">
        <x:f>L744*P744</x:f>
        <x:v>0</x:v>
      </x:c>
      <x:c r="S744" s="10" t="n">
        <x:f>M744*P744</x:f>
        <x:v>0</x:v>
      </x:c>
      <x:c r="T744" s="10" t="n">
        <x:f>N744*P744</x:f>
        <x:v>0</x:v>
      </x:c>
      <x:c r="U744" s="10" t="n">
        <x:f>O744*P744</x:f>
        <x:v>0</x:v>
      </x:c>
      <x:c r="V744" s="10" t="str">
        <x:f>IF(ISNUMBER(Q744),O744*(Q744-P744),"n.a.")</x:f>
        <x:v>n.a.</x:v>
      </x:c>
      <x:c r="W744" s="10" t="n">
        <x:f>IF(ISNUMBER(Q744),U744,0)</x:f>
        <x:v>0</x:v>
      </x:c>
      <x:c r="X744" s="8" t="n">
        <x:f>MAX(0,K744-SUM(E744:J744))</x:f>
        <x:v>0</x:v>
      </x:c>
      <x:c r="Y744" s="1" t="str">
        <x:f>IF(AND(O744&gt;0,NOT(ISNUMBER(Q744))),"No proposed replacement standard",IF(X744&gt;0,"Demand exceeds available stock",""))</x:f>
      </x:c>
      <x:c r="Z744" s="1" t="n">
        <x:f>IF(ISNUMBER(Q744),1,0)</x:f>
        <x:v>0</x:v>
      </x:c>
    </x:row>
    <x:row r="745" ht="21" customHeight="1">
      <x:c r="A745" s="17" t="n">
        <x:f>Summary!B20</x:f>
        <x:v>46478</x:v>
      </x:c>
      <x:c r="B745" s="1" t="str">
        <x:f>'Current inventory'!A115</x:f>
        <x:v>60</x:v>
      </x:c>
      <x:c r="C745" s="1" t="str">
        <x:f>'Current inventory'!B115</x:f>
        <x:v>800BMARCSC</x:v>
      </x:c>
      <x:c r="D745" s="7" t="n">
        <x:f>A619</x:f>
        <x:v>46447</x:v>
      </x:c>
      <x:c r="E745" s="8" t="n">
        <x:f>L619</x:f>
        <x:v>0</x:v>
      </x:c>
      <x:c r="F745" s="8" t="n">
        <x:f>M619</x:f>
        <x:v>0</x:v>
      </x:c>
      <x:c r="G745" s="8" t="n">
        <x:f>N619</x:f>
        <x:v>1300</x:v>
      </x:c>
      <x:c r="H745" s="8" t="n">
        <x:f>SUMIFS('PO detail'!$U$2:$U$672,'PO detail'!$A$2:$A$672,B745,'PO detail'!$B$2:$B$672,C745,'PO detail'!$G$2:$G$672,"&gt;="&amp;D745,'PO detail'!$G$2:$G$672,"&lt;"&amp;A745)</x:f>
        <x:v>0</x:v>
      </x:c>
      <x:c r="I745" s="8" t="n">
        <x:f>SUMIFS('PO detail'!$V$2:$V$672,'PO detail'!$A$2:$A$672,B745,'PO detail'!$B$2:$B$672,C745,'PO detail'!$G$2:$G$672,"&gt;="&amp;D745,'PO detail'!$G$2:$G$672,"&lt;"&amp;A745)</x:f>
        <x:v>0</x:v>
      </x:c>
      <x:c r="J745" s="8" t="n">
        <x:f>SUMIFS('PO detail'!$W$2:$W$672,'PO detail'!$A$2:$A$672,B745,'PO detail'!$B$2:$B$672,C745,'PO detail'!$G$2:$G$672,"&gt;="&amp;D745,'PO detail'!$G$2:$G$672,"&lt;"&amp;A745)</x:f>
        <x:v>0</x:v>
      </x:c>
      <x:c r="K745" s="8" t="n">
        <x:f>'Current inventory'!E115*Summary!$D$6*(A745-D745)/30.4375</x:f>
        <x:v>0</x:v>
      </x:c>
      <x:c r="L745" s="8" t="n">
        <x:f>MAX(0,E745+H745-K745)</x:f>
        <x:v>0</x:v>
      </x:c>
      <x:c r="M745" s="8" t="n">
        <x:f>MAX(0,F745+I745-MAX(0,K745-E745-H745))</x:f>
        <x:v>0</x:v>
      </x:c>
      <x:c r="N745" s="8" t="n">
        <x:f>MAX(0,G745+J745-K745)</x:f>
        <x:v>1300</x:v>
      </x:c>
      <x:c r="O745" s="8" t="n">
        <x:f>SUM(L745:N745)</x:f>
        <x:v>1300</x:v>
      </x:c>
      <x:c r="P745" s="14" t="n">
        <x:f>'Current inventory'!V115</x:f>
        <x:v>0.23329999999999998</x:v>
      </x:c>
      <x:c r="Q745" s="14" t="str">
        <x:f>'Current inventory'!W115</x:f>
        <x:v>n.a.</x:v>
      </x:c>
      <x:c r="R745" s="10" t="n">
        <x:f>L745*P745</x:f>
        <x:v>0</x:v>
      </x:c>
      <x:c r="S745" s="10" t="n">
        <x:f>M745*P745</x:f>
        <x:v>0</x:v>
      </x:c>
      <x:c r="T745" s="10" t="n">
        <x:f>N745*P745</x:f>
        <x:v>303.28999999999996</x:v>
      </x:c>
      <x:c r="U745" s="10" t="n">
        <x:f>O745*P745</x:f>
        <x:v>303.28999999999996</x:v>
      </x:c>
      <x:c r="V745" s="10" t="str">
        <x:f>IF(ISNUMBER(Q745),O745*(Q745-P745),"n.a.")</x:f>
        <x:v>n.a.</x:v>
      </x:c>
      <x:c r="W745" s="10" t="n">
        <x:f>IF(ISNUMBER(Q745),U745,0)</x:f>
        <x:v>0</x:v>
      </x:c>
      <x:c r="X745" s="8" t="n">
        <x:f>MAX(0,K745-SUM(E745:J745))</x:f>
        <x:v>0</x:v>
      </x:c>
      <x:c r="Y745" s="1" t="str">
        <x:f>IF(AND(O745&gt;0,NOT(ISNUMBER(Q745))),"No proposed replacement standard",IF(X745&gt;0,"Demand exceeds available stock",""))</x:f>
        <x:v>No proposed replacement standard</x:v>
      </x:c>
      <x:c r="Z745" s="1" t="n">
        <x:f>IF(ISNUMBER(Q745),1,0)</x:f>
        <x:v>0</x:v>
      </x:c>
    </x:row>
    <x:row r="746" ht="21" customHeight="1">
      <x:c r="A746" s="17" t="n">
        <x:f>Summary!B20</x:f>
        <x:v>46478</x:v>
      </x:c>
      <x:c r="B746" s="1" t="str">
        <x:f>'Current inventory'!A116</x:f>
        <x:v>60</x:v>
      </x:c>
      <x:c r="C746" s="1" t="str">
        <x:f>'Current inventory'!B116</x:f>
        <x:v>800BREDASC</x:v>
      </x:c>
      <x:c r="D746" s="7" t="n">
        <x:f>A620</x:f>
        <x:v>46447</x:v>
      </x:c>
      <x:c r="E746" s="8" t="n">
        <x:f>L620</x:f>
        <x:v>0</x:v>
      </x:c>
      <x:c r="F746" s="8" t="n">
        <x:f>M620</x:f>
        <x:v>0</x:v>
      </x:c>
      <x:c r="G746" s="8" t="n">
        <x:f>N620</x:f>
        <x:v>0</x:v>
      </x:c>
      <x:c r="H746" s="8" t="n">
        <x:f>SUMIFS('PO detail'!$U$2:$U$672,'PO detail'!$A$2:$A$672,B746,'PO detail'!$B$2:$B$672,C746,'PO detail'!$G$2:$G$672,"&gt;="&amp;D746,'PO detail'!$G$2:$G$672,"&lt;"&amp;A746)</x:f>
        <x:v>0</x:v>
      </x:c>
      <x:c r="I746" s="8" t="n">
        <x:f>SUMIFS('PO detail'!$V$2:$V$672,'PO detail'!$A$2:$A$672,B746,'PO detail'!$B$2:$B$672,C746,'PO detail'!$G$2:$G$672,"&gt;="&amp;D746,'PO detail'!$G$2:$G$672,"&lt;"&amp;A746)</x:f>
        <x:v>0</x:v>
      </x:c>
      <x:c r="J746" s="8" t="n">
        <x:f>SUMIFS('PO detail'!$W$2:$W$672,'PO detail'!$A$2:$A$672,B746,'PO detail'!$B$2:$B$672,C746,'PO detail'!$G$2:$G$672,"&gt;="&amp;D746,'PO detail'!$G$2:$G$672,"&lt;"&amp;A746)</x:f>
        <x:v>0</x:v>
      </x:c>
      <x:c r="K746" s="8" t="n">
        <x:f>'Current inventory'!E116*Summary!$D$6*(A746-D746)/30.4375</x:f>
        <x:v>0</x:v>
      </x:c>
      <x:c r="L746" s="8" t="n">
        <x:f>MAX(0,E746+H746-K746)</x:f>
        <x:v>0</x:v>
      </x:c>
      <x:c r="M746" s="8" t="n">
        <x:f>MAX(0,F746+I746-MAX(0,K746-E746-H746))</x:f>
        <x:v>0</x:v>
      </x:c>
      <x:c r="N746" s="8" t="n">
        <x:f>MAX(0,G746+J746-K746)</x:f>
        <x:v>0</x:v>
      </x:c>
      <x:c r="O746" s="8" t="n">
        <x:f>SUM(L746:N746)</x:f>
        <x:v>0</x:v>
      </x:c>
      <x:c r="P746" s="14" t="n">
        <x:f>'Current inventory'!V116</x:f>
        <x:v>0.07919999999999999</x:v>
      </x:c>
      <x:c r="Q746" s="14" t="str">
        <x:f>'Current inventory'!W116</x:f>
        <x:v>n.a.</x:v>
      </x:c>
      <x:c r="R746" s="10" t="n">
        <x:f>L746*P746</x:f>
        <x:v>0</x:v>
      </x:c>
      <x:c r="S746" s="10" t="n">
        <x:f>M746*P746</x:f>
        <x:v>0</x:v>
      </x:c>
      <x:c r="T746" s="10" t="n">
        <x:f>N746*P746</x:f>
        <x:v>0</x:v>
      </x:c>
      <x:c r="U746" s="10" t="n">
        <x:f>O746*P746</x:f>
        <x:v>0</x:v>
      </x:c>
      <x:c r="V746" s="10" t="str">
        <x:f>IF(ISNUMBER(Q746),O746*(Q746-P746),"n.a.")</x:f>
        <x:v>n.a.</x:v>
      </x:c>
      <x:c r="W746" s="10" t="n">
        <x:f>IF(ISNUMBER(Q746),U746,0)</x:f>
        <x:v>0</x:v>
      </x:c>
      <x:c r="X746" s="8" t="n">
        <x:f>MAX(0,K746-SUM(E746:J746))</x:f>
        <x:v>0</x:v>
      </x:c>
      <x:c r="Y746" s="1" t="str">
        <x:f>IF(AND(O746&gt;0,NOT(ISNUMBER(Q746))),"No proposed replacement standard",IF(X746&gt;0,"Demand exceeds available stock",""))</x:f>
      </x:c>
      <x:c r="Z746" s="1" t="n">
        <x:f>IF(ISNUMBER(Q746),1,0)</x:f>
        <x:v>0</x:v>
      </x:c>
    </x:row>
    <x:row r="747" ht="21" customHeight="1">
      <x:c r="A747" s="17" t="n">
        <x:f>Summary!B20</x:f>
        <x:v>46478</x:v>
      </x:c>
      <x:c r="B747" s="1" t="str">
        <x:f>'Current inventory'!A117</x:f>
        <x:v>60</x:v>
      </x:c>
      <x:c r="C747" s="1" t="str">
        <x:f>'Current inventory'!B117</x:f>
        <x:v>800BREDBRC</x:v>
      </x:c>
      <x:c r="D747" s="7" t="n">
        <x:f>A621</x:f>
        <x:v>46447</x:v>
      </x:c>
      <x:c r="E747" s="8" t="n">
        <x:f>L621</x:f>
        <x:v>0</x:v>
      </x:c>
      <x:c r="F747" s="8" t="n">
        <x:f>M621</x:f>
        <x:v>0</x:v>
      </x:c>
      <x:c r="G747" s="8" t="n">
        <x:f>N621</x:f>
        <x:v>0</x:v>
      </x:c>
      <x:c r="H747" s="8" t="n">
        <x:f>SUMIFS('PO detail'!$U$2:$U$672,'PO detail'!$A$2:$A$672,B747,'PO detail'!$B$2:$B$672,C747,'PO detail'!$G$2:$G$672,"&gt;="&amp;D747,'PO detail'!$G$2:$G$672,"&lt;"&amp;A747)</x:f>
        <x:v>0</x:v>
      </x:c>
      <x:c r="I747" s="8" t="n">
        <x:f>SUMIFS('PO detail'!$V$2:$V$672,'PO detail'!$A$2:$A$672,B747,'PO detail'!$B$2:$B$672,C747,'PO detail'!$G$2:$G$672,"&gt;="&amp;D747,'PO detail'!$G$2:$G$672,"&lt;"&amp;A747)</x:f>
        <x:v>0</x:v>
      </x:c>
      <x:c r="J747" s="8" t="n">
        <x:f>SUMIFS('PO detail'!$W$2:$W$672,'PO detail'!$A$2:$A$672,B747,'PO detail'!$B$2:$B$672,C747,'PO detail'!$G$2:$G$672,"&gt;="&amp;D747,'PO detail'!$G$2:$G$672,"&lt;"&amp;A747)</x:f>
        <x:v>0</x:v>
      </x:c>
      <x:c r="K747" s="8" t="n">
        <x:f>'Current inventory'!E117*Summary!$D$6*(A747-D747)/30.4375</x:f>
        <x:v>0</x:v>
      </x:c>
      <x:c r="L747" s="8" t="n">
        <x:f>MAX(0,E747+H747-K747)</x:f>
        <x:v>0</x:v>
      </x:c>
      <x:c r="M747" s="8" t="n">
        <x:f>MAX(0,F747+I747-MAX(0,K747-E747-H747))</x:f>
        <x:v>0</x:v>
      </x:c>
      <x:c r="N747" s="8" t="n">
        <x:f>MAX(0,G747+J747-K747)</x:f>
        <x:v>0</x:v>
      </x:c>
      <x:c r="O747" s="8" t="n">
        <x:f>SUM(L747:N747)</x:f>
        <x:v>0</x:v>
      </x:c>
      <x:c r="P747" s="14" t="n">
        <x:f>'Current inventory'!V117</x:f>
        <x:v>0.0898</x:v>
      </x:c>
      <x:c r="Q747" s="14" t="str">
        <x:f>'Current inventory'!W117</x:f>
        <x:v>n.a.</x:v>
      </x:c>
      <x:c r="R747" s="10" t="n">
        <x:f>L747*P747</x:f>
        <x:v>0</x:v>
      </x:c>
      <x:c r="S747" s="10" t="n">
        <x:f>M747*P747</x:f>
        <x:v>0</x:v>
      </x:c>
      <x:c r="T747" s="10" t="n">
        <x:f>N747*P747</x:f>
        <x:v>0</x:v>
      </x:c>
      <x:c r="U747" s="10" t="n">
        <x:f>O747*P747</x:f>
        <x:v>0</x:v>
      </x:c>
      <x:c r="V747" s="10" t="str">
        <x:f>IF(ISNUMBER(Q747),O747*(Q747-P747),"n.a.")</x:f>
        <x:v>n.a.</x:v>
      </x:c>
      <x:c r="W747" s="10" t="n">
        <x:f>IF(ISNUMBER(Q747),U747,0)</x:f>
        <x:v>0</x:v>
      </x:c>
      <x:c r="X747" s="8" t="n">
        <x:f>MAX(0,K747-SUM(E747:J747))</x:f>
        <x:v>0</x:v>
      </x:c>
      <x:c r="Y747" s="1" t="str">
        <x:f>IF(AND(O747&gt;0,NOT(ISNUMBER(Q747))),"No proposed replacement standard",IF(X747&gt;0,"Demand exceeds available stock",""))</x:f>
      </x:c>
      <x:c r="Z747" s="1" t="n">
        <x:f>IF(ISNUMBER(Q747),1,0)</x:f>
        <x:v>0</x:v>
      </x:c>
    </x:row>
    <x:row r="748" ht="21" customHeight="1">
      <x:c r="A748" s="17" t="n">
        <x:f>Summary!B20</x:f>
        <x:v>46478</x:v>
      </x:c>
      <x:c r="B748" s="1" t="str">
        <x:f>'Current inventory'!A118</x:f>
        <x:v>60</x:v>
      </x:c>
      <x:c r="C748" s="1" t="str">
        <x:f>'Current inventory'!B118</x:f>
        <x:v>800WBLKBRC</x:v>
      </x:c>
      <x:c r="D748" s="7" t="n">
        <x:f>A622</x:f>
        <x:v>46447</x:v>
      </x:c>
      <x:c r="E748" s="8" t="n">
        <x:f>L622</x:f>
        <x:v>0</x:v>
      </x:c>
      <x:c r="F748" s="8" t="n">
        <x:f>M622</x:f>
        <x:v>0</x:v>
      </x:c>
      <x:c r="G748" s="8" t="n">
        <x:f>N622</x:f>
        <x:v>0</x:v>
      </x:c>
      <x:c r="H748" s="8" t="n">
        <x:f>SUMIFS('PO detail'!$U$2:$U$672,'PO detail'!$A$2:$A$672,B748,'PO detail'!$B$2:$B$672,C748,'PO detail'!$G$2:$G$672,"&gt;="&amp;D748,'PO detail'!$G$2:$G$672,"&lt;"&amp;A748)</x:f>
        <x:v>0</x:v>
      </x:c>
      <x:c r="I748" s="8" t="n">
        <x:f>SUMIFS('PO detail'!$V$2:$V$672,'PO detail'!$A$2:$A$672,B748,'PO detail'!$B$2:$B$672,C748,'PO detail'!$G$2:$G$672,"&gt;="&amp;D748,'PO detail'!$G$2:$G$672,"&lt;"&amp;A748)</x:f>
        <x:v>0</x:v>
      </x:c>
      <x:c r="J748" s="8" t="n">
        <x:f>SUMIFS('PO detail'!$W$2:$W$672,'PO detail'!$A$2:$A$672,B748,'PO detail'!$B$2:$B$672,C748,'PO detail'!$G$2:$G$672,"&gt;="&amp;D748,'PO detail'!$G$2:$G$672,"&lt;"&amp;A748)</x:f>
        <x:v>0</x:v>
      </x:c>
      <x:c r="K748" s="8" t="n">
        <x:f>'Current inventory'!E118*Summary!$D$6*(A748-D748)/30.4375</x:f>
        <x:v>0</x:v>
      </x:c>
      <x:c r="L748" s="8" t="n">
        <x:f>MAX(0,E748+H748-K748)</x:f>
        <x:v>0</x:v>
      </x:c>
      <x:c r="M748" s="8" t="n">
        <x:f>MAX(0,F748+I748-MAX(0,K748-E748-H748))</x:f>
        <x:v>0</x:v>
      </x:c>
      <x:c r="N748" s="8" t="n">
        <x:f>MAX(0,G748+J748-K748)</x:f>
        <x:v>0</x:v>
      </x:c>
      <x:c r="O748" s="8" t="n">
        <x:f>SUM(L748:N748)</x:f>
        <x:v>0</x:v>
      </x:c>
      <x:c r="P748" s="14" t="n">
        <x:f>'Current inventory'!V118</x:f>
        <x:v>0.14150000000000001</x:v>
      </x:c>
      <x:c r="Q748" s="14" t="str">
        <x:f>'Current inventory'!W118</x:f>
        <x:v>n.a.</x:v>
      </x:c>
      <x:c r="R748" s="10" t="n">
        <x:f>L748*P748</x:f>
        <x:v>0</x:v>
      </x:c>
      <x:c r="S748" s="10" t="n">
        <x:f>M748*P748</x:f>
        <x:v>0</x:v>
      </x:c>
      <x:c r="T748" s="10" t="n">
        <x:f>N748*P748</x:f>
        <x:v>0</x:v>
      </x:c>
      <x:c r="U748" s="10" t="n">
        <x:f>O748*P748</x:f>
        <x:v>0</x:v>
      </x:c>
      <x:c r="V748" s="10" t="str">
        <x:f>IF(ISNUMBER(Q748),O748*(Q748-P748),"n.a.")</x:f>
        <x:v>n.a.</x:v>
      </x:c>
      <x:c r="W748" s="10" t="n">
        <x:f>IF(ISNUMBER(Q748),U748,0)</x:f>
        <x:v>0</x:v>
      </x:c>
      <x:c r="X748" s="8" t="n">
        <x:f>MAX(0,K748-SUM(E748:J748))</x:f>
        <x:v>0</x:v>
      </x:c>
      <x:c r="Y748" s="1" t="str">
        <x:f>IF(AND(O748&gt;0,NOT(ISNUMBER(Q748))),"No proposed replacement standard",IF(X748&gt;0,"Demand exceeds available stock",""))</x:f>
      </x:c>
      <x:c r="Z748" s="1" t="n">
        <x:f>IF(ISNUMBER(Q748),1,0)</x:f>
        <x:v>0</x:v>
      </x:c>
    </x:row>
    <x:row r="749" ht="21" customHeight="1">
      <x:c r="A749" s="17" t="n">
        <x:f>Summary!B20</x:f>
        <x:v>46478</x:v>
      </x:c>
      <x:c r="B749" s="1" t="str">
        <x:f>'Current inventory'!A119</x:f>
        <x:v>60</x:v>
      </x:c>
      <x:c r="C749" s="1" t="str">
        <x:f>'Current inventory'!B119</x:f>
        <x:v>800WFGASC</x:v>
      </x:c>
      <x:c r="D749" s="7" t="n">
        <x:f>A623</x:f>
        <x:v>46447</x:v>
      </x:c>
      <x:c r="E749" s="8" t="n">
        <x:f>L623</x:f>
        <x:v>0</x:v>
      </x:c>
      <x:c r="F749" s="8" t="n">
        <x:f>M623</x:f>
        <x:v>0</x:v>
      </x:c>
      <x:c r="G749" s="8" t="n">
        <x:f>N623</x:f>
        <x:v>0</x:v>
      </x:c>
      <x:c r="H749" s="8" t="n">
        <x:f>SUMIFS('PO detail'!$U$2:$U$672,'PO detail'!$A$2:$A$672,B749,'PO detail'!$B$2:$B$672,C749,'PO detail'!$G$2:$G$672,"&gt;="&amp;D749,'PO detail'!$G$2:$G$672,"&lt;"&amp;A749)</x:f>
        <x:v>0</x:v>
      </x:c>
      <x:c r="I749" s="8" t="n">
        <x:f>SUMIFS('PO detail'!$V$2:$V$672,'PO detail'!$A$2:$A$672,B749,'PO detail'!$B$2:$B$672,C749,'PO detail'!$G$2:$G$672,"&gt;="&amp;D749,'PO detail'!$G$2:$G$672,"&lt;"&amp;A749)</x:f>
        <x:v>0</x:v>
      </x:c>
      <x:c r="J749" s="8" t="n">
        <x:f>SUMIFS('PO detail'!$W$2:$W$672,'PO detail'!$A$2:$A$672,B749,'PO detail'!$B$2:$B$672,C749,'PO detail'!$G$2:$G$672,"&gt;="&amp;D749,'PO detail'!$G$2:$G$672,"&lt;"&amp;A749)</x:f>
        <x:v>0</x:v>
      </x:c>
      <x:c r="K749" s="8" t="n">
        <x:f>'Current inventory'!E119*Summary!$D$6*(A749-D749)/30.4375</x:f>
        <x:v>0</x:v>
      </x:c>
      <x:c r="L749" s="8" t="n">
        <x:f>MAX(0,E749+H749-K749)</x:f>
        <x:v>0</x:v>
      </x:c>
      <x:c r="M749" s="8" t="n">
        <x:f>MAX(0,F749+I749-MAX(0,K749-E749-H749))</x:f>
        <x:v>0</x:v>
      </x:c>
      <x:c r="N749" s="8" t="n">
        <x:f>MAX(0,G749+J749-K749)</x:f>
        <x:v>0</x:v>
      </x:c>
      <x:c r="O749" s="8" t="n">
        <x:f>SUM(L749:N749)</x:f>
        <x:v>0</x:v>
      </x:c>
      <x:c r="P749" s="14" t="n">
        <x:f>'Current inventory'!V119</x:f>
        <x:v>0.1456</x:v>
      </x:c>
      <x:c r="Q749" s="14" t="str">
        <x:f>'Current inventory'!W119</x:f>
        <x:v>n.a.</x:v>
      </x:c>
      <x:c r="R749" s="10" t="n">
        <x:f>L749*P749</x:f>
        <x:v>0</x:v>
      </x:c>
      <x:c r="S749" s="10" t="n">
        <x:f>M749*P749</x:f>
        <x:v>0</x:v>
      </x:c>
      <x:c r="T749" s="10" t="n">
        <x:f>N749*P749</x:f>
        <x:v>0</x:v>
      </x:c>
      <x:c r="U749" s="10" t="n">
        <x:f>O749*P749</x:f>
        <x:v>0</x:v>
      </x:c>
      <x:c r="V749" s="10" t="str">
        <x:f>IF(ISNUMBER(Q749),O749*(Q749-P749),"n.a.")</x:f>
        <x:v>n.a.</x:v>
      </x:c>
      <x:c r="W749" s="10" t="n">
        <x:f>IF(ISNUMBER(Q749),U749,0)</x:f>
        <x:v>0</x:v>
      </x:c>
      <x:c r="X749" s="8" t="n">
        <x:f>MAX(0,K749-SUM(E749:J749))</x:f>
        <x:v>0</x:v>
      </x:c>
      <x:c r="Y749" s="1" t="str">
        <x:f>IF(AND(O749&gt;0,NOT(ISNUMBER(Q749))),"No proposed replacement standard",IF(X749&gt;0,"Demand exceeds available stock",""))</x:f>
      </x:c>
      <x:c r="Z749" s="1" t="n">
        <x:f>IF(ISNUMBER(Q749),1,0)</x:f>
        <x:v>0</x:v>
      </x:c>
    </x:row>
    <x:row r="750" ht="21" customHeight="1">
      <x:c r="A750" s="17" t="n">
        <x:f>Summary!B20</x:f>
        <x:v>46478</x:v>
      </x:c>
      <x:c r="B750" s="1" t="str">
        <x:f>'Current inventory'!A120</x:f>
        <x:v>60</x:v>
      </x:c>
      <x:c r="C750" s="1" t="str">
        <x:f>'Current inventory'!B120</x:f>
        <x:v>800WFGBRC</x:v>
      </x:c>
      <x:c r="D750" s="7" t="n">
        <x:f>A624</x:f>
        <x:v>46447</x:v>
      </x:c>
      <x:c r="E750" s="8" t="n">
        <x:f>L624</x:f>
        <x:v>0</x:v>
      </x:c>
      <x:c r="F750" s="8" t="n">
        <x:f>M624</x:f>
        <x:v>0</x:v>
      </x:c>
      <x:c r="G750" s="8" t="n">
        <x:f>N624</x:f>
        <x:v>0</x:v>
      </x:c>
      <x:c r="H750" s="8" t="n">
        <x:f>SUMIFS('PO detail'!$U$2:$U$672,'PO detail'!$A$2:$A$672,B750,'PO detail'!$B$2:$B$672,C750,'PO detail'!$G$2:$G$672,"&gt;="&amp;D750,'PO detail'!$G$2:$G$672,"&lt;"&amp;A750)</x:f>
        <x:v>0</x:v>
      </x:c>
      <x:c r="I750" s="8" t="n">
        <x:f>SUMIFS('PO detail'!$V$2:$V$672,'PO detail'!$A$2:$A$672,B750,'PO detail'!$B$2:$B$672,C750,'PO detail'!$G$2:$G$672,"&gt;="&amp;D750,'PO detail'!$G$2:$G$672,"&lt;"&amp;A750)</x:f>
        <x:v>0</x:v>
      </x:c>
      <x:c r="J750" s="8" t="n">
        <x:f>SUMIFS('PO detail'!$W$2:$W$672,'PO detail'!$A$2:$A$672,B750,'PO detail'!$B$2:$B$672,C750,'PO detail'!$G$2:$G$672,"&gt;="&amp;D750,'PO detail'!$G$2:$G$672,"&lt;"&amp;A750)</x:f>
        <x:v>0</x:v>
      </x:c>
      <x:c r="K750" s="8" t="n">
        <x:f>'Current inventory'!E120*Summary!$D$6*(A750-D750)/30.4375</x:f>
        <x:v>0</x:v>
      </x:c>
      <x:c r="L750" s="8" t="n">
        <x:f>MAX(0,E750+H750-K750)</x:f>
        <x:v>0</x:v>
      </x:c>
      <x:c r="M750" s="8" t="n">
        <x:f>MAX(0,F750+I750-MAX(0,K750-E750-H750))</x:f>
        <x:v>0</x:v>
      </x:c>
      <x:c r="N750" s="8" t="n">
        <x:f>MAX(0,G750+J750-K750)</x:f>
        <x:v>0</x:v>
      </x:c>
      <x:c r="O750" s="8" t="n">
        <x:f>SUM(L750:N750)</x:f>
        <x:v>0</x:v>
      </x:c>
      <x:c r="P750" s="14" t="n">
        <x:f>'Current inventory'!V120</x:f>
        <x:v>0.18469999999999998</x:v>
      </x:c>
      <x:c r="Q750" s="14" t="str">
        <x:f>'Current inventory'!W120</x:f>
        <x:v>n.a.</x:v>
      </x:c>
      <x:c r="R750" s="10" t="n">
        <x:f>L750*P750</x:f>
        <x:v>0</x:v>
      </x:c>
      <x:c r="S750" s="10" t="n">
        <x:f>M750*P750</x:f>
        <x:v>0</x:v>
      </x:c>
      <x:c r="T750" s="10" t="n">
        <x:f>N750*P750</x:f>
        <x:v>0</x:v>
      </x:c>
      <x:c r="U750" s="10" t="n">
        <x:f>O750*P750</x:f>
        <x:v>0</x:v>
      </x:c>
      <x:c r="V750" s="10" t="str">
        <x:f>IF(ISNUMBER(Q750),O750*(Q750-P750),"n.a.")</x:f>
        <x:v>n.a.</x:v>
      </x:c>
      <x:c r="W750" s="10" t="n">
        <x:f>IF(ISNUMBER(Q750),U750,0)</x:f>
        <x:v>0</x:v>
      </x:c>
      <x:c r="X750" s="8" t="n">
        <x:f>MAX(0,K750-SUM(E750:J750))</x:f>
        <x:v>0</x:v>
      </x:c>
      <x:c r="Y750" s="1" t="str">
        <x:f>IF(AND(O750&gt;0,NOT(ISNUMBER(Q750))),"No proposed replacement standard",IF(X750&gt;0,"Demand exceeds available stock",""))</x:f>
      </x:c>
      <x:c r="Z750" s="1" t="n">
        <x:f>IF(ISNUMBER(Q750),1,0)</x:f>
        <x:v>0</x:v>
      </x:c>
    </x:row>
    <x:row r="751" ht="21" customHeight="1">
      <x:c r="A751" s="17" t="n">
        <x:f>Summary!B20</x:f>
        <x:v>46478</x:v>
      </x:c>
      <x:c r="B751" s="1" t="str">
        <x:f>'Current inventory'!A121</x:f>
        <x:v>60</x:v>
      </x:c>
      <x:c r="C751" s="1" t="str">
        <x:f>'Current inventory'!B121</x:f>
        <x:v>800WMARASC</x:v>
      </x:c>
      <x:c r="D751" s="7" t="n">
        <x:f>A625</x:f>
        <x:v>46447</x:v>
      </x:c>
      <x:c r="E751" s="8" t="n">
        <x:f>L625</x:f>
        <x:v>0</x:v>
      </x:c>
      <x:c r="F751" s="8" t="n">
        <x:f>M625</x:f>
        <x:v>0</x:v>
      </x:c>
      <x:c r="G751" s="8" t="n">
        <x:f>N625</x:f>
        <x:v>0</x:v>
      </x:c>
      <x:c r="H751" s="8" t="n">
        <x:f>SUMIFS('PO detail'!$U$2:$U$672,'PO detail'!$A$2:$A$672,B751,'PO detail'!$B$2:$B$672,C751,'PO detail'!$G$2:$G$672,"&gt;="&amp;D751,'PO detail'!$G$2:$G$672,"&lt;"&amp;A751)</x:f>
        <x:v>0</x:v>
      </x:c>
      <x:c r="I751" s="8" t="n">
        <x:f>SUMIFS('PO detail'!$V$2:$V$672,'PO detail'!$A$2:$A$672,B751,'PO detail'!$B$2:$B$672,C751,'PO detail'!$G$2:$G$672,"&gt;="&amp;D751,'PO detail'!$G$2:$G$672,"&lt;"&amp;A751)</x:f>
        <x:v>0</x:v>
      </x:c>
      <x:c r="J751" s="8" t="n">
        <x:f>SUMIFS('PO detail'!$W$2:$W$672,'PO detail'!$A$2:$A$672,B751,'PO detail'!$B$2:$B$672,C751,'PO detail'!$G$2:$G$672,"&gt;="&amp;D751,'PO detail'!$G$2:$G$672,"&lt;"&amp;A751)</x:f>
        <x:v>0</x:v>
      </x:c>
      <x:c r="K751" s="8" t="n">
        <x:f>'Current inventory'!E121*Summary!$D$6*(A751-D751)/30.4375</x:f>
        <x:v>0</x:v>
      </x:c>
      <x:c r="L751" s="8" t="n">
        <x:f>MAX(0,E751+H751-K751)</x:f>
        <x:v>0</x:v>
      </x:c>
      <x:c r="M751" s="8" t="n">
        <x:f>MAX(0,F751+I751-MAX(0,K751-E751-H751))</x:f>
        <x:v>0</x:v>
      </x:c>
      <x:c r="N751" s="8" t="n">
        <x:f>MAX(0,G751+J751-K751)</x:f>
        <x:v>0</x:v>
      </x:c>
      <x:c r="O751" s="8" t="n">
        <x:f>SUM(L751:N751)</x:f>
        <x:v>0</x:v>
      </x:c>
      <x:c r="P751" s="14" t="n">
        <x:f>'Current inventory'!V121</x:f>
        <x:v>0.1383</x:v>
      </x:c>
      <x:c r="Q751" s="14" t="str">
        <x:f>'Current inventory'!W121</x:f>
        <x:v>n.a.</x:v>
      </x:c>
      <x:c r="R751" s="10" t="n">
        <x:f>L751*P751</x:f>
        <x:v>0</x:v>
      </x:c>
      <x:c r="S751" s="10" t="n">
        <x:f>M751*P751</x:f>
        <x:v>0</x:v>
      </x:c>
      <x:c r="T751" s="10" t="n">
        <x:f>N751*P751</x:f>
        <x:v>0</x:v>
      </x:c>
      <x:c r="U751" s="10" t="n">
        <x:f>O751*P751</x:f>
        <x:v>0</x:v>
      </x:c>
      <x:c r="V751" s="10" t="str">
        <x:f>IF(ISNUMBER(Q751),O751*(Q751-P751),"n.a.")</x:f>
        <x:v>n.a.</x:v>
      </x:c>
      <x:c r="W751" s="10" t="n">
        <x:f>IF(ISNUMBER(Q751),U751,0)</x:f>
        <x:v>0</x:v>
      </x:c>
      <x:c r="X751" s="8" t="n">
        <x:f>MAX(0,K751-SUM(E751:J751))</x:f>
        <x:v>0</x:v>
      </x:c>
      <x:c r="Y751" s="1" t="str">
        <x:f>IF(AND(O751&gt;0,NOT(ISNUMBER(Q751))),"No proposed replacement standard",IF(X751&gt;0,"Demand exceeds available stock",""))</x:f>
      </x:c>
      <x:c r="Z751" s="1" t="n">
        <x:f>IF(ISNUMBER(Q751),1,0)</x:f>
        <x:v>0</x:v>
      </x:c>
    </x:row>
    <x:row r="752" ht="21" customHeight="1">
      <x:c r="A752" s="17" t="n">
        <x:f>Summary!B20</x:f>
        <x:v>46478</x:v>
      </x:c>
      <x:c r="B752" s="1" t="str">
        <x:f>'Current inventory'!A122</x:f>
        <x:v>60</x:v>
      </x:c>
      <x:c r="C752" s="1" t="str">
        <x:f>'Current inventory'!B122</x:f>
        <x:v>800WMARBRC</x:v>
      </x:c>
      <x:c r="D752" s="7" t="n">
        <x:f>A626</x:f>
        <x:v>46447</x:v>
      </x:c>
      <x:c r="E752" s="8" t="n">
        <x:f>L626</x:f>
        <x:v>0</x:v>
      </x:c>
      <x:c r="F752" s="8" t="n">
        <x:f>M626</x:f>
        <x:v>0</x:v>
      </x:c>
      <x:c r="G752" s="8" t="n">
        <x:f>N626</x:f>
        <x:v>0</x:v>
      </x:c>
      <x:c r="H752" s="8" t="n">
        <x:f>SUMIFS('PO detail'!$U$2:$U$672,'PO detail'!$A$2:$A$672,B752,'PO detail'!$B$2:$B$672,C752,'PO detail'!$G$2:$G$672,"&gt;="&amp;D752,'PO detail'!$G$2:$G$672,"&lt;"&amp;A752)</x:f>
        <x:v>0</x:v>
      </x:c>
      <x:c r="I752" s="8" t="n">
        <x:f>SUMIFS('PO detail'!$V$2:$V$672,'PO detail'!$A$2:$A$672,B752,'PO detail'!$B$2:$B$672,C752,'PO detail'!$G$2:$G$672,"&gt;="&amp;D752,'PO detail'!$G$2:$G$672,"&lt;"&amp;A752)</x:f>
        <x:v>0</x:v>
      </x:c>
      <x:c r="J752" s="8" t="n">
        <x:f>SUMIFS('PO detail'!$W$2:$W$672,'PO detail'!$A$2:$A$672,B752,'PO detail'!$B$2:$B$672,C752,'PO detail'!$G$2:$G$672,"&gt;="&amp;D752,'PO detail'!$G$2:$G$672,"&lt;"&amp;A752)</x:f>
        <x:v>0</x:v>
      </x:c>
      <x:c r="K752" s="8" t="n">
        <x:f>'Current inventory'!E122*Summary!$D$6*(A752-D752)/30.4375</x:f>
        <x:v>0</x:v>
      </x:c>
      <x:c r="L752" s="8" t="n">
        <x:f>MAX(0,E752+H752-K752)</x:f>
        <x:v>0</x:v>
      </x:c>
      <x:c r="M752" s="8" t="n">
        <x:f>MAX(0,F752+I752-MAX(0,K752-E752-H752))</x:f>
        <x:v>0</x:v>
      </x:c>
      <x:c r="N752" s="8" t="n">
        <x:f>MAX(0,G752+J752-K752)</x:f>
        <x:v>0</x:v>
      </x:c>
      <x:c r="O752" s="8" t="n">
        <x:f>SUM(L752:N752)</x:f>
        <x:v>0</x:v>
      </x:c>
      <x:c r="P752" s="14" t="n">
        <x:f>'Current inventory'!V122</x:f>
        <x:v>0.17350000000000002</x:v>
      </x:c>
      <x:c r="Q752" s="14" t="str">
        <x:f>'Current inventory'!W122</x:f>
        <x:v>n.a.</x:v>
      </x:c>
      <x:c r="R752" s="10" t="n">
        <x:f>L752*P752</x:f>
        <x:v>0</x:v>
      </x:c>
      <x:c r="S752" s="10" t="n">
        <x:f>M752*P752</x:f>
        <x:v>0</x:v>
      </x:c>
      <x:c r="T752" s="10" t="n">
        <x:f>N752*P752</x:f>
        <x:v>0</x:v>
      </x:c>
      <x:c r="U752" s="10" t="n">
        <x:f>O752*P752</x:f>
        <x:v>0</x:v>
      </x:c>
      <x:c r="V752" s="10" t="str">
        <x:f>IF(ISNUMBER(Q752),O752*(Q752-P752),"n.a.")</x:f>
        <x:v>n.a.</x:v>
      </x:c>
      <x:c r="W752" s="10" t="n">
        <x:f>IF(ISNUMBER(Q752),U752,0)</x:f>
        <x:v>0</x:v>
      </x:c>
      <x:c r="X752" s="8" t="n">
        <x:f>MAX(0,K752-SUM(E752:J752))</x:f>
        <x:v>0</x:v>
      </x:c>
      <x:c r="Y752" s="1" t="str">
        <x:f>IF(AND(O752&gt;0,NOT(ISNUMBER(Q752))),"No proposed replacement standard",IF(X752&gt;0,"Demand exceeds available stock",""))</x:f>
      </x:c>
      <x:c r="Z752" s="1" t="n">
        <x:f>IF(ISNUMBER(Q752),1,0)</x:f>
        <x:v>0</x:v>
      </x:c>
    </x:row>
    <x:row r="753" ht="21" customHeight="1">
      <x:c r="A753" s="17" t="n">
        <x:f>Summary!B20</x:f>
        <x:v>46478</x:v>
      </x:c>
      <x:c r="B753" s="1" t="str">
        <x:f>'Current inventory'!A123</x:f>
        <x:v>60</x:v>
      </x:c>
      <x:c r="C753" s="1" t="str">
        <x:f>'Current inventory'!B123</x:f>
        <x:v>800WNAVBRC</x:v>
      </x:c>
      <x:c r="D753" s="7" t="n">
        <x:f>A627</x:f>
        <x:v>46447</x:v>
      </x:c>
      <x:c r="E753" s="8" t="n">
        <x:f>L627</x:f>
        <x:v>0</x:v>
      </x:c>
      <x:c r="F753" s="8" t="n">
        <x:f>M627</x:f>
        <x:v>0</x:v>
      </x:c>
      <x:c r="G753" s="8" t="n">
        <x:f>N627</x:f>
        <x:v>0</x:v>
      </x:c>
      <x:c r="H753" s="8" t="n">
        <x:f>SUMIFS('PO detail'!$U$2:$U$672,'PO detail'!$A$2:$A$672,B753,'PO detail'!$B$2:$B$672,C753,'PO detail'!$G$2:$G$672,"&gt;="&amp;D753,'PO detail'!$G$2:$G$672,"&lt;"&amp;A753)</x:f>
        <x:v>0</x:v>
      </x:c>
      <x:c r="I753" s="8" t="n">
        <x:f>SUMIFS('PO detail'!$V$2:$V$672,'PO detail'!$A$2:$A$672,B753,'PO detail'!$B$2:$B$672,C753,'PO detail'!$G$2:$G$672,"&gt;="&amp;D753,'PO detail'!$G$2:$G$672,"&lt;"&amp;A753)</x:f>
        <x:v>0</x:v>
      </x:c>
      <x:c r="J753" s="8" t="n">
        <x:f>SUMIFS('PO detail'!$W$2:$W$672,'PO detail'!$A$2:$A$672,B753,'PO detail'!$B$2:$B$672,C753,'PO detail'!$G$2:$G$672,"&gt;="&amp;D753,'PO detail'!$G$2:$G$672,"&lt;"&amp;A753)</x:f>
        <x:v>0</x:v>
      </x:c>
      <x:c r="K753" s="8" t="n">
        <x:f>'Current inventory'!E123*Summary!$D$6*(A753-D753)/30.4375</x:f>
        <x:v>0</x:v>
      </x:c>
      <x:c r="L753" s="8" t="n">
        <x:f>MAX(0,E753+H753-K753)</x:f>
        <x:v>0</x:v>
      </x:c>
      <x:c r="M753" s="8" t="n">
        <x:f>MAX(0,F753+I753-MAX(0,K753-E753-H753))</x:f>
        <x:v>0</x:v>
      </x:c>
      <x:c r="N753" s="8" t="n">
        <x:f>MAX(0,G753+J753-K753)</x:f>
        <x:v>0</x:v>
      </x:c>
      <x:c r="O753" s="8" t="n">
        <x:f>SUM(L753:N753)</x:f>
        <x:v>0</x:v>
      </x:c>
      <x:c r="P753" s="14" t="n">
        <x:f>'Current inventory'!V123</x:f>
        <x:v>0.17350000000000002</x:v>
      </x:c>
      <x:c r="Q753" s="14" t="str">
        <x:f>'Current inventory'!W123</x:f>
        <x:v>n.a.</x:v>
      </x:c>
      <x:c r="R753" s="10" t="n">
        <x:f>L753*P753</x:f>
        <x:v>0</x:v>
      </x:c>
      <x:c r="S753" s="10" t="n">
        <x:f>M753*P753</x:f>
        <x:v>0</x:v>
      </x:c>
      <x:c r="T753" s="10" t="n">
        <x:f>N753*P753</x:f>
        <x:v>0</x:v>
      </x:c>
      <x:c r="U753" s="10" t="n">
        <x:f>O753*P753</x:f>
        <x:v>0</x:v>
      </x:c>
      <x:c r="V753" s="10" t="str">
        <x:f>IF(ISNUMBER(Q753),O753*(Q753-P753),"n.a.")</x:f>
        <x:v>n.a.</x:v>
      </x:c>
      <x:c r="W753" s="10" t="n">
        <x:f>IF(ISNUMBER(Q753),U753,0)</x:f>
        <x:v>0</x:v>
      </x:c>
      <x:c r="X753" s="8" t="n">
        <x:f>MAX(0,K753-SUM(E753:J753))</x:f>
        <x:v>0</x:v>
      </x:c>
      <x:c r="Y753" s="1" t="str">
        <x:f>IF(AND(O753&gt;0,NOT(ISNUMBER(Q753))),"No proposed replacement standard",IF(X753&gt;0,"Demand exceeds available stock",""))</x:f>
      </x:c>
      <x:c r="Z753" s="1" t="n">
        <x:f>IF(ISNUMBER(Q753),1,0)</x:f>
        <x:v>0</x:v>
      </x:c>
    </x:row>
    <x:row r="754" ht="21" customHeight="1">
      <x:c r="A754" s="17" t="n">
        <x:f>Summary!B20</x:f>
        <x:v>46478</x:v>
      </x:c>
      <x:c r="B754" s="1" t="str">
        <x:f>'Current inventory'!A124</x:f>
        <x:v>60</x:v>
      </x:c>
      <x:c r="C754" s="1" t="str">
        <x:f>'Current inventory'!B124</x:f>
        <x:v>800WREDASC</x:v>
      </x:c>
      <x:c r="D754" s="7" t="n">
        <x:f>A628</x:f>
        <x:v>46447</x:v>
      </x:c>
      <x:c r="E754" s="8" t="n">
        <x:f>L628</x:f>
        <x:v>0</x:v>
      </x:c>
      <x:c r="F754" s="8" t="n">
        <x:f>M628</x:f>
        <x:v>0</x:v>
      </x:c>
      <x:c r="G754" s="8" t="n">
        <x:f>N628</x:f>
        <x:v>0</x:v>
      </x:c>
      <x:c r="H754" s="8" t="n">
        <x:f>SUMIFS('PO detail'!$U$2:$U$672,'PO detail'!$A$2:$A$672,B754,'PO detail'!$B$2:$B$672,C754,'PO detail'!$G$2:$G$672,"&gt;="&amp;D754,'PO detail'!$G$2:$G$672,"&lt;"&amp;A754)</x:f>
        <x:v>0</x:v>
      </x:c>
      <x:c r="I754" s="8" t="n">
        <x:f>SUMIFS('PO detail'!$V$2:$V$672,'PO detail'!$A$2:$A$672,B754,'PO detail'!$B$2:$B$672,C754,'PO detail'!$G$2:$G$672,"&gt;="&amp;D754,'PO detail'!$G$2:$G$672,"&lt;"&amp;A754)</x:f>
        <x:v>0</x:v>
      </x:c>
      <x:c r="J754" s="8" t="n">
        <x:f>SUMIFS('PO detail'!$W$2:$W$672,'PO detail'!$A$2:$A$672,B754,'PO detail'!$B$2:$B$672,C754,'PO detail'!$G$2:$G$672,"&gt;="&amp;D754,'PO detail'!$G$2:$G$672,"&lt;"&amp;A754)</x:f>
        <x:v>0</x:v>
      </x:c>
      <x:c r="K754" s="8" t="n">
        <x:f>'Current inventory'!E124*Summary!$D$6*(A754-D754)/30.4375</x:f>
        <x:v>0</x:v>
      </x:c>
      <x:c r="L754" s="8" t="n">
        <x:f>MAX(0,E754+H754-K754)</x:f>
        <x:v>0</x:v>
      </x:c>
      <x:c r="M754" s="8" t="n">
        <x:f>MAX(0,F754+I754-MAX(0,K754-E754-H754))</x:f>
        <x:v>0</x:v>
      </x:c>
      <x:c r="N754" s="8" t="n">
        <x:f>MAX(0,G754+J754-K754)</x:f>
        <x:v>0</x:v>
      </x:c>
      <x:c r="O754" s="8" t="n">
        <x:f>SUM(L754:N754)</x:f>
        <x:v>0</x:v>
      </x:c>
      <x:c r="P754" s="14" t="n">
        <x:f>'Current inventory'!V124</x:f>
        <x:v>0.07919999999999999</x:v>
      </x:c>
      <x:c r="Q754" s="14" t="str">
        <x:f>'Current inventory'!W124</x:f>
        <x:v>n.a.</x:v>
      </x:c>
      <x:c r="R754" s="10" t="n">
        <x:f>L754*P754</x:f>
        <x:v>0</x:v>
      </x:c>
      <x:c r="S754" s="10" t="n">
        <x:f>M754*P754</x:f>
        <x:v>0</x:v>
      </x:c>
      <x:c r="T754" s="10" t="n">
        <x:f>N754*P754</x:f>
        <x:v>0</x:v>
      </x:c>
      <x:c r="U754" s="10" t="n">
        <x:f>O754*P754</x:f>
        <x:v>0</x:v>
      </x:c>
      <x:c r="V754" s="10" t="str">
        <x:f>IF(ISNUMBER(Q754),O754*(Q754-P754),"n.a.")</x:f>
        <x:v>n.a.</x:v>
      </x:c>
      <x:c r="W754" s="10" t="n">
        <x:f>IF(ISNUMBER(Q754),U754,0)</x:f>
        <x:v>0</x:v>
      </x:c>
      <x:c r="X754" s="8" t="n">
        <x:f>MAX(0,K754-SUM(E754:J754))</x:f>
        <x:v>0</x:v>
      </x:c>
      <x:c r="Y754" s="1" t="str">
        <x:f>IF(AND(O754&gt;0,NOT(ISNUMBER(Q754))),"No proposed replacement standard",IF(X754&gt;0,"Demand exceeds available stock",""))</x:f>
      </x:c>
      <x:c r="Z754" s="1" t="n">
        <x:f>IF(ISNUMBER(Q754),1,0)</x:f>
        <x:v>0</x:v>
      </x:c>
    </x:row>
    <x:row r="755" ht="21" customHeight="1">
      <x:c r="A755" s="17" t="n">
        <x:f>Summary!B20</x:f>
        <x:v>46478</x:v>
      </x:c>
      <x:c r="B755" s="1" t="str">
        <x:f>'Current inventory'!A125</x:f>
        <x:v>60</x:v>
      </x:c>
      <x:c r="C755" s="1" t="str">
        <x:f>'Current inventory'!B125</x:f>
        <x:v>800WREDBRC</x:v>
      </x:c>
      <x:c r="D755" s="7" t="n">
        <x:f>A629</x:f>
        <x:v>46447</x:v>
      </x:c>
      <x:c r="E755" s="8" t="n">
        <x:f>L629</x:f>
        <x:v>0</x:v>
      </x:c>
      <x:c r="F755" s="8" t="n">
        <x:f>M629</x:f>
        <x:v>0</x:v>
      </x:c>
      <x:c r="G755" s="8" t="n">
        <x:f>N629</x:f>
        <x:v>0</x:v>
      </x:c>
      <x:c r="H755" s="8" t="n">
        <x:f>SUMIFS('PO detail'!$U$2:$U$672,'PO detail'!$A$2:$A$672,B755,'PO detail'!$B$2:$B$672,C755,'PO detail'!$G$2:$G$672,"&gt;="&amp;D755,'PO detail'!$G$2:$G$672,"&lt;"&amp;A755)</x:f>
        <x:v>0</x:v>
      </x:c>
      <x:c r="I755" s="8" t="n">
        <x:f>SUMIFS('PO detail'!$V$2:$V$672,'PO detail'!$A$2:$A$672,B755,'PO detail'!$B$2:$B$672,C755,'PO detail'!$G$2:$G$672,"&gt;="&amp;D755,'PO detail'!$G$2:$G$672,"&lt;"&amp;A755)</x:f>
        <x:v>0</x:v>
      </x:c>
      <x:c r="J755" s="8" t="n">
        <x:f>SUMIFS('PO detail'!$W$2:$W$672,'PO detail'!$A$2:$A$672,B755,'PO detail'!$B$2:$B$672,C755,'PO detail'!$G$2:$G$672,"&gt;="&amp;D755,'PO detail'!$G$2:$G$672,"&lt;"&amp;A755)</x:f>
        <x:v>0</x:v>
      </x:c>
      <x:c r="K755" s="8" t="n">
        <x:f>'Current inventory'!E125*Summary!$D$6*(A755-D755)/30.4375</x:f>
        <x:v>0</x:v>
      </x:c>
      <x:c r="L755" s="8" t="n">
        <x:f>MAX(0,E755+H755-K755)</x:f>
        <x:v>0</x:v>
      </x:c>
      <x:c r="M755" s="8" t="n">
        <x:f>MAX(0,F755+I755-MAX(0,K755-E755-H755))</x:f>
        <x:v>0</x:v>
      </x:c>
      <x:c r="N755" s="8" t="n">
        <x:f>MAX(0,G755+J755-K755)</x:f>
        <x:v>0</x:v>
      </x:c>
      <x:c r="O755" s="8" t="n">
        <x:f>SUM(L755:N755)</x:f>
        <x:v>0</x:v>
      </x:c>
      <x:c r="P755" s="14" t="n">
        <x:f>'Current inventory'!V125</x:f>
        <x:v>0.0898</x:v>
      </x:c>
      <x:c r="Q755" s="14" t="str">
        <x:f>'Current inventory'!W125</x:f>
        <x:v>n.a.</x:v>
      </x:c>
      <x:c r="R755" s="10" t="n">
        <x:f>L755*P755</x:f>
        <x:v>0</x:v>
      </x:c>
      <x:c r="S755" s="10" t="n">
        <x:f>M755*P755</x:f>
        <x:v>0</x:v>
      </x:c>
      <x:c r="T755" s="10" t="n">
        <x:f>N755*P755</x:f>
        <x:v>0</x:v>
      </x:c>
      <x:c r="U755" s="10" t="n">
        <x:f>O755*P755</x:f>
        <x:v>0</x:v>
      </x:c>
      <x:c r="V755" s="10" t="str">
        <x:f>IF(ISNUMBER(Q755),O755*(Q755-P755),"n.a.")</x:f>
        <x:v>n.a.</x:v>
      </x:c>
      <x:c r="W755" s="10" t="n">
        <x:f>IF(ISNUMBER(Q755),U755,0)</x:f>
        <x:v>0</x:v>
      </x:c>
      <x:c r="X755" s="8" t="n">
        <x:f>MAX(0,K755-SUM(E755:J755))</x:f>
        <x:v>0</x:v>
      </x:c>
      <x:c r="Y755" s="1" t="str">
        <x:f>IF(AND(O755&gt;0,NOT(ISNUMBER(Q755))),"No proposed replacement standard",IF(X755&gt;0,"Demand exceeds available stock",""))</x:f>
      </x:c>
      <x:c r="Z755" s="1" t="n">
        <x:f>IF(ISNUMBER(Q755),1,0)</x:f>
        <x:v>0</x:v>
      </x:c>
    </x:row>
    <x:row r="756" ht="21" customHeight="1">
      <x:c r="A756" s="17" t="n">
        <x:f>Summary!B20</x:f>
        <x:v>46478</x:v>
      </x:c>
      <x:c r="B756" s="1" t="str">
        <x:f>'Current inventory'!A126</x:f>
        <x:v>60</x:v>
      </x:c>
      <x:c r="C756" s="1" t="str">
        <x:f>'Current inventory'!B126</x:f>
        <x:v>800WWHTASC</x:v>
      </x:c>
      <x:c r="D756" s="7" t="n">
        <x:f>A630</x:f>
        <x:v>46447</x:v>
      </x:c>
      <x:c r="E756" s="8" t="n">
        <x:f>L630</x:f>
        <x:v>0</x:v>
      </x:c>
      <x:c r="F756" s="8" t="n">
        <x:f>M630</x:f>
        <x:v>0</x:v>
      </x:c>
      <x:c r="G756" s="8" t="n">
        <x:f>N630</x:f>
        <x:v>0</x:v>
      </x:c>
      <x:c r="H756" s="8" t="n">
        <x:f>SUMIFS('PO detail'!$U$2:$U$672,'PO detail'!$A$2:$A$672,B756,'PO detail'!$B$2:$B$672,C756,'PO detail'!$G$2:$G$672,"&gt;="&amp;D756,'PO detail'!$G$2:$G$672,"&lt;"&amp;A756)</x:f>
        <x:v>0</x:v>
      </x:c>
      <x:c r="I756" s="8" t="n">
        <x:f>SUMIFS('PO detail'!$V$2:$V$672,'PO detail'!$A$2:$A$672,B756,'PO detail'!$B$2:$B$672,C756,'PO detail'!$G$2:$G$672,"&gt;="&amp;D756,'PO detail'!$G$2:$G$672,"&lt;"&amp;A756)</x:f>
        <x:v>0</x:v>
      </x:c>
      <x:c r="J756" s="8" t="n">
        <x:f>SUMIFS('PO detail'!$W$2:$W$672,'PO detail'!$A$2:$A$672,B756,'PO detail'!$B$2:$B$672,C756,'PO detail'!$G$2:$G$672,"&gt;="&amp;D756,'PO detail'!$G$2:$G$672,"&lt;"&amp;A756)</x:f>
        <x:v>0</x:v>
      </x:c>
      <x:c r="K756" s="8" t="n">
        <x:f>'Current inventory'!E126*Summary!$D$6*(A756-D756)/30.4375</x:f>
        <x:v>0</x:v>
      </x:c>
      <x:c r="L756" s="8" t="n">
        <x:f>MAX(0,E756+H756-K756)</x:f>
        <x:v>0</x:v>
      </x:c>
      <x:c r="M756" s="8" t="n">
        <x:f>MAX(0,F756+I756-MAX(0,K756-E756-H756))</x:f>
        <x:v>0</x:v>
      </x:c>
      <x:c r="N756" s="8" t="n">
        <x:f>MAX(0,G756+J756-K756)</x:f>
        <x:v>0</x:v>
      </x:c>
      <x:c r="O756" s="8" t="n">
        <x:f>SUM(L756:N756)</x:f>
        <x:v>0</x:v>
      </x:c>
      <x:c r="P756" s="14" t="n">
        <x:f>'Current inventory'!V126</x:f>
        <x:v>0.1456</x:v>
      </x:c>
      <x:c r="Q756" s="14" t="str">
        <x:f>'Current inventory'!W126</x:f>
        <x:v>n.a.</x:v>
      </x:c>
      <x:c r="R756" s="10" t="n">
        <x:f>L756*P756</x:f>
        <x:v>0</x:v>
      </x:c>
      <x:c r="S756" s="10" t="n">
        <x:f>M756*P756</x:f>
        <x:v>0</x:v>
      </x:c>
      <x:c r="T756" s="10" t="n">
        <x:f>N756*P756</x:f>
        <x:v>0</x:v>
      </x:c>
      <x:c r="U756" s="10" t="n">
        <x:f>O756*P756</x:f>
        <x:v>0</x:v>
      </x:c>
      <x:c r="V756" s="10" t="str">
        <x:f>IF(ISNUMBER(Q756),O756*(Q756-P756),"n.a.")</x:f>
        <x:v>n.a.</x:v>
      </x:c>
      <x:c r="W756" s="10" t="n">
        <x:f>IF(ISNUMBER(Q756),U756,0)</x:f>
        <x:v>0</x:v>
      </x:c>
      <x:c r="X756" s="8" t="n">
        <x:f>MAX(0,K756-SUM(E756:J756))</x:f>
        <x:v>0</x:v>
      </x:c>
      <x:c r="Y756" s="1" t="str">
        <x:f>IF(AND(O756&gt;0,NOT(ISNUMBER(Q756))),"No proposed replacement standard",IF(X756&gt;0,"Demand exceeds available stock",""))</x:f>
      </x:c>
      <x:c r="Z756" s="1" t="n">
        <x:f>IF(ISNUMBER(Q756),1,0)</x:f>
        <x:v>0</x:v>
      </x:c>
    </x:row>
    <x:row r="757" ht="21" customHeight="1">
      <x:c r="A757" s="17" t="n">
        <x:f>Summary!B20</x:f>
        <x:v>46478</x:v>
      </x:c>
      <x:c r="B757" s="1" t="str">
        <x:f>'Current inventory'!A127</x:f>
        <x:v>60</x:v>
      </x:c>
      <x:c r="C757" s="1" t="str">
        <x:f>'Current inventory'!B127</x:f>
        <x:v>800WWHTBRC</x:v>
      </x:c>
      <x:c r="D757" s="7" t="n">
        <x:f>A631</x:f>
        <x:v>46447</x:v>
      </x:c>
      <x:c r="E757" s="8" t="n">
        <x:f>L631</x:f>
        <x:v>0</x:v>
      </x:c>
      <x:c r="F757" s="8" t="n">
        <x:f>M631</x:f>
        <x:v>0</x:v>
      </x:c>
      <x:c r="G757" s="8" t="n">
        <x:f>N631</x:f>
        <x:v>0</x:v>
      </x:c>
      <x:c r="H757" s="8" t="n">
        <x:f>SUMIFS('PO detail'!$U$2:$U$672,'PO detail'!$A$2:$A$672,B757,'PO detail'!$B$2:$B$672,C757,'PO detail'!$G$2:$G$672,"&gt;="&amp;D757,'PO detail'!$G$2:$G$672,"&lt;"&amp;A757)</x:f>
        <x:v>0</x:v>
      </x:c>
      <x:c r="I757" s="8" t="n">
        <x:f>SUMIFS('PO detail'!$V$2:$V$672,'PO detail'!$A$2:$A$672,B757,'PO detail'!$B$2:$B$672,C757,'PO detail'!$G$2:$G$672,"&gt;="&amp;D757,'PO detail'!$G$2:$G$672,"&lt;"&amp;A757)</x:f>
        <x:v>0</x:v>
      </x:c>
      <x:c r="J757" s="8" t="n">
        <x:f>SUMIFS('PO detail'!$W$2:$W$672,'PO detail'!$A$2:$A$672,B757,'PO detail'!$B$2:$B$672,C757,'PO detail'!$G$2:$G$672,"&gt;="&amp;D757,'PO detail'!$G$2:$G$672,"&lt;"&amp;A757)</x:f>
        <x:v>0</x:v>
      </x:c>
      <x:c r="K757" s="8" t="n">
        <x:f>'Current inventory'!E127*Summary!$D$6*(A757-D757)/30.4375</x:f>
        <x:v>0</x:v>
      </x:c>
      <x:c r="L757" s="8" t="n">
        <x:f>MAX(0,E757+H757-K757)</x:f>
        <x:v>0</x:v>
      </x:c>
      <x:c r="M757" s="8" t="n">
        <x:f>MAX(0,F757+I757-MAX(0,K757-E757-H757))</x:f>
        <x:v>0</x:v>
      </x:c>
      <x:c r="N757" s="8" t="n">
        <x:f>MAX(0,G757+J757-K757)</x:f>
        <x:v>0</x:v>
      </x:c>
      <x:c r="O757" s="8" t="n">
        <x:f>SUM(L757:N757)</x:f>
        <x:v>0</x:v>
      </x:c>
      <x:c r="P757" s="14" t="n">
        <x:f>'Current inventory'!V127</x:f>
        <x:v>0.18469999999999998</x:v>
      </x:c>
      <x:c r="Q757" s="14" t="str">
        <x:f>'Current inventory'!W127</x:f>
        <x:v>n.a.</x:v>
      </x:c>
      <x:c r="R757" s="10" t="n">
        <x:f>L757*P757</x:f>
        <x:v>0</x:v>
      </x:c>
      <x:c r="S757" s="10" t="n">
        <x:f>M757*P757</x:f>
        <x:v>0</x:v>
      </x:c>
      <x:c r="T757" s="10" t="n">
        <x:f>N757*P757</x:f>
        <x:v>0</x:v>
      </x:c>
      <x:c r="U757" s="10" t="n">
        <x:f>O757*P757</x:f>
        <x:v>0</x:v>
      </x:c>
      <x:c r="V757" s="10" t="str">
        <x:f>IF(ISNUMBER(Q757),O757*(Q757-P757),"n.a.")</x:f>
        <x:v>n.a.</x:v>
      </x:c>
      <x:c r="W757" s="10" t="n">
        <x:f>IF(ISNUMBER(Q757),U757,0)</x:f>
        <x:v>0</x:v>
      </x:c>
      <x:c r="X757" s="8" t="n">
        <x:f>MAX(0,K757-SUM(E757:J757))</x:f>
        <x:v>0</x:v>
      </x:c>
      <x:c r="Y757" s="1" t="str">
        <x:f>IF(AND(O757&gt;0,NOT(ISNUMBER(Q757))),"No proposed replacement standard",IF(X757&gt;0,"Demand exceeds available stock",""))</x:f>
      </x:c>
      <x:c r="Z757" s="1" t="n">
        <x:f>IF(ISNUMBER(Q757),1,0)</x:f>
        <x:v>0</x:v>
      </x:c>
    </x:row>
  </x:sheetData>
  <x:conditionalFormatting sqref="Y2:Y757">
    <x:cfRule type="containsText" dxfId="0" priority="1" operator="containsText" text="No proposed replacement"/>
  </x:conditionalFormatting>
  <x:pageMargins left="0.7" right="0.7" top="0.75" bottom="0.75" header="0.3" footer="0.3"/>
  <x:tableParts count="1">
    <x:tablePart xmlns:r="http://schemas.openxmlformats.org/officeDocument/2006/relationships" r:id="R09d2a37de3254c3d"/>
  </x:tableParts>
</x:worksheet>
</file>